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465" activeTab="1"/>
  </bookViews>
  <sheets>
    <sheet name="行政检查" sheetId="2" r:id="rId1"/>
    <sheet name="行政处罚" sheetId="1" r:id="rId2"/>
    <sheet name="Sheet1" sheetId="3" r:id="rId3"/>
    <sheet name="Sheet2" sheetId="4" r:id="rId4"/>
  </sheets>
  <definedNames>
    <definedName name="_xlnm._FilterDatabase" localSheetId="0" hidden="1">行政检查!$A$2:$AA$30</definedName>
    <definedName name="_xlnm._FilterDatabase" localSheetId="1" hidden="1">行政处罚!$A$2:$AN$154</definedName>
    <definedName name="_xlnm._FilterDatabase" localSheetId="3" hidden="1">Sheet2!$A$2:$AN$56</definedName>
    <definedName name="_xlnm.Print_Titles" localSheetId="1">行政处罚!$2:$2</definedName>
    <definedName name="_xlnm.Print_Titles" localSheetId="3">Sheet2!$2:$2</definedName>
  </definedNames>
  <calcPr calcId="144525"/>
</workbook>
</file>

<file path=xl/sharedStrings.xml><?xml version="1.0" encoding="utf-8"?>
<sst xmlns="http://schemas.openxmlformats.org/spreadsheetml/2006/main" count="4053" uniqueCount="1469">
  <si>
    <t>南山区安监站行政检查台账</t>
  </si>
  <si>
    <t>序号</t>
  </si>
  <si>
    <t>检查编号
（司法局系统）</t>
  </si>
  <si>
    <t>案卷名称</t>
  </si>
  <si>
    <t>涉案项目名称</t>
  </si>
  <si>
    <t>检查对象企业名称/人员名称</t>
  </si>
  <si>
    <t>企业（人员）编码</t>
  </si>
  <si>
    <t>地址*</t>
  </si>
  <si>
    <t>现场联系人</t>
  </si>
  <si>
    <t>联系电话</t>
  </si>
  <si>
    <t>所属区</t>
  </si>
  <si>
    <t>所属街道</t>
  </si>
  <si>
    <t>检查内容</t>
  </si>
  <si>
    <t>检查结果</t>
  </si>
  <si>
    <t>登记书文号</t>
  </si>
  <si>
    <t>检查日期</t>
  </si>
  <si>
    <t>发现问题</t>
  </si>
  <si>
    <t>处罚措施</t>
  </si>
  <si>
    <t>处罚文书号</t>
  </si>
  <si>
    <t>处罚文书决定日期</t>
  </si>
  <si>
    <t>结案日期</t>
  </si>
  <si>
    <t>监督组</t>
  </si>
  <si>
    <t>省执法公示
（20个工作日）</t>
  </si>
  <si>
    <t>结果报送区司法局/局法制科（5日内）</t>
  </si>
  <si>
    <t>市司法系统
（7个自然日）</t>
  </si>
  <si>
    <t>区政府在线公开栏目</t>
  </si>
  <si>
    <t>市市管局双随机监管平台</t>
  </si>
  <si>
    <t>抽查情况</t>
  </si>
  <si>
    <t>11440305007542160G20201000014</t>
  </si>
  <si>
    <t>双随机一公开行政检查深圳市望海路微波山隧道工程施工安全</t>
  </si>
  <si>
    <t>深圳市望海路微波山隧道工程</t>
  </si>
  <si>
    <t>中建三局集团有限公司</t>
  </si>
  <si>
    <t>91420000757013137p</t>
  </si>
  <si>
    <t>公司地址：湖北省武汉市洪山区关山路552号；
项目地址：深圳市望海路微波山隧道工程工地</t>
  </si>
  <si>
    <t>李治辉</t>
  </si>
  <si>
    <t>南山区</t>
  </si>
  <si>
    <t>招商街道</t>
  </si>
  <si>
    <t>1.工地是否按照市住建局文件要求落实停工，是否存在工人施工作业。2.项目经理、安全员是否在岗履职。3.现场是否存在违法违规行为。</t>
  </si>
  <si>
    <t>现场未发现违法行为</t>
  </si>
  <si>
    <t>深南住建检登〔2020〕13号</t>
  </si>
  <si>
    <t>/</t>
  </si>
  <si>
    <t>董继峰，付泽正</t>
  </si>
  <si>
    <t>全流程系统登记</t>
  </si>
  <si>
    <t>11440305007542160G20201000015</t>
  </si>
  <si>
    <t>对前湾片区（5号冷站）供冷管网项目-前湾三路（紫荆西街至听海大道）北侧绿化带供冷管网工程施工安全的双随机抽查</t>
  </si>
  <si>
    <t>前湾片区（5号冷站）供冷管网项目-前湾三路（紫荆西街至听海大道）北侧绿化带供冷管网工程</t>
  </si>
  <si>
    <t>中铁十六局集团有限公司</t>
  </si>
  <si>
    <t>911100001016367613</t>
  </si>
  <si>
    <t>公司地址：北京市北京市朝阳区红松园北里2号；
项目地址：前湾三路北侧、金岸中街东侧</t>
  </si>
  <si>
    <t>王志新</t>
  </si>
  <si>
    <t>南山街道</t>
  </si>
  <si>
    <t>安全防护措施的落实和安全警示标志的设置</t>
  </si>
  <si>
    <t>深南住建检登〔2020〕12号</t>
  </si>
  <si>
    <t>宗海根，高健</t>
  </si>
  <si>
    <t>对中南大学深圳产学研大楼施工总承包工程施工安全的双随机抽查</t>
  </si>
  <si>
    <t>中南大学深圳产学研大楼施工总承包工程</t>
  </si>
  <si>
    <t>深圳泛华工程集团有限公司</t>
  </si>
  <si>
    <t>91440300192241801L</t>
  </si>
  <si>
    <t>公司地址：广东省深圳市福田区景田北七街民华大厦5楼（限办公）
项目地址：南山区粤海街道白石路南侧、科苑南路东侧中南大学深圳产学研大楼施工总承包工程项目部</t>
  </si>
  <si>
    <t>王金明</t>
  </si>
  <si>
    <t>粤海街道</t>
  </si>
  <si>
    <t>特种作业人员持证上岗、人员教育交底、安全管理人员安全生产考核合格证</t>
  </si>
  <si>
    <t>深南住建检登〔2020〕15号</t>
  </si>
  <si>
    <t>对仙鼓路（仙元路-仙洞路）市政道路施工工程施工安全的双随机抽查</t>
  </si>
  <si>
    <t>仙鼓路（仙元路-仙洞路）市政道路施工工程</t>
  </si>
  <si>
    <t>深圳市西部城建工程有限公司</t>
  </si>
  <si>
    <t>91440300192410273N</t>
  </si>
  <si>
    <t>公司地址：广东省深圳市南山区桃园西路南山市政大厦五楼；
项目地址：南山区西丽街道仙鼓路（仙元路-仙洞路之间）</t>
  </si>
  <si>
    <t>贺科文</t>
  </si>
  <si>
    <t>西丽街道</t>
  </si>
  <si>
    <t>施工单位公司安全生产许可证、安全管理人员安全生产考核合格证</t>
  </si>
  <si>
    <t>深南住建检登〔2020〕16号</t>
  </si>
  <si>
    <t>前海桂湾公园III标绿化景观工程施工总承包</t>
  </si>
  <si>
    <t>深圳中绿环境集团有限公司</t>
  </si>
  <si>
    <t>9144030073882644XR</t>
  </si>
  <si>
    <t>公司地址：广东省深圳市龙岗区龙岗街道南联社区圳埔岭路2号F栋三楼301
项目地址：深圳市前海合作区桂湾</t>
  </si>
  <si>
    <t>黄文良</t>
  </si>
  <si>
    <t>深南住建检登〔2020〕20号</t>
  </si>
  <si>
    <t>谭亮，贺爱军</t>
  </si>
  <si>
    <t>前海滨海岸线（桂湾、前湾段）功能配套完善及改造工程-景观照明提升工程</t>
  </si>
  <si>
    <t>深圳市金照明科技股份有限公司</t>
  </si>
  <si>
    <t>914403007152226004</t>
  </si>
  <si>
    <t>公司地址：广东省深圳市宝安区新安街道兴东社区67区高新奇厂房AB601
项目地址：前海深港现代服务业合作区桂湾、前湾段</t>
  </si>
  <si>
    <t>张超</t>
  </si>
  <si>
    <t>现场安全生产管理人员配备情况</t>
  </si>
  <si>
    <t>深南住建检登〔2020〕19号</t>
  </si>
  <si>
    <t>双随机一公开行政检查前海合作区铲湾渠土地平整和软基处理工程施工安全</t>
  </si>
  <si>
    <t>前海合作区铲湾渠土地平整和软基处理工程</t>
  </si>
  <si>
    <t>深圳市勘察测绘院（集团）有限公司</t>
  </si>
  <si>
    <t>91440300192200874Y</t>
  </si>
  <si>
    <t>公司地址：广东省深圳市福田区上步中路1043 号；
项目地址：前海合作区铲湾渠土地平整和软基处理工程工地</t>
  </si>
  <si>
    <t>陈凤</t>
  </si>
  <si>
    <t>1.抽查项目经理、安全员在岗情况。2.抽查特种作业人员持证上岗、三级教育、专项安全技术交底情况。3.抽查现场临时用电是否存在违法违规情况。4.抽查现场作业人员健康申报情况。5.抽查现场泥头车作业情况。</t>
  </si>
  <si>
    <t>深南住建检登〔2020〕17号</t>
  </si>
  <si>
    <t>双随机一公开行政检查诚信三街等道路工程施工安全</t>
  </si>
  <si>
    <t>诚信三街等道路工程</t>
  </si>
  <si>
    <t>中国建筑一局（集团）有限公司</t>
  </si>
  <si>
    <t>91110000101107173B</t>
  </si>
  <si>
    <t>公司地址：北京市北京市丰台区西四环南路52号；
项目地址：诚信三街等道路工程工地</t>
  </si>
  <si>
    <t>王铁俊</t>
  </si>
  <si>
    <t>1.抽查项目经理、安全员在岗情况。2.抽查工人三级教育、专项安全技术交底情况。3.抽查现场是否存在违法违规作业。</t>
  </si>
  <si>
    <t>深南住建检登〔2020〕18号</t>
  </si>
  <si>
    <t>对深圳市南山区科技中一路北延段工程施工总承包工程施工安全的双随机抽查</t>
  </si>
  <si>
    <t>深圳市南山区科技中一路北延段工程施工总承包工程</t>
  </si>
  <si>
    <t>深圳市诚信鸿建设工程有限公司</t>
  </si>
  <si>
    <t>91440300586722421Q</t>
  </si>
  <si>
    <t>广东省深圳市南山区桃源街道福光社区留仙大道3333号塘朗城广场（西区）A座、B座、C座A座2201</t>
  </si>
  <si>
    <t>赵万胜</t>
  </si>
  <si>
    <t>安全管理人员持证上岗情况</t>
  </si>
  <si>
    <t>深南住建检登〔2021〕3号</t>
  </si>
  <si>
    <t>法制科已归档</t>
  </si>
  <si>
    <t>对蛇口文体公园主体工程施工安全的双随机检查</t>
  </si>
  <si>
    <t>蛇口文体公园主体工程</t>
  </si>
  <si>
    <t>广东联富建设工程有限公司</t>
  </si>
  <si>
    <t>91440300789223032R</t>
  </si>
  <si>
    <t>广东省深圳市大鹏新区葵涌街道三溪社区金业大道140号生命科学产业园B2栋107-108</t>
  </si>
  <si>
    <t>赖晓敏</t>
  </si>
  <si>
    <t>蛇口街道</t>
  </si>
  <si>
    <t>深南住建检登〔2021〕4号</t>
  </si>
  <si>
    <t>谭亮，李云</t>
  </si>
  <si>
    <t>双随机一公开行政检查腾讯音乐科兴科学园D3栋室内装修工程施工安全</t>
  </si>
  <si>
    <t>腾讯音乐科兴科学园D3栋室内装修工程</t>
  </si>
  <si>
    <t>穆氏建筑设计(上海)有限公司</t>
  </si>
  <si>
    <t>9131000074929336XW</t>
  </si>
  <si>
    <t>上海市静安区南山路100号南山大厦8层04座</t>
  </si>
  <si>
    <t>邢旭辉</t>
  </si>
  <si>
    <t>1.抽查项目经理、安全员在岗情况。2.抽查工人三级教育、专项安全技术交底情况。3.抽查施工许可证、项目经理任命书、项目经理部人员设置通知书、施工合同。</t>
  </si>
  <si>
    <t>深南住建检登〔2021〕5号</t>
  </si>
  <si>
    <t>2021.7.13区司法局</t>
  </si>
  <si>
    <t>20221000105</t>
  </si>
  <si>
    <t>对深圳清华大学研究院新大楼建设项目机电工程Ⅰ标段双随机抽查</t>
  </si>
  <si>
    <t>深圳清华大学研究院新大楼建设项目机电工程Ⅰ标段</t>
  </si>
  <si>
    <t>中建四局第五建筑工程有限公司</t>
  </si>
  <si>
    <t>91522701216250420B</t>
  </si>
  <si>
    <t>广东省深圳市南山区南山街道南新路阳光科创中心一期A座1001</t>
  </si>
  <si>
    <t>吴小明</t>
  </si>
  <si>
    <t>1.抽查项目主要管理人员（项目经理、总监）在岗履职情况。2.抽查扬尘防治6个100%落实情况。3.抽查项目围挡是否全封闭、公益广告宣传画是否存在污损情况。</t>
  </si>
  <si>
    <t>深南住建检登〔2022〕36号</t>
  </si>
  <si>
    <t>付泽正，高健</t>
  </si>
  <si>
    <t>20221000102</t>
  </si>
  <si>
    <t>对南山区第二阶段优质饮用水入户工程（二期）施工总承包(Ⅴ标段)(快速发包)工程双随机抽查</t>
  </si>
  <si>
    <t>南山区第二阶段优质饮用水入户工程（二期）施工总承包（Ⅴ标段）（快速发包）</t>
  </si>
  <si>
    <t>广东省源天工程有限公司</t>
  </si>
  <si>
    <t>914400001903224486</t>
  </si>
  <si>
    <t>广东省广州市增城区新塘镇广深大道中46号</t>
  </si>
  <si>
    <t>邓程鹏</t>
  </si>
  <si>
    <t>13348647366</t>
  </si>
  <si>
    <t>深南住建检登〔2022〕35号</t>
  </si>
  <si>
    <t>付泽正，宗海根</t>
  </si>
  <si>
    <t>2023.4.6区司法局</t>
  </si>
  <si>
    <t>20221000100</t>
  </si>
  <si>
    <t>对南山区档案服务大厦室内装饰工程双随机抽查</t>
  </si>
  <si>
    <t>南山区档案服务大厦室内装饰工程</t>
  </si>
  <si>
    <t>深圳市中航装饰设计工程有限公司</t>
  </si>
  <si>
    <t>914403001922681237</t>
  </si>
  <si>
    <t>广东省深圳市南山区粤海街道滨海社区海天一路19号、17号、18号软件产业基地4栋C11层1101-18</t>
  </si>
  <si>
    <t>田广平</t>
  </si>
  <si>
    <t>南头街道</t>
  </si>
  <si>
    <t>深南住建检登〔2022〕34号</t>
  </si>
  <si>
    <t>20221000086</t>
  </si>
  <si>
    <t>对海境界家园二期精装修工程第四标段（B座住宅平层室内精装修工程、一二层公共区域精装修工程）双随机抽查</t>
  </si>
  <si>
    <t>海境界家园二期精装修工程第四标段（B座住宅平层室内精装修工程、一二层公共区域精装修工程）</t>
  </si>
  <si>
    <t>深圳市中深建装饰设计工程有限公司</t>
  </si>
  <si>
    <t>91440300715212445L</t>
  </si>
  <si>
    <t>广东省深圳市福田区吉莲大厦二层</t>
  </si>
  <si>
    <t>米双令</t>
  </si>
  <si>
    <t>深南住建检登〔2022〕30号</t>
  </si>
  <si>
    <t>宗海根，董继峰</t>
  </si>
  <si>
    <t>20221000098</t>
  </si>
  <si>
    <t>对南山医院改扩建（二期一段）机电安装工程双随机抽查</t>
  </si>
  <si>
    <t>南山医院改扩建（二期一段）机电安装工程</t>
  </si>
  <si>
    <t>深圳市建工集团股份有限公司</t>
  </si>
  <si>
    <t>91440300192189548K</t>
  </si>
  <si>
    <t>广东省深圳市南山区粤海街道科苑路8号迅美科技广场2号楼21楼</t>
  </si>
  <si>
    <t>周启良</t>
  </si>
  <si>
    <t>深南住建检登〔2022〕33号</t>
  </si>
  <si>
    <t>董继峰，谭亮</t>
  </si>
  <si>
    <t>20221000095</t>
  </si>
  <si>
    <t>对杜鹃东1街、九纵五街、紫荆街中段、勒杜鹃街东段道路工程双随机抽查</t>
  </si>
  <si>
    <t>杜鹃东1街、九纵五街、紫荆街中段、勒杜鹃街东段道路工程</t>
  </si>
  <si>
    <t>深圳市路桥建设集团有限公司</t>
  </si>
  <si>
    <t>914403001921815704</t>
  </si>
  <si>
    <t>广东省深圳市罗湖区泥岗路红岗东村路桥大厦19-23层</t>
  </si>
  <si>
    <t>吴毅莽</t>
  </si>
  <si>
    <t>深南住建检登〔2022〕32号</t>
  </si>
  <si>
    <t>谭亮，董继峰</t>
  </si>
  <si>
    <t>20231000049</t>
  </si>
  <si>
    <t>对前海合作区跨街公园(G9、G10)项目景观绿化工程双随机抽查</t>
  </si>
  <si>
    <t>前海合作区跨街公园(G9、G10)项目景观绿化工程</t>
  </si>
  <si>
    <t>广东省深圳市龙岗区龙岗街道南联社区圳埔岭路2号F栋三楼301</t>
  </si>
  <si>
    <t>庄利生</t>
  </si>
  <si>
    <t>13923734531</t>
  </si>
  <si>
    <t>1.项目主要管理人员（项目经理、总监）在岗。2.已落实扬尘防控措施。3.项目围挡全封闭，围挡宣传画无污损。</t>
  </si>
  <si>
    <t>深南住建检登[2023]17号</t>
  </si>
  <si>
    <r>
      <rPr>
        <b/>
        <sz val="12"/>
        <rFont val="楷体_GB2312"/>
        <charset val="134"/>
      </rPr>
      <t>宗海根</t>
    </r>
    <r>
      <rPr>
        <sz val="12"/>
        <rFont val="楷体_GB2312"/>
        <charset val="134"/>
      </rPr>
      <t>，董继峰</t>
    </r>
  </si>
  <si>
    <t>2023.10.12法制科</t>
  </si>
  <si>
    <t>20231000061</t>
  </si>
  <si>
    <t>南山区百校焕新工程第二年度Ⅲ标段项目行政检查</t>
  </si>
  <si>
    <t>南山区百校焕新工程第二年度Ⅲ标段施工</t>
  </si>
  <si>
    <t>鲍建宏</t>
  </si>
  <si>
    <t>13603013135</t>
  </si>
  <si>
    <t>1.项目主要管理人员（项目经理、总监）在岗。2.扬尘防治6个100%已落实。3.围挡全封闭，公益广告宣传画无污损情况。</t>
  </si>
  <si>
    <t>深南住建检登[2023]21号</t>
  </si>
  <si>
    <r>
      <rPr>
        <b/>
        <sz val="12"/>
        <rFont val="楷体_GB2312"/>
        <charset val="134"/>
      </rPr>
      <t>李云</t>
    </r>
    <r>
      <rPr>
        <sz val="12"/>
        <rFont val="楷体_GB2312"/>
        <charset val="134"/>
      </rPr>
      <t>，谭亮</t>
    </r>
  </si>
  <si>
    <t>20231000050</t>
  </si>
  <si>
    <t>对深圳湾文化广场（深圳创意设计馆和深圳科技生活馆）施工总承包工程双随机抽查</t>
  </si>
  <si>
    <t>深圳湾文化广场（深圳创意设计馆和深圳科技生活馆）施工总承包工程</t>
  </si>
  <si>
    <t>中建科工集团有限公司</t>
  </si>
  <si>
    <t>914403006803525199</t>
  </si>
  <si>
    <t>深圳市南山区粤海街道蔚蓝海岸社区中心路3331号中建科工大厦38层3801</t>
  </si>
  <si>
    <t>黄世佳</t>
  </si>
  <si>
    <t>13297676677</t>
  </si>
  <si>
    <t>1.抽查深圳湾文化广场（深圳创意设计馆和深圳科技生活馆）施工总承包工程项目主要管理人员（项目经理、总监）在岗履职情况。2.抽查项目扬尘防治6个100%落实情况。3.抽查项目围挡是否全封闭、公益广告宣传画是否存在污损情况。</t>
  </si>
  <si>
    <t>1.项目主要管理人员（项目经理、总监）在岗。2.项目已落实扬尘防控措施。3.项目围挡全封闭，围挡宣传画无污损。</t>
  </si>
  <si>
    <t>深南住建检登[2023]18号</t>
  </si>
  <si>
    <r>
      <rPr>
        <b/>
        <sz val="12"/>
        <rFont val="楷体_GB2312"/>
        <charset val="134"/>
      </rPr>
      <t>付泽正</t>
    </r>
    <r>
      <rPr>
        <sz val="12"/>
        <rFont val="楷体_GB2312"/>
        <charset val="134"/>
      </rPr>
      <t>，高健</t>
    </r>
  </si>
  <si>
    <t>20231000056</t>
  </si>
  <si>
    <t>对深圳普瑞眼科医院室内装修改造工程双随机抽查</t>
  </si>
  <si>
    <t>深圳普瑞眼科医院室内装修改造工程</t>
  </si>
  <si>
    <t>广西华辉装饰集团有限公司</t>
  </si>
  <si>
    <t>91450100715181482M</t>
  </si>
  <si>
    <t>广西壮族自治区南宁市江南区南宁经济技术开发区国凯一支路15号二楼</t>
  </si>
  <si>
    <t>蒙元波</t>
  </si>
  <si>
    <t>13377155631</t>
  </si>
  <si>
    <t>1.项目主要管理人员（项目经理、总监）在岗。2.装饰装修工程无扬尘作业。3.项目围挡全封闭，围挡宣传画无污损。</t>
  </si>
  <si>
    <t>深南住建检登[2023]19号</t>
  </si>
  <si>
    <t>20231000060</t>
  </si>
  <si>
    <t>对前海合作区桂湾片区支路二期（供冷管网）工程双随机抽查</t>
  </si>
  <si>
    <t>前海合作区桂湾片区支路二期（供冷管网）工程</t>
  </si>
  <si>
    <t>中建五局安装工程有限公司</t>
  </si>
  <si>
    <t>914300001837904624</t>
  </si>
  <si>
    <t>南山区前海合作区桂湾片区</t>
  </si>
  <si>
    <t>赵博文</t>
  </si>
  <si>
    <t>18676480627</t>
  </si>
  <si>
    <t>1.抽查前海合作区桂湾片区支路二期（供冷管网）工程项目主要管理人员（项目经理、总监）在岗履职情况。2.抽查项目扬尘防治6个100%落实情况。3.抽查项目围挡是否全封闭、公益广告宣传画是否存在污损情况。</t>
  </si>
  <si>
    <t>1.项目主要管理人员（项目经理、总监）在岗。2.现场已落实扬尘防控措施。3.项目围挡全封闭，围挡宣传画无污损。</t>
  </si>
  <si>
    <t>深南住建检登[2023]22号</t>
  </si>
  <si>
    <t>20231000057</t>
  </si>
  <si>
    <t>九纵二街（公正大街—公正北一街段）和公正大街（九纵二街—九纵三街段）道路及通道工程行政检查</t>
  </si>
  <si>
    <t>九纵二街（公正大街—公正北一街段）和公正大街（九纵二街—九纵三街段）道路及通道工程</t>
  </si>
  <si>
    <t>深圳市新达基建设集团有限公司</t>
  </si>
  <si>
    <t>91440300568545820L</t>
  </si>
  <si>
    <t>深圳市南山区前海片区09-03-02地块</t>
  </si>
  <si>
    <t>吕鹏</t>
  </si>
  <si>
    <t>13423724622</t>
  </si>
  <si>
    <t>深南住建检登[2023]20号</t>
  </si>
  <si>
    <t>20231000038</t>
  </si>
  <si>
    <t>对前海合作区智能公交站台（二期）项目双随机行政检查</t>
  </si>
  <si>
    <t>前海合作区智能公交站台（二期）</t>
  </si>
  <si>
    <t>中建五局土木工程有限公司</t>
  </si>
  <si>
    <t>914301001838581486</t>
  </si>
  <si>
    <t>湖南省长沙市雨花区正塘坡路69号中建信和城总部国际二期大厦B座5-8楼</t>
  </si>
  <si>
    <t>吕高全</t>
  </si>
  <si>
    <t>18107719508</t>
  </si>
  <si>
    <t>1.项目主要管理人员（项目经理、总监）在岗。2.扬尘防治6个100%已落实。3.围挡全封闭，公益广告宣传画无污损。</t>
  </si>
  <si>
    <t>深南住建检登[2023]15号</t>
  </si>
  <si>
    <r>
      <rPr>
        <b/>
        <sz val="12"/>
        <rFont val="楷体_GB2312"/>
        <charset val="134"/>
      </rPr>
      <t>李云</t>
    </r>
    <r>
      <rPr>
        <sz val="12"/>
        <rFont val="楷体_GB2312"/>
        <charset val="134"/>
      </rPr>
      <t>，高健</t>
    </r>
  </si>
  <si>
    <t>20231000044</t>
  </si>
  <si>
    <t>对创新7街（创新6街-创新8街）道路工程双随机抽查</t>
  </si>
  <si>
    <t>创新7街（创新6街-创新8街）道路工程</t>
  </si>
  <si>
    <t>何倩倩</t>
  </si>
  <si>
    <t>13612963557</t>
  </si>
  <si>
    <t>1.抽查创新7街（创新6街-创新8街）道路工程项目主要管理人员（项目经理、总监）在岗履职情况。2.抽查项目扬尘防治6个100%落实情况。3.抽查项目围挡是否全封闭、公益广告宣传画是否存在污损情况。</t>
  </si>
  <si>
    <t>1.项目主要管理人员（项目经理、总监）在岗。2.项目现场已完成路面施工作业，无涉及扬尘施工作业。3.项目现场已完成路面施工作业，围挡已拆除。</t>
  </si>
  <si>
    <t>深南住建检登[2023]16号</t>
  </si>
  <si>
    <r>
      <rPr>
        <b/>
        <sz val="12"/>
        <rFont val="楷体_GB2312"/>
        <charset val="134"/>
      </rPr>
      <t>付泽正</t>
    </r>
    <r>
      <rPr>
        <sz val="12"/>
        <rFont val="楷体_GB2312"/>
        <charset val="134"/>
      </rPr>
      <t>，谭亮</t>
    </r>
  </si>
  <si>
    <t>20231000062</t>
  </si>
  <si>
    <t>对烯创科技大厦项目主体工程双随机抽查</t>
  </si>
  <si>
    <t>烯创科技大厦项目主体工程</t>
  </si>
  <si>
    <t>中建五局华南建设有限公司</t>
  </si>
  <si>
    <t>9144030019220674XY</t>
  </si>
  <si>
    <t>留仙洞总部基地留仙大道与仙鼓路交汇处西南角</t>
  </si>
  <si>
    <t>蒋羽辉</t>
  </si>
  <si>
    <t>15017495517</t>
  </si>
  <si>
    <t>1.项目主要管理人员（项目经理、总监）在岗。2.目前装饰装修阶段，无扬尘作业。3.项目围挡全封闭，围挡宣传画无污损。</t>
  </si>
  <si>
    <t>深南住建检登[2023]23号</t>
  </si>
  <si>
    <t>23年检查</t>
  </si>
  <si>
    <t>合计</t>
  </si>
  <si>
    <t>南山区安监站行政处罚台账（标绿为文明施工类）</t>
  </si>
  <si>
    <t>市司法局系统案件编号</t>
  </si>
  <si>
    <t>案件名称</t>
  </si>
  <si>
    <t>处罚企业名称/人员名称</t>
  </si>
  <si>
    <t>企业（人员）角色</t>
  </si>
  <si>
    <t>社会信用代码/个人身份证号码</t>
  </si>
  <si>
    <t>案由</t>
  </si>
  <si>
    <t>处罚原因（标绿为文明施工类）</t>
  </si>
  <si>
    <t>立案编号</t>
  </si>
  <si>
    <t>行政处罚
决定书文号</t>
  </si>
  <si>
    <t>立案时间</t>
  </si>
  <si>
    <t>处罚决定时间</t>
  </si>
  <si>
    <t>处罚金额
（万元）</t>
  </si>
  <si>
    <t>结案时间</t>
  </si>
  <si>
    <t>归档号</t>
  </si>
  <si>
    <t>经办人员</t>
  </si>
  <si>
    <r>
      <rPr>
        <sz val="12"/>
        <rFont val="黑体"/>
        <charset val="134"/>
      </rPr>
      <t xml:space="preserve">省执法公示
</t>
    </r>
    <r>
      <rPr>
        <b/>
        <sz val="12"/>
        <color rgb="FFFF0000"/>
        <rFont val="黑体"/>
        <charset val="134"/>
      </rPr>
      <t>（7个工作日）</t>
    </r>
  </si>
  <si>
    <r>
      <rPr>
        <sz val="12"/>
        <rFont val="黑体"/>
        <charset val="134"/>
      </rPr>
      <t>结果报送区司法局/局法制科</t>
    </r>
    <r>
      <rPr>
        <b/>
        <sz val="12"/>
        <color rgb="FFFF0000"/>
        <rFont val="黑体"/>
        <charset val="134"/>
      </rPr>
      <t>（5日内）</t>
    </r>
  </si>
  <si>
    <r>
      <rPr>
        <sz val="12"/>
        <rFont val="黑体"/>
        <charset val="134"/>
      </rPr>
      <t>市司法系统
（</t>
    </r>
    <r>
      <rPr>
        <b/>
        <sz val="12"/>
        <color rgb="FFFF0000"/>
        <rFont val="黑体"/>
        <charset val="134"/>
      </rPr>
      <t>7个自然日</t>
    </r>
    <r>
      <rPr>
        <sz val="12"/>
        <rFont val="黑体"/>
        <charset val="134"/>
      </rPr>
      <t>）</t>
    </r>
  </si>
  <si>
    <r>
      <rPr>
        <sz val="12"/>
        <rFont val="黑体"/>
        <charset val="134"/>
      </rPr>
      <t>区政务平台
（</t>
    </r>
    <r>
      <rPr>
        <b/>
        <sz val="12"/>
        <color rgb="FFFF0000"/>
        <rFont val="黑体"/>
        <charset val="134"/>
      </rPr>
      <t>7个自然日</t>
    </r>
    <r>
      <rPr>
        <sz val="12"/>
        <rFont val="黑体"/>
        <charset val="134"/>
      </rPr>
      <t>）</t>
    </r>
  </si>
  <si>
    <t>市住建局智慧监管平台</t>
  </si>
  <si>
    <t>法制科归档</t>
  </si>
  <si>
    <t>案卷整理</t>
  </si>
  <si>
    <t>制作光盘</t>
  </si>
  <si>
    <t>打码装订</t>
  </si>
  <si>
    <t>制作外盒</t>
  </si>
  <si>
    <t>归档时间</t>
  </si>
  <si>
    <t>提出复议时间</t>
  </si>
  <si>
    <t>被撤销时间</t>
  </si>
  <si>
    <t>复议结果</t>
  </si>
  <si>
    <t>行政诉讼时间</t>
  </si>
  <si>
    <t>诉讼结果</t>
  </si>
  <si>
    <t>执行结果</t>
  </si>
  <si>
    <t>非税通知书号码/识别码</t>
  </si>
  <si>
    <t>非税票据号码</t>
  </si>
  <si>
    <t>南山智园D区土石方及基坑支护工程</t>
  </si>
  <si>
    <t>徐士春</t>
  </si>
  <si>
    <t>专职安全生产管理人员徐士春安全生产考核证执业单位未变更</t>
  </si>
  <si>
    <t>深南住建安罚[2016]101号</t>
  </si>
  <si>
    <t>罚款</t>
  </si>
  <si>
    <t>北京大学深圳研究生院跨大沙河人行桥工程</t>
  </si>
  <si>
    <t>龚吉保</t>
  </si>
  <si>
    <t>项目专职安全管理人员龚吉保未按规定每天对该项目开展安全检查，根据《建筑施工企业主要责任人、项目负责人和专职安全生产管理人员安全生产管理规定》第二十条“项目专职安全生产管理人员应当每天在施工现场开展安全检查，现场监督危险性较大的分部分项工程安全专项施工方案实施。对检查中发现的安全事故隐患，应当立即处理；不能处理的，应当及时报告项目负责人和企业安全生产管理机构。项目负责人应当及时处理，检查及处理情况应当记入项目安全管理档案</t>
  </si>
  <si>
    <t>深南住建安罚[2017]301号</t>
  </si>
  <si>
    <t>华润城润府三期地下室工程</t>
  </si>
  <si>
    <t>上海颐东机械施工工程有限公司</t>
  </si>
  <si>
    <t>专业分包单位</t>
  </si>
  <si>
    <t>施工现场安装塔式起重机，未按规定办理安装告知手续</t>
  </si>
  <si>
    <t>深南住建安罚[2017]101号</t>
  </si>
  <si>
    <t>华润置地（深圳）有限公司</t>
  </si>
  <si>
    <t>建设单位</t>
  </si>
  <si>
    <t>施工现场安装塔式起重机，未按规定办理安装告知手续，在接到监理单位报告后，未责令安装单位立即停工整改，涉嫌违反《建筑起重机械安全监督管理规定》第三十三条的规定</t>
  </si>
  <si>
    <t>深南住建安罚[2017]103号</t>
  </si>
  <si>
    <t>华润建筑有限公司</t>
  </si>
  <si>
    <t>施工单位</t>
  </si>
  <si>
    <t>施工现场安装多台塔式起重机作业，未组织制定并实施防止塔式起重机相互碰撞的安全措施，上述行为违反《建筑起重机械安全监督管理规定》第二十一条“施工现场安装多台塔式起重机作业，未组织制定并实施防止塔式起重机相互碰撞的安全措施”</t>
  </si>
  <si>
    <t>深南住建安罚[2017]102号</t>
  </si>
  <si>
    <t>华润城学校总承包</t>
  </si>
  <si>
    <t>华润城学校总承包工程建设单位为华润置地（深圳）有限公司，改工程施工现场4台塔式起重机作业未办理安装告知手续，建设单位在接到监理单位报告后，未责令安装单位、使用单位立即停工整改，涉嫌违反《建筑起重机械安全监督管理规定》第三十三条</t>
  </si>
  <si>
    <t>深南住建安罚[2017]305号</t>
  </si>
  <si>
    <t>华润城学校总承包工程施工单位为华润建筑有限公司，该工程现场有4台塔式起重机，塔式起重机使用单位为华润建筑有限公司，改项目经理部未配备专职的设备管理人员，并造成一定后果。涉嫌违反《建筑起重机械安全监督管理规定》第十八条第四项的规定</t>
  </si>
  <si>
    <t>深南住建安罚[2017]303号</t>
  </si>
  <si>
    <t>北京远达国际工程管理咨询有限公司</t>
  </si>
  <si>
    <t>监理单位</t>
  </si>
  <si>
    <t>华润城学校总承包工程监理单位为北京远达国际工程管理咨询有限公司，该工程现场有4台塔式起重机，监理单位未按要求审核建筑起重机械安装单位资质证书、安全生产许可证和特种作业人员的特种作业操作资格证书。涉嫌违反《建筑起重机械安全监督管理规定》第二十二条第二项的规定。</t>
  </si>
  <si>
    <t>深南住建安罚[2017]304号</t>
  </si>
  <si>
    <t>深圳市苏中九鼎机械设备有限公司</t>
  </si>
  <si>
    <t>华润城学校总承包工程现场有4台塔式起重机，塔式起重机的安装单位为深圳市苏中九鼎机械设备有限公司。该工程塔式起重机安装施工作业未经监理审核、未书面告知工程所在地县级以上地方人民政府建设主管部门办理安装告知手续，涉嫌违反《建筑起重机械安全监督管理规定》第十二条第五项的规定。</t>
  </si>
  <si>
    <t>深南住建安罚[2017]302号</t>
  </si>
  <si>
    <t>南山区档案服务大厦工程</t>
  </si>
  <si>
    <t>中建钢构有限公司</t>
  </si>
  <si>
    <t>2017年9月10日现场施工过程中，对产生扬尘的施工作业未采取覆盖、洒
水抑尘等有限防尘降尘措施，涉嫌违反《中华人民共和国大气污染防治法》</t>
  </si>
  <si>
    <t>深南住建安罚[2017]306号</t>
  </si>
  <si>
    <t>华润城润府二期（一区）总承包工程</t>
  </si>
  <si>
    <t>深圳市华辉装饰工程有限公司</t>
  </si>
  <si>
    <t>未为从业人员提供符合国家标准或者行业标准的安全帽</t>
  </si>
  <si>
    <t>深南住建安罚[2017]202号</t>
  </si>
  <si>
    <t>海峡两岸学生棒球联赛总决赛场地建设项目代建</t>
  </si>
  <si>
    <t>项目现场搭设的悬挑脚手架，施工前项目管理的技术人员未对有关安全施工的技术要求向施工作业班组、作业人员作出详细说明，2017年9月26日已责令你单位限期整改，你单位逾期仍未整改到位。你单位上述的行为已违反了《建设工程安全生产管理条例》第二十七条的规定</t>
  </si>
  <si>
    <t>深南住建安罚[2017]201号</t>
  </si>
  <si>
    <t>兆邦基科技中心</t>
  </si>
  <si>
    <t>中果建筑第四工程局有限公司</t>
  </si>
  <si>
    <t>2#塔吊第一道附着装置四根拉杆中的外侧两根拉杆与建筑结构锚固的连接耳板断裂失效，内侧拉杆变形</t>
  </si>
  <si>
    <t>深南住建安罚[2017]203号</t>
  </si>
  <si>
    <t>大疆天空之城大厦、大疆天空之城大厦（二期)</t>
  </si>
  <si>
    <t>深圳市兆鹏机电设备有限公司</t>
  </si>
  <si>
    <t>经查，大疆天空之城大厦、大疆天空之城大厦（二期）项目工程现场有4台塔式起重机，塔式起重机的安装单位为深圳市兆鹏机电设备有限公司。该工程塔式起重机安装施工作业前安装单位未按规定告知工程所在地县级以上地方人民政府建设主管部门办理安装告知手续，涉嫌违反《建筑起重机械安全监督管理规定》第十二条“安装单位应当履行下列安全职责：（五）将建筑起重机械安装、拆卸工程专项施工方案，安装、拆卸人员名单，安装、拆卸时间等材料报施工总承包单位和监理单位审核后，告知工程所在地县级以上地方人民政府建设主管部门。”的规定。</t>
  </si>
  <si>
    <t>深南住建安罚[2018]304号</t>
  </si>
  <si>
    <t>三组</t>
  </si>
  <si>
    <t>中国建筑第四工程局有限公司</t>
  </si>
  <si>
    <t>经查，大疆天空之城大厦、大疆天空之城大厦（二期）项目工程现场有4台塔式起重机，该工程施工总承包单位为中国建筑第四工程局有限公司。该工程塔式起重机安装施工作业前，施工总承包单位未按规定审核安装单位的资质证书、安全生产许可证和特种作业人员的特种作业操作资格证书，未审核安装单位制定的建筑起重机械安全专项施工方案和生产安全事故应急救援预案，未审核使用单位制定的建筑起重机械生产安全事故应急救援预案，涉嫌违反《建筑起重机械安全监督管理规定》第二十一条第三、四、五项的规定。</t>
  </si>
  <si>
    <t>深南住建安罚[2018]305号</t>
  </si>
  <si>
    <t>深圳市大兴工程管理有限公司</t>
  </si>
  <si>
    <t>经查，大疆天空之城大厦、大疆天空之城大厦（二期）项目工程现场有4台塔式起重机，该工程的监理单位为深圳市大兴工程管理有限公司。该工程的建筑起重机械特种设备制造许可证、产品合格证、制造监督检验证明、备案证明等文件及建筑起重机械安装单位的资质证书、安全生产许可证和特种作业人员的特种作业操作资格证书等虽然合乎要求，但是监理单位未按规定审核，涉嫌违反《建筑起重机械安全监督管理规定》第二十二条“监理单位应当履行下列安全职责：（一）审核建筑起重机械特种设备制造许可证、产品合格证、制造监督检验证明、备案证明等文件；（二）审核建筑起重机械安装单位、使用单位的资质证书、安全生产许可证和特种作业人员的特种作业操作资格证书”的规定。</t>
  </si>
  <si>
    <t>深南住建安罚[2018]306号</t>
  </si>
  <si>
    <t>市法制办
2018-9-1</t>
  </si>
  <si>
    <r>
      <rPr>
        <b/>
        <sz val="12"/>
        <rFont val="楷体_GB2312"/>
        <charset val="134"/>
      </rPr>
      <t>长源京基御景</t>
    </r>
    <r>
      <rPr>
        <b/>
        <sz val="12"/>
        <rFont val="宋体"/>
        <charset val="134"/>
      </rPr>
      <t>峯</t>
    </r>
    <r>
      <rPr>
        <b/>
        <sz val="12"/>
        <rFont val="楷体_GB2312"/>
        <charset val="134"/>
      </rPr>
      <t>公馆工程</t>
    </r>
  </si>
  <si>
    <t>江苏省华建建设股份有限公司</t>
  </si>
  <si>
    <r>
      <rPr>
        <sz val="12"/>
        <rFont val="楷体_GB2312"/>
        <charset val="134"/>
      </rPr>
      <t>经查，长源京基御景</t>
    </r>
    <r>
      <rPr>
        <sz val="12"/>
        <rFont val="宋体"/>
        <charset val="134"/>
      </rPr>
      <t>峯</t>
    </r>
    <r>
      <rPr>
        <sz val="12"/>
        <rFont val="楷体_GB2312"/>
        <charset val="134"/>
      </rPr>
      <t>公馆施工总承包工程现场有4台塔式起重机和7台施工升降机，这11台建筑起重机械的安装单位为江苏省华建建设股份有限公司。该工程建筑起重机械安装前未按规定书面告知工程所在地县级以上地方人民政府建设主管部门办理安装告知手续，涉嫌违反《建筑起重机械安全监督管理规定》第十二条“安装单位应当履行下列安全职责：（五）将建筑起重机械安装、拆卸工程专项施工方案，安装、拆卸人员名单，安装、拆卸时间等材料报施工总承包单位和监理单位审核后，告知工程所在地县级以上地方人民政府建设主管部门。”的规定。</t>
    </r>
  </si>
  <si>
    <t>深南住建安罚[2018]301号</t>
  </si>
  <si>
    <t>深圳市九州建设技术股份有限公司</t>
  </si>
  <si>
    <r>
      <rPr>
        <sz val="12"/>
        <rFont val="楷体_GB2312"/>
        <charset val="134"/>
      </rPr>
      <t>经查，长源京基御景</t>
    </r>
    <r>
      <rPr>
        <sz val="12"/>
        <rFont val="宋体"/>
        <charset val="134"/>
      </rPr>
      <t>峯</t>
    </r>
    <r>
      <rPr>
        <sz val="12"/>
        <rFont val="楷体_GB2312"/>
        <charset val="134"/>
      </rPr>
      <t>公馆施工总承包工程的监理单位为深圳市九州建设技术股份有限公司。该工程现场有11台建筑起重机械，监理单位未按要求监督检查建筑起重机械的使用情况。涉嫌违反《建筑起重机械安全监督管理规定》第二十二条“监理单位应当履行下列安全职责：（五）监督检查建筑起重机械的使用情况”的规定。</t>
    </r>
  </si>
  <si>
    <t>深南住建安罚[2018]302号</t>
  </si>
  <si>
    <t>深圳市京基房地产股份有限公司</t>
  </si>
  <si>
    <r>
      <rPr>
        <sz val="12"/>
        <rFont val="楷体_GB2312"/>
        <charset val="134"/>
      </rPr>
      <t>经查，长源京基御景</t>
    </r>
    <r>
      <rPr>
        <sz val="12"/>
        <rFont val="宋体"/>
        <charset val="134"/>
      </rPr>
      <t>峯</t>
    </r>
    <r>
      <rPr>
        <sz val="12"/>
        <rFont val="楷体_GB2312"/>
        <charset val="134"/>
      </rPr>
      <t>公馆施工总承包工程的建设单位为深圳市京基房地产股份有限公司，该工程现场有4台塔式起重机和7台施工升降机。建设单位未按规定协调组织制定防止4台塔式起重机相互碰撞的安全措施。涉嫌违反《建筑起重机械安全监督管理规定》第三十三条“违反本规定，建设单位有下列行为之一的，由县级以上地方人民政府建设主管部门责令限期改正，予以警告，并处以5000元以上3万元以下罚款；逾期未改的，责令停止施工：（一）未按照规定协调组织制定防止多台塔式起重机相互碰撞的安全措施的”规定。</t>
    </r>
  </si>
  <si>
    <t>深南住建安罚[2018]303号</t>
  </si>
  <si>
    <t>关于常州达丰兆茂机械工程有限工程未办理安装告知手续擅自安装塔式起重机械案</t>
  </si>
  <si>
    <t>光启未来中心（基坑支护、边坡、土方）工程</t>
  </si>
  <si>
    <t>常州达丰兆茂机械工程有限工程</t>
  </si>
  <si>
    <t>91320400074745603C</t>
  </si>
  <si>
    <t>起重设备安装单位未办理安装告知手续擅自安装塔式起重机械</t>
  </si>
  <si>
    <t>经查，光启未来中心（基坑支护、边坡、土方）工程现场有一台塔式起重机，塔式起重机的安装单位为常州达丰兆茂机械工程有限公司。该工程台式起重机安装施工作业未经监理审核、未书面告知所在地县级以上地方人民政府建设主管部门办理安装告知手续，涉嫌违反《建筑起重机械安全监督管理规定》第十二条第五项的规定。</t>
  </si>
  <si>
    <t>NSAJ-2018101</t>
  </si>
  <si>
    <t>深南住建安罚〔2018〕101号</t>
  </si>
  <si>
    <t>宗海根、高健</t>
  </si>
  <si>
    <t>2019/08/23已补录上报</t>
  </si>
  <si>
    <t>关于深圳市银建安工程项目管理有限公司未履行建筑起重机械安全监督管理职责案</t>
  </si>
  <si>
    <t>深圳市银建安工程项目管理有限公司</t>
  </si>
  <si>
    <t>914403001923249228</t>
  </si>
  <si>
    <t>监理单位未审核塔式起重机安装单位相关资料</t>
  </si>
  <si>
    <t>经查，光启未来中心（基坑支护、边坡、土方）工程的监理单位为深圳市银建安工程项目管理有限公司，该工程现场有一台塔式起重机，监理单位未按要求审核建筑起重进行安装工专项施工方案和生产安全事故应急救援预案。涉嫌违反《建筑起重机械安全监督管理规定》第二十二条第二项的规定。</t>
  </si>
  <si>
    <t>NSAJ-2018102</t>
  </si>
  <si>
    <t>深南住建安罚〔2018〕102号</t>
  </si>
  <si>
    <t>关于中国十九冶集团有限公司未履行建筑起重机械安全监督管理职责案</t>
  </si>
  <si>
    <t>中国十九冶集团有限公司</t>
  </si>
  <si>
    <t>91510400204350723Y</t>
  </si>
  <si>
    <t>施工单位未按要求审核安装单位制定的建筑起重机械安装工程专项施工方案和生产安全事故应急救援预案</t>
  </si>
  <si>
    <t>经查，光启未来中心（基坑支护、边坡、土方）工程的施工单位为中国十九冶集团有限公司，该工程现场有一台塔式起重机，施工单位未按要求审核安装单位制定的建筑起重机械安装工程专项施工方案和生产安全事故应急救援预案。涉嫌违反《建筑起重机械安全监督管理规定》第二十一条第四项的规定。</t>
  </si>
  <si>
    <t>NSAJ-2018103</t>
  </si>
  <si>
    <t>深南住建安罚〔2018〕103号</t>
  </si>
  <si>
    <t>关于浙江省一建建设集团有限公司未采取相应的施工安全防护措施案</t>
  </si>
  <si>
    <t>望海学校工程</t>
  </si>
  <si>
    <t>浙江省一建建设集团有限公司</t>
  </si>
  <si>
    <t>91330000142911125H</t>
  </si>
  <si>
    <t>施工单位未采取相应的施工安全防护措施</t>
  </si>
  <si>
    <t>经查，望海学校工程的施工单位为浙江省一建建设集团有限公司，该项目综合馆钢筋绑扎高出作业人员为采取相应的施工安全防护措施（无可靠立足点、未系挂安全带），我站签发了《责令整改通知书》（深南住建安改【2018】0028号）要求施工单位限期整改。在2018年3月20日整改复查时，抽查现场发现综合馆宿舍区二层梁板高出作业人员仍未采取相应的安全防护措施（未佩戴安全带），涉嫌违反《深圳经济特区建设工程施工安全条例》第二十七条的规定。</t>
  </si>
  <si>
    <t>NSAJ-2018104</t>
  </si>
  <si>
    <t>深南住建安罚〔2018〕104号</t>
  </si>
  <si>
    <t>国安委办
2019-5-13</t>
  </si>
  <si>
    <t>关于中国十九冶集团有限公司未重新审核和论证专项施工方案案</t>
  </si>
  <si>
    <t>光启未来中心</t>
  </si>
  <si>
    <t>施工单位危大工程因设计变更未按规定修改并重新审核和论证</t>
  </si>
  <si>
    <t>经查，光启未来中心项目的施工单位为中国十九冶集团有限公司，该工程现场首层高大模板已搭设，抽查发现超过一定规模的危险性较大的分部分项工程（抽查部位④轴950×1000的梁、④-⑤15m梁板）未编制专项施工方案并组织专家论证。经现场核查后发现，该工程高大模板专项施工方案组织专家论证后，设计发生了变更，但专项施工方案未按规定重新审核和论证。涉嫌违反《危险性较大的分部分项工程安全管理规定》（住建部令第37号）第十六条的规定。</t>
  </si>
  <si>
    <t>NSAJ-2018105</t>
  </si>
  <si>
    <t>深南住建安罚〔2018〕105号</t>
  </si>
  <si>
    <t>关于潘实沛未重新审核和论证专项施工方案案</t>
  </si>
  <si>
    <t>潘实沛</t>
  </si>
  <si>
    <t>施工单位项目经理</t>
  </si>
  <si>
    <t>510106198502131810</t>
  </si>
  <si>
    <t>施工单位项目经理未组织对发生变更的危大工程专项施工方案进行重新审核和论证</t>
  </si>
  <si>
    <t>NSAJ-2018106</t>
  </si>
  <si>
    <t>深南住建安罚〔2018〕106号</t>
  </si>
  <si>
    <t>关于刘平未重新审核和论证专项施工方案案</t>
  </si>
  <si>
    <t>刘平</t>
  </si>
  <si>
    <t>施工单位项目技术负责人</t>
  </si>
  <si>
    <t>510402196501023414</t>
  </si>
  <si>
    <t>施工单位技术负责人未组织对发生变更的危大工程专项施工方案进行重新审核和论证</t>
  </si>
  <si>
    <t>NSAJ-2018107</t>
  </si>
  <si>
    <t>深南住建安罚〔2018〕107号</t>
  </si>
  <si>
    <t>关于深圳市中唐建筑工程有限公司未定期开展事故隐患排查案</t>
  </si>
  <si>
    <t>南山区南山街道兴泰地块城市更新单元项目</t>
  </si>
  <si>
    <t>深圳市中唐建筑工程有限公司</t>
  </si>
  <si>
    <t>91440300319591498W</t>
  </si>
  <si>
    <t>施工单位未定期开展事故隐患排查</t>
  </si>
  <si>
    <t>经查，南山区南山街道兴泰地块城市更新单元项目的施工单位为深圳市中唐建筑工程有限公司。该施工单位在该工地北侧道路上搭设双排落地式钢管架，架设高度约5.5米左右。施工单位未按照规定对该双排钢管架开展隐患排查并记录隐患排查情况，涉嫌违反《深圳市生产经营单位安全生产主体责任规定》（深圳市人民政府令第308号）第三十三条第一款“生产经营单位应当定期开展事故隐患排查，发现隐患应当立即整改；不能立即整改的，生产经营单位应当设置警戒标识，采取应急措施，公示事故隐患的危害程度、影响范围，并落实整改措施、责任、资金、时限和事故应急预案。事故隐患消除后，生产经营单位应当组织验收，并做好事故预防工作”的规定。</t>
  </si>
  <si>
    <t>NSAJ-2018301</t>
  </si>
  <si>
    <t>深南住建罚〔2018〕7号</t>
  </si>
  <si>
    <t>付泽正、董继峰</t>
  </si>
  <si>
    <t>区法制办
2018-10-31
国安委办
2019-5-13</t>
  </si>
  <si>
    <t>关于中建钢构有限公司擅自允许未密闭化车辆出场案</t>
  </si>
  <si>
    <t>南山区档案服务大厦</t>
  </si>
  <si>
    <t>施工单位擅自允许未密闭化车辆出场</t>
  </si>
  <si>
    <t>经查，南山区档案服务大厦工程的施工单位为中建钢构有限公司，该工程在2018年8月23日下午的土石方等建筑废弃物运输过程中，现场存在两台未密封化的车辆出入场的情况，车辆号牌分别为：粤BQ4507和粤BJ8789。施工单位允许这两台未密闭化的车辆进场，涉嫌违反《深圳市建筑废弃物运输和处置管理办法》（深圳市人民政府令第260号）第十六条第一款“建设单位、监理单位、施工单位不得允许有超载、未密闭化、车体不洁、车轮带泥、车厢外挂泥等情况的车辆出场，不得将建筑废弃物交给个人、未取得道路货物运输营运资质的运输单位或者未取得本办法第十九条规定的车辆检测合格证明的车辆运输”的规定。</t>
  </si>
  <si>
    <t>NSAJ-2018302</t>
  </si>
  <si>
    <t>深南住建罚〔2018〕18号</t>
  </si>
  <si>
    <t>区法制办
2018-10-31</t>
  </si>
  <si>
    <t>关于中建二局第一建筑工程有限公司未办理安装告知手续擅自安装塔式起重机械案</t>
  </si>
  <si>
    <r>
      <rPr>
        <b/>
        <sz val="12"/>
        <rFont val="楷体_GB2312"/>
        <charset val="134"/>
      </rPr>
      <t>长源御景</t>
    </r>
    <r>
      <rPr>
        <b/>
        <sz val="12"/>
        <rFont val="宋体"/>
        <charset val="134"/>
      </rPr>
      <t>峯</t>
    </r>
    <r>
      <rPr>
        <b/>
        <sz val="12"/>
        <rFont val="楷体_GB2312"/>
        <charset val="134"/>
      </rPr>
      <t>大厦</t>
    </r>
  </si>
  <si>
    <t>中建二局第一建筑工程有限公司</t>
  </si>
  <si>
    <t>91110000104341301L</t>
  </si>
  <si>
    <r>
      <rPr>
        <sz val="12"/>
        <rFont val="楷体_GB2312"/>
        <charset val="134"/>
      </rPr>
      <t>经查，长源御景</t>
    </r>
    <r>
      <rPr>
        <sz val="12"/>
        <rFont val="宋体"/>
        <charset val="134"/>
      </rPr>
      <t>峯</t>
    </r>
    <r>
      <rPr>
        <sz val="12"/>
        <rFont val="楷体_GB2312"/>
        <charset val="134"/>
      </rPr>
      <t>大厦现场有3台塔式起重机，其中一台编号为3号的塔式起重机安装单位为中建二局第一建筑工程有限公司。该塔式起重机安装前未按规定书面告知工程所在地县级以上地方人民政府建设主管部门，涉嫌违法《建筑起重机械安全监督管理规定》第十二条第五项的规定。</t>
    </r>
  </si>
  <si>
    <t>NSAJ-2018108</t>
  </si>
  <si>
    <t>深南住建罚〔2018〕8号</t>
  </si>
  <si>
    <t>关于中核华兴达丰机械械工程有限公司未办理安装告知手续擅自安装塔式起重机械案</t>
  </si>
  <si>
    <t>中核华兴达丰机械工程有限公司</t>
  </si>
  <si>
    <t>913210817635502973</t>
  </si>
  <si>
    <r>
      <rPr>
        <sz val="12"/>
        <rFont val="楷体_GB2312"/>
        <charset val="134"/>
      </rPr>
      <t>经查，长源御景</t>
    </r>
    <r>
      <rPr>
        <sz val="12"/>
        <rFont val="宋体"/>
        <charset val="134"/>
      </rPr>
      <t>峯</t>
    </r>
    <r>
      <rPr>
        <sz val="12"/>
        <rFont val="楷体_GB2312"/>
        <charset val="134"/>
      </rPr>
      <t>大厦现场有3台塔式起重机，其中两台编号为1号和2号的塔式起重机安装单位为中核华兴达丰机械工程有限公司。两台塔式起重机安装前未按规定书面告知工程所在地县级以上地方人民政府建设主管部门，涉嫌违法《建筑起重机械安全监督管理规定》第十二条第五项的规定。</t>
    </r>
  </si>
  <si>
    <t>NSAJ-2018109</t>
  </si>
  <si>
    <t>深南住建罚〔2018〕9号</t>
  </si>
  <si>
    <t>关于深圳市京基房地产股份有限公司未责令安装单位、使用单位立即停工整改案</t>
  </si>
  <si>
    <t>914403001923033209</t>
  </si>
  <si>
    <t>建设单位未责令停止安装、使用塔式起重机械</t>
  </si>
  <si>
    <r>
      <rPr>
        <sz val="12"/>
        <rFont val="楷体_GB2312"/>
        <charset val="134"/>
      </rPr>
      <t>经查，长源御景</t>
    </r>
    <r>
      <rPr>
        <sz val="12"/>
        <rFont val="宋体"/>
        <charset val="134"/>
      </rPr>
      <t>峯</t>
    </r>
    <r>
      <rPr>
        <sz val="12"/>
        <rFont val="楷体_GB2312"/>
        <charset val="134"/>
      </rPr>
      <t>大厦的建设单位为深圳市京基房地产股份有限公司，该工程现场有3台塔式起重机，塔式起重机在未告知工程所在地县级以上人民政府建设主管部门情况下进行安装作业并投入使用。建设单位接到监理单位报告后，未责令安装单位、使用单位立即停工整改。涉嫌违法《建筑起重机械安全监督管理规定》第三十三第二项的规定。</t>
    </r>
  </si>
  <si>
    <t>NSAJ-2018110</t>
  </si>
  <si>
    <t>深南住建罚〔2018〕10号</t>
  </si>
  <si>
    <t>关于深圳市九州建设技术股份有限公司未审核塔式起重机械安装单位相关材料案</t>
  </si>
  <si>
    <t>91440300192360878C</t>
  </si>
  <si>
    <r>
      <rPr>
        <sz val="12"/>
        <rFont val="楷体_GB2312"/>
        <charset val="134"/>
      </rPr>
      <t>经查，长源御景</t>
    </r>
    <r>
      <rPr>
        <sz val="12"/>
        <rFont val="宋体"/>
        <charset val="134"/>
      </rPr>
      <t>峯</t>
    </r>
    <r>
      <rPr>
        <sz val="12"/>
        <rFont val="楷体_GB2312"/>
        <charset val="134"/>
      </rPr>
      <t>大厦的监理单位为深圳市九州建设技术股份有限公司。该工程现场有3台塔式起重机，建筑起重机械安装单位资质证书、安全生产许可证和特种作业操作资格证书虽然合乎要求，但监理单位未审核。涉嫌违反《建筑起重机械安全监督管理规定》第二十二条第二项的规定。</t>
    </r>
  </si>
  <si>
    <t>NSAJ-2018111</t>
  </si>
  <si>
    <t>深南住建罚〔2018〕11号</t>
  </si>
  <si>
    <t>省司法厅
2019-4-8
国安委办
2019-5-13</t>
  </si>
  <si>
    <t>关于深圳市蛇口招商港湾工程有限公司未采用密闭式防尘网遮盖建筑土方案</t>
  </si>
  <si>
    <t>康佳集团总部厂区城市更新项目基坑支护与土石方工程</t>
  </si>
  <si>
    <t>深圳市蛇口招商港湾工程有限公司</t>
  </si>
  <si>
    <t>914403001924420643</t>
  </si>
  <si>
    <t>施工单位未对场地内对方的建筑土方采取遮盖措施</t>
  </si>
  <si>
    <t>场地内堆放的建筑土方未采取遮盖措施。涉嫌违反《中华人民共和国大气污染防治法》第六十九条。</t>
  </si>
  <si>
    <t>NSAJ-2018201</t>
  </si>
  <si>
    <t>深南住建安罚〔2018〕201号</t>
  </si>
  <si>
    <t>贺爱军、谭亮</t>
  </si>
  <si>
    <t>长源京基御领公馆</t>
  </si>
  <si>
    <t>经查，长源京基御领公馆现场有2台塔式起重机，这2台建筑起重机械的产权和安装单位为中建二局第一建筑工程有限公司，该工程建筑起重机械安装前未按规定书面告知工程所在地县级以上地方人民政府建设部门并办理安装告知手续，你单位违反了《建筑起重机械安全监督管理规定》第十二条第五项的规定。</t>
  </si>
  <si>
    <t>NSAJ-2018202</t>
  </si>
  <si>
    <t>深南住建安罚〔2018〕第202号</t>
  </si>
  <si>
    <t>关于深圳市九州建设技术股份有限公司未监督检查建筑起重机械使用情况案</t>
  </si>
  <si>
    <t>经查，长源京基御领公馆的监理单位为深圳市九州建设技术股份有限公司，该工程现场有5台建筑起重机械，监理单位未按要求监督检查建筑起重机械的使用情况，你单位违反了《建筑起重机械安全监督管理规定》第十二条第五项的规定。</t>
  </si>
  <si>
    <t>NSAJ-2018203</t>
  </si>
  <si>
    <t>深南住建安罚〔2018〕第203号</t>
  </si>
  <si>
    <t>经查，长源京基御领公馆的建设单位为深圳市京基房地产股份有限公司，该工程现场有2台塔式起重机和3台施工升降机，该工程塔式起重机、施工升降机未告知工程所在地县级以上地方人民政府建设部门下进行安装作业并投入使用，监理对其发的安全隐患整改报告，建设单位未责令安装单位、使用单位立即停工整改。你单位违反了《建筑起重机械安全监督管理规定》第三十三条第二项的规定。</t>
  </si>
  <si>
    <t>NSAJ-2018204</t>
  </si>
  <si>
    <t>深南住建安罚〔2018〕第204号</t>
  </si>
  <si>
    <r>
      <rPr>
        <sz val="12"/>
        <rFont val="楷体_GB2312"/>
        <charset val="134"/>
      </rPr>
      <t>关于广东省肇庆市</t>
    </r>
    <r>
      <rPr>
        <sz val="12"/>
        <rFont val="宋体"/>
        <charset val="134"/>
      </rPr>
      <t>燊</t>
    </r>
    <r>
      <rPr>
        <sz val="12"/>
        <rFont val="楷体_GB2312"/>
        <charset val="134"/>
      </rPr>
      <t>荣建筑安装装饰工程有限公司未办理安装告知手续擅自安装建筑起重机械案</t>
    </r>
  </si>
  <si>
    <r>
      <rPr>
        <sz val="12"/>
        <rFont val="楷体_GB2312"/>
        <charset val="134"/>
      </rPr>
      <t>广东省肇庆市</t>
    </r>
    <r>
      <rPr>
        <sz val="12"/>
        <rFont val="宋体"/>
        <charset val="134"/>
      </rPr>
      <t>燊</t>
    </r>
    <r>
      <rPr>
        <sz val="12"/>
        <rFont val="楷体_GB2312"/>
        <charset val="134"/>
      </rPr>
      <t>荣建筑安装装饰工程有限公司</t>
    </r>
  </si>
  <si>
    <t>91441200725081653X</t>
  </si>
  <si>
    <r>
      <rPr>
        <sz val="12"/>
        <rFont val="楷体_GB2312"/>
        <charset val="134"/>
      </rPr>
      <t>经查，长源京基御领公馆现场有3台施工升降机，这3台建筑起重机械安装单位为广东省肇庆市</t>
    </r>
    <r>
      <rPr>
        <sz val="12"/>
        <rFont val="宋体"/>
        <charset val="134"/>
      </rPr>
      <t>燊</t>
    </r>
    <r>
      <rPr>
        <sz val="12"/>
        <rFont val="楷体_GB2312"/>
        <charset val="134"/>
      </rPr>
      <t>荣建筑安装装饰工程有限公司，该工程建筑起重机械安装前未按规定书面告知工程所在地县级以上地方人民政府建设部门并办理安装告知手续，你单位违反了《建筑起重机械安全监督管理规定》第十二条第五项的规定。</t>
    </r>
  </si>
  <si>
    <t>NSAJ-2018205</t>
  </si>
  <si>
    <t>深南住建安罚〔2018〕第205号</t>
  </si>
  <si>
    <t>关于河南六建租赁有限公司未办理安装告知手续擅自安装塔式起重机械案</t>
  </si>
  <si>
    <t>临海揽山御园</t>
  </si>
  <si>
    <t>河南六建租赁有限公司</t>
  </si>
  <si>
    <t>91410300757136786Y</t>
  </si>
  <si>
    <t>经查，你单位作为临海揽山御园项目塔式起重机械的安装单位，在该工程安装的1台塔式起重机械安装前未书面告知工程所在地县级以上地方人民政府建设主管部门，你单位的上述行为违反了《建筑起重机械安全监督管理规定》第十二条第五款的规定。</t>
  </si>
  <si>
    <t>NSAJ-2018112</t>
  </si>
  <si>
    <t>深南住建罚〔2018〕31号</t>
  </si>
  <si>
    <t>关于深圳市宏丰机械设备有限公司未办理安装告知手续擅自安装塔式起重机械案</t>
  </si>
  <si>
    <t>深圳市宏丰机械设备有限公司</t>
  </si>
  <si>
    <t>914403003061516371</t>
  </si>
  <si>
    <t>经查，临海揽山御园项目现场有6台塔式起重机，其中5台编号1、2、3、4、5号的塔式起重机安装单位为深圳市宏丰达机械设备有限公司。该塔式起重机安装前未书面告知工程所在地县级以上地方人民政府建设主管部门，涉嫌违反《建筑起重机械安全监督管理规定》第十二条第五项的规定。</t>
  </si>
  <si>
    <t>NSAJ-2018113</t>
  </si>
  <si>
    <t>深南住建罚〔2018〕32号</t>
  </si>
  <si>
    <t>经查，临海揽山御园项目的监理单位为深圳市九州建设技术股份有限公司。该工程现场有6台塔式起重机，建筑起重机械安装单位资质证书、安全生产许可证和特种作业操作资格证书虽然合乎要求，但监理单位未审核。涉嫌违反《建筑起重机械安全监督管理规定》第二十二条第二项的规定。</t>
  </si>
  <si>
    <t>NSAJ-2018114</t>
  </si>
  <si>
    <t>深南住建罚〔2018〕33号</t>
  </si>
  <si>
    <t>关于深圳市富诺房地产开发有限公司未责令停止安装、使用塔式起重机械案</t>
  </si>
  <si>
    <t>深圳市富诺房地产开发有限公司</t>
  </si>
  <si>
    <t>91440300680363146B</t>
  </si>
  <si>
    <t>经查，临海揽山御园项目的建设单位为深圳市富诺房地产开发有限公司，该工程现场有6台塔式起重机。该塔式起重机安装前未书面告知工程所在地县级以上地方人民政府建设主管部门情况下进行安装作业并投入使用，建设单位接到监理单位报告后，未责令安装单位、使用单位立即停工整改。涉嫌违反《建筑起重机械安全监督管理规定》第三十三条第二项的规定。</t>
  </si>
  <si>
    <t>NSAJ-2018115</t>
  </si>
  <si>
    <t>深南住建罚〔2018〕34号</t>
  </si>
  <si>
    <t>关于湖南省第四工程有限公司未制定实施塔式起重机械安全措施案</t>
  </si>
  <si>
    <t>湖南省第四工程有限公司</t>
  </si>
  <si>
    <t>91430500185520490U</t>
  </si>
  <si>
    <t>施工单位未制定实施塔式起重机械安全措施</t>
  </si>
  <si>
    <t>经查，临海揽山御园项目的施工总承包单位为湖南省第四工程有限公司，该工程现场有6台塔式起重机，施工总承包未组织制定并实施防止塔式起重机相互碰撞的安全措施。涉嫌违反《建筑起重机械安全监督管理规定》第二十一条第七项的规定。</t>
  </si>
  <si>
    <t>NSAJ-2018116</t>
  </si>
  <si>
    <t>深南住建罚〔2018〕35号</t>
  </si>
  <si>
    <t>关于中建二局第一建筑工程有限公司未完成实名制安全教育培训案</t>
  </si>
  <si>
    <t>施工单位未组织施工人员完成实名制安全教育培训或未通过考试</t>
  </si>
  <si>
    <r>
      <rPr>
        <sz val="12"/>
        <rFont val="楷体_GB2312"/>
        <charset val="134"/>
      </rPr>
      <t>经查，你单位作为长源御景</t>
    </r>
    <r>
      <rPr>
        <sz val="12"/>
        <rFont val="宋体"/>
        <charset val="134"/>
      </rPr>
      <t>峯</t>
    </r>
    <r>
      <rPr>
        <sz val="12"/>
        <rFont val="楷体_GB2312"/>
        <charset val="134"/>
      </rPr>
      <t>大厦的施工单位，执法人员在2018年12月28日对项目落实实名制安全教育培训检查，抽查5名工人（罗文奇、刘兴强、石国贵、吴清才、吕成付）未完成实名制安全教育培训或未通过考试。你单位的行为违反了《中华人民共和国安全生产法》第二十五条。</t>
    </r>
  </si>
  <si>
    <t>深南住建行罚〔2019〕1号</t>
  </si>
  <si>
    <t>深南住建罚〔2019〕1号</t>
  </si>
  <si>
    <t>安监站自编号：NSAJ2019001</t>
  </si>
  <si>
    <t>已补录公示</t>
  </si>
  <si>
    <t>区法制办
2019-8-23</t>
  </si>
  <si>
    <t>关于森帝木业（深圳）有限公司未落实安全监督管理案</t>
  </si>
  <si>
    <t>光大宿舍C栋二次装修工程</t>
  </si>
  <si>
    <t>森帝木业（深圳）有限公司</t>
  </si>
  <si>
    <t>91440300618840095J</t>
  </si>
  <si>
    <t>建设单位收到监理单位下发停止施工通知书后未责令施工单位立即停工整改</t>
  </si>
  <si>
    <t>经查，光大宿舍C栋二次装修工程的建设单位为森帝木业（深圳）有限公司，该工程现场有1台施工电梯未办理使用登记手续违规使用。建设单位在2019年3月2日收到了监理公司下发的停止施工通知，但未责令施工单位立即停工整改。涉嫌违反《建筑起重机械安全监督管理规定》第二十三条的规定。</t>
  </si>
  <si>
    <t>深南住建行罚〔2019〕2号</t>
  </si>
  <si>
    <t>深南住建罚〔2019〕2号</t>
  </si>
  <si>
    <t>警告+罚款</t>
  </si>
  <si>
    <t>安监站自编号：NSAJ2019002</t>
  </si>
  <si>
    <t>已公示</t>
  </si>
  <si>
    <t>关于吕邦武未按规定办理安全生产考核合格证书变更案</t>
  </si>
  <si>
    <t>女娲路（北段）施工总承包工程</t>
  </si>
  <si>
    <t>吕邦武</t>
  </si>
  <si>
    <t>420683198411231259</t>
  </si>
  <si>
    <t>项目经理未按规定办理安全生产考核合格证书变更</t>
  </si>
  <si>
    <t>当事人吕邦武于2019年4月12日被任命为女娲路（北段）施工总承包工程的项目经理，其所在聘用企业是深圳市罗湖建筑安装工程有限公司，但其未按规定办理安全生产考核合格证书变更。当事人的上述行为涉嫌违反《建筑施工企业主要负责人、项目负责人和专职安全生产管理人员安全生产管理规定》（中华人民共和国住房和城乡建设部令第17号）第十一条的规定。</t>
  </si>
  <si>
    <t>NSAJ-2019301</t>
  </si>
  <si>
    <t>深南住建罚〔2019〕7号</t>
  </si>
  <si>
    <t>安监站自编号：NSAJ2019003</t>
  </si>
  <si>
    <t>关于深圳市设计装饰工程有限公司未按照规定对清洗作业工人进行安全生产教育和培训案</t>
  </si>
  <si>
    <t>龙苑学校施工总承包</t>
  </si>
  <si>
    <t>深圳市设计装饰工程有限公司</t>
  </si>
  <si>
    <t>91440300192194152Y</t>
  </si>
  <si>
    <t>生产经营单位未对从业人员进行安全教育和培训</t>
  </si>
  <si>
    <t>经查，你单位龙苑学校工地幕墙清洗作业工人在使用座板式单人吊具悬吊作业，执法人员检查教育和培训资料，发现施工单位未对作业人员就座板式单人吊具的操作规程进行培训。你单位的上述行为违反了《中华人民共和国安全生产法》第二十五条的规定。</t>
  </si>
  <si>
    <t>深南住建立〔2019〕203号</t>
  </si>
  <si>
    <t>深南住建罚〔2019〕16号</t>
  </si>
  <si>
    <t>安监站自编号：NSAJ2019004</t>
  </si>
  <si>
    <t>已录入上报</t>
  </si>
  <si>
    <t>关于深圳市深安企业有限公司未按规定建立危大工程安全管理档案案</t>
  </si>
  <si>
    <t>深圳湾中学学生宿舍、食堂扩建工程</t>
  </si>
  <si>
    <t>深圳市深安企业有限公司</t>
  </si>
  <si>
    <t>91440300192321692Q</t>
  </si>
  <si>
    <t>施工单位未按规定建立危大工程安全管理档案</t>
  </si>
  <si>
    <t>经查，你（单位）作为深圳湾中学学生宿舍、食堂扩建工程的施工单位，未将悬挑式脚手架方案交底记录纳入档案管理。你（单位）的上述行为违反了《危险性较大的分部分项工程安全管理规定》（住建部令第37号）第二十四条“施工、监理单位应当建立危大工程安全管理档案。施工单位应当将专项施工方案及审核、专家论证、交底、现场检查、验收及整改等相关资料纳入档案管理”的规定。</t>
  </si>
  <si>
    <t>深南住建立〔2019〕NSAJ-101号</t>
  </si>
  <si>
    <t>深南住建罚〔2019〕17号</t>
  </si>
  <si>
    <t>安监站自编号：NSAJ2019005</t>
  </si>
  <si>
    <t>市安委办备查2019-12-16
省安委办备查2020-1-17</t>
  </si>
  <si>
    <t>关于张驰未按规定建立危大工程安全管理档案案</t>
  </si>
  <si>
    <t>张驰</t>
  </si>
  <si>
    <t>622627198407263416</t>
  </si>
  <si>
    <t>经查，你（单位）作为深圳湾中学学生宿舍、食堂扩建工程施工单位的项目经理，未将悬挑式脚手架方案交底记录纳入档案管理。你（单位）的上述行为违反了《危险性较大的分部分项工程安全管理规定》（住建部令第37号）第二十四条“施工、监理单位应当建立危大工程安全管理档案。施工单位应当将专项施工方案及审核、专家论证、交底、现场检查、验收及整改等相关资料纳入档案管理”的规定。</t>
  </si>
  <si>
    <t>深南住建立〔2019〕NSAJ-102号</t>
  </si>
  <si>
    <t>深南住建罚〔2019〕18号</t>
  </si>
  <si>
    <t>安监站自编号：NSAJ2019006</t>
  </si>
  <si>
    <t>关于周浩未按规定建立危大工程安全管理档案案</t>
  </si>
  <si>
    <t>周浩</t>
  </si>
  <si>
    <t>430381199202205019</t>
  </si>
  <si>
    <t>经查，你（单位）作为深圳湾中学学生宿舍、食堂扩建工程的施工单位项目技术负责人，未将悬挑式脚手架方案交底记录纳入档案管理。你（单位）的上述行为违反了《危险性较大的分部分项工程安全管理规定》（住建部令第37号）第二十四条“施工、监理单位应当建立危大工程安全管理档案。施工单位应当将专项施工方案及审核、专家论证、交底、现场检查、验收及整改等相关资料纳入档案管理”的规定。</t>
  </si>
  <si>
    <t>深南住建立〔2019〕NSAJ-103号</t>
  </si>
  <si>
    <t>深南住建罚〔2019〕19号</t>
  </si>
  <si>
    <t>安监站自编号：NSAJ2019007</t>
  </si>
  <si>
    <t>关于深圳深安建筑工程有限公司未采取覆盖、洒水抑尘等有效防尘降尘措施案</t>
  </si>
  <si>
    <t>时代广场二期项目土石方、基坑支护工程</t>
  </si>
  <si>
    <t>深圳深安建筑工程有限公司</t>
  </si>
  <si>
    <t>91440300MA5D9LT25D</t>
  </si>
  <si>
    <t>施工工地未采取覆盖、洒水抑尘等有效防尘降尘措施</t>
  </si>
  <si>
    <t>经查，时代广场二期项目土石方、基坑支护工程的施工单位为深圳深安建筑工程有限公司，我站在2019年8月8日监督执法巡查该项目时，发现施工工地未采取覆盖、洒水抑尘等有效防尘降尘措施，涉嫌违反《中华人民共和国大气污染防治法》第六十九条的规定。</t>
  </si>
  <si>
    <t>深南住建立[2019]NSAJ-104号</t>
  </si>
  <si>
    <t>深南住建罚[2019]26号</t>
  </si>
  <si>
    <t>安监站自编号：NSAJ2019008</t>
  </si>
  <si>
    <t>2020/9/25已补录上报</t>
  </si>
  <si>
    <t>关于深圳市鹏城建筑集团有限公司未按规定建立危大工程安全管理档案案</t>
  </si>
  <si>
    <t>大沙河截流箱涵改造工程</t>
  </si>
  <si>
    <t>深圳市鹏城建筑集团有限公司</t>
  </si>
  <si>
    <t>914403001921735545</t>
  </si>
  <si>
    <t>未按规定建立危大工程安全管理档案</t>
  </si>
  <si>
    <t>经查，大沙河截流箱涵改造工程的施工单位为深圳市鹏城建筑集团有限公司，我站在2019年8月15日监督执法抽查该项目的危大工程（基坑支护与土方开挖）安全管理档案时，发现施工单位未按规定建立危大工程安全管理档案，涉嫌违反《危险性较大的分部分项工程安全管理规定》（住建部令第37号）第二十四条的规定。</t>
  </si>
  <si>
    <t>深南住建立[2019]NSAJ-105号</t>
  </si>
  <si>
    <t>深南住建罚[2019]27号</t>
  </si>
  <si>
    <t>安监站自编号：NSAJ2019009</t>
  </si>
  <si>
    <t>市司法局2019-11-15</t>
  </si>
  <si>
    <t>关于张志钢未按规定建立危大工程安全管理档案案</t>
  </si>
  <si>
    <t>张志钢</t>
  </si>
  <si>
    <t>510107197502190070</t>
  </si>
  <si>
    <t>经查，大沙河截流箱涵改造工程的施工单位项目经理为张志钢，我站在2019年8月15日监督执法抽查该项目的危大工程（基坑支护与土方开挖）安全管理档案时，发现施工单位未按规定建立危大工程安全管理档案，涉嫌违反《危险性较大的分部分项工程安全管理规定》（住建部令第37号）第二十四条的规定。</t>
  </si>
  <si>
    <t>深南住建立[2019]NSAJ-106号</t>
  </si>
  <si>
    <t>深南住建罚[2019]28号</t>
  </si>
  <si>
    <t>安监站自编号：NSAJ2019010</t>
  </si>
  <si>
    <t>关于唐潇未按规定建立危大工程安全管理档案案</t>
  </si>
  <si>
    <t>唐潇</t>
  </si>
  <si>
    <t>440923198509024817</t>
  </si>
  <si>
    <t>经查，大沙河截流箱涵改造工程的施工单位项目技术负责人为唐潇，我站在2019年8月15日监督执法抽查该项目的危大工程（基坑支护与土方开挖）安全管理档案时，发现施工单位未按规定建立危大工程安全管理档案，涉嫌违反《危险性较大的分部分项工程安全管理规定》（住建部令第37号）第二十四条的规定。</t>
  </si>
  <si>
    <t>深南住建立[2019]NSAJ-107号</t>
  </si>
  <si>
    <t>深南住建罚[2019]29号</t>
  </si>
  <si>
    <t>安监站自编号：NSAJ2019011</t>
  </si>
  <si>
    <t>中国二冶集团有限公司未按照规定组织危大工程验收行政处罚案</t>
  </si>
  <si>
    <t>留仙小学改扩建施工总承包工程（I期）</t>
  </si>
  <si>
    <t>中国二冶集团有限公司</t>
  </si>
  <si>
    <t>9115020011439356XY</t>
  </si>
  <si>
    <t>施工单位未按照规定组织危大工程验收</t>
  </si>
  <si>
    <t>经查，留仙小学改扩建施工总承包工程（I期）的施工单位为中国二冶集团有限公司。执法人员在2019年8月30日的监督执法检查过程中发现，该项目C区地下一层顶板混凝土模板支撑工程的搭设高度约为6.5米，属于《住房和城乡建设部办公厅关于实施&lt;危险性较大的分部分项工程安全管理规定&gt;有关问题的通知》中危险性较大的分部分项工程范围（以下简称危大工程）。施工单位未按照规定组织危大工程验收，涉嫌违反《危险性较大的分部分项工程安全管理规定》（中华人民共和国住房和城乡建设部令第37号）第二十一条第一款的规定。</t>
  </si>
  <si>
    <t>深南住建立[2019]NSAJ-302号</t>
  </si>
  <si>
    <t>深南住建罚[2019]33号</t>
  </si>
  <si>
    <t>安监站自编号：NSAJ2019012</t>
  </si>
  <si>
    <t>市安委办2019-12-16</t>
  </si>
  <si>
    <t>翟国光未按照规定组织危大工程验收行政处罚案</t>
  </si>
  <si>
    <t>翟国光</t>
  </si>
  <si>
    <t>150203197902140016</t>
  </si>
  <si>
    <t>项目经理作为直接负责的主管人员未按照规定组织危大工程验收</t>
  </si>
  <si>
    <t>经查，留仙小学改扩建施工总承包工程（I期）施工单位的项目经理为翟国光。执法人员在2019年8月30日的监督执法检查过程中发现，该项目C区地下一层顶板混凝土模板支撑工程的搭设高度约为6.5米，属于《住房和城乡建设部办公厅关于实施&lt;危险性较大的分部分项工程安全管理规定&gt;有关问题的通知》中危险性较大的分部分项工程范围（以下简称危大工程）。施工单位未按照规定组织危大工程验收，项目经理作为直接负责的主管人员涉嫌违反《危险性较大的分部分项工程安全管理规定》（中华人民共和国住房和城乡建设部令第37号）第二十一条第一款的规定。</t>
  </si>
  <si>
    <t>深南住建立[2019]NSAJ-303号</t>
  </si>
  <si>
    <t>深南住建罚[2019]34号</t>
  </si>
  <si>
    <t>安监站自编号：NSAJ2019013</t>
  </si>
  <si>
    <t>省安委办备查2020-1-17</t>
  </si>
  <si>
    <t>赵志伟未按照规定组织危大工程验收行政处罚案</t>
  </si>
  <si>
    <t>赵志伟</t>
  </si>
  <si>
    <t>150429198308095311</t>
  </si>
  <si>
    <t>项目技术负责人作为直接责任人员未按照规定组织危大工程验收</t>
  </si>
  <si>
    <t>经查，留仙小学改扩建施工总承包工程（I期）施工单位的项目技术负责人为赵志伟。执法人员在2019年8月30日的监督执法检查过程中发现，该项目C区地下一层顶板混凝土模板支撑工程的搭设高度约为6.5米，属于《住房和城乡建设部办公厅关于实施&lt;危险性较大的分部分项工程安全管理规定&gt;有关问题的通知》中危险性较大的分部分项工程范围（以下简称危大工程）。施工单位未按照规定组织危大工程验收，项目技术负责人作为直接责任人员涉嫌违反《危险性较大的分部分项工程安全管理规定》（中华人民共和国住房和城乡建设部令第37号）第二十一条第一款的规定。</t>
  </si>
  <si>
    <t>深南住建立[2019]NSAJ-304号</t>
  </si>
  <si>
    <t>深南住建罚[2019]35号</t>
  </si>
  <si>
    <t>安监站自编号：NSAJ2019014</t>
  </si>
  <si>
    <t>深圳市深业泰然建设工程有限公司未按规定建立危大工程安全管理档案行政处罚案</t>
  </si>
  <si>
    <t>绿景美景广场</t>
  </si>
  <si>
    <t>深圳市深业泰然建设工程有限公司</t>
  </si>
  <si>
    <t>914403001922554453</t>
  </si>
  <si>
    <t>经查，绿景美景广场门窗幕墙安装工程的施工单位为深圳市深业泰然建设工程有限公司，我站在2019年9月5日监督执法抽查该项目的危大工程（建筑幕墙安装工程）安全管理档案时，发现施工单位未按规定建立危大工程安全管理档案，涉嫌违反《危险性较大的分部分项工程安全管理规定》（住建部令第37号）第二十四条的规定。</t>
  </si>
  <si>
    <t>深南住建立[2019]204号</t>
  </si>
  <si>
    <t>深南住建罚[2019]30号</t>
  </si>
  <si>
    <t>安监站自编号：NSAJ2019015</t>
  </si>
  <si>
    <t>陈宇嘉未按规定建立危大工程安全管理档案行政处罚案</t>
  </si>
  <si>
    <t>陈宇嘉</t>
  </si>
  <si>
    <t>专业分包单位项目经理</t>
  </si>
  <si>
    <t>420111197702135570</t>
  </si>
  <si>
    <t>经查，绿景美景广场门窗幕墙安装工程施工单位的项目经理为陈宇嘉，我站在2019年9月5日监督执法抽查该项目的危大工程（建筑幕墙安装工程）安全管理档案时，发现施工单位未按规定建立危大工程安全管理档案，涉嫌违反《危险性较大的分部分项工程安全管理规定》（住建部令第37号）第二十四条的规定。</t>
  </si>
  <si>
    <t>深南住建立[2019]205号</t>
  </si>
  <si>
    <t>深南住建罚[2019]31号</t>
  </si>
  <si>
    <t>安监站自编号：NSAJ2019016</t>
  </si>
  <si>
    <t>谢培生未按规定建立危大工程安全管理档案行政处罚案</t>
  </si>
  <si>
    <t>谢培生</t>
  </si>
  <si>
    <t>专业分包单位项目技术负责人</t>
  </si>
  <si>
    <t>445281198401180017</t>
  </si>
  <si>
    <t>经查，绿景美景广场门窗幕墙安装工程施工单位的现场技术负责人为谢培生，我站在2019年9月5日监督执法抽查该项目的危大工程（建筑幕墙安装工程）安全管理档案时，发现施工单位未按规定建立危大工程安全管理档案，涉嫌违反《危险性较大的分部分项工程安全管理规定》（住建部令第37号）第二十四条的规定。</t>
  </si>
  <si>
    <t>深南住建立[2019]206号</t>
  </si>
  <si>
    <t>深南住建罚[2019]32号</t>
  </si>
  <si>
    <t>安监站自编号：NSAJ2019017</t>
  </si>
  <si>
    <t>深圳市优高雅建筑装饰有限公司未为从业人员提供劳动防护用品行政处罚案</t>
  </si>
  <si>
    <t>华润城润府三期总承包</t>
  </si>
  <si>
    <t>深圳市优高雅建筑装饰有限公司</t>
  </si>
  <si>
    <t>91440300779878836U</t>
  </si>
  <si>
    <t>未为从业人员提供劳动防护用品</t>
  </si>
  <si>
    <t>经查，华润城润府三期装饰装修工程的施工单位为深圳市优高雅建筑装饰有限公司，我站在2019年10月23日监督执法巡查该项目时，发现2栋地下负一层电梯前室有两名高处作业人员未按规定佩戴和使用安全带，涉嫌违反《中华人民共和国安全生产法》第四十二条的规定。</t>
  </si>
  <si>
    <t>深南住建立[2019]NSAJ-108号</t>
  </si>
  <si>
    <t>深南住建罚[2019]51号</t>
  </si>
  <si>
    <t>安监站自编号：NSAJ2019018</t>
  </si>
  <si>
    <t>未装订</t>
  </si>
  <si>
    <t>中铁十六局集团有限公司未按照规定对从业人员进行安全生产教育和培训行政处罚案</t>
  </si>
  <si>
    <t>前海08-01-01地块公共开放空间-冷站、公交场站等工程</t>
  </si>
  <si>
    <t>施工单位未按照规定对从业人员进行安全生产教育和培训</t>
  </si>
  <si>
    <t>经查，前海08-01-01地块公共开放空间-冷站、公交场站等基坑支护和土石方工程的施工单位为中铁十六局集团有限公司。执法人员在2019年10月24日的监督执法检查过程中发现，该项目未对现场作业工人李德琴、魏国庆进行入场三级教育和安全技术交底，涉嫌违反《中华人民共和国安全生产法》第二十五条第一款的规定。</t>
  </si>
  <si>
    <t>深南住建立[2019]NSAJ-306号</t>
  </si>
  <si>
    <t>深南住建罚[2019]49号</t>
  </si>
  <si>
    <t>安监站自编号：NSAJ2019019</t>
  </si>
  <si>
    <t>中铁十六局集团有限公司电焊工未按照规定持证上岗行政处罚案</t>
  </si>
  <si>
    <t>电焊工未按照规定持证上岗</t>
  </si>
  <si>
    <t>经查，前海08-01-01地块公共开放空间-冷站、公交场站等基坑支护和土石方工程的施工单位为中铁十六局集团有限公司。执法人员在2019年10月24日的监督执法检查过程中发现，该项目地下室D区第四道支撑梁进行电焊作业的工人吴进无焊工特种作业人员证件，涉嫌违反《中华人民共和国安全生产法》第二十七条第一款的规定。</t>
  </si>
  <si>
    <t>深南住建立[2019]NSAJ-305号</t>
  </si>
  <si>
    <t>深南住建罚[2019]48号</t>
  </si>
  <si>
    <t>安监站自编号：NSAJ2019020</t>
  </si>
  <si>
    <t>广东省工业设备安装有限公司未按照规定对从业人员进行安全生产教育和培训行政处罚案</t>
  </si>
  <si>
    <t>南海救助局深圳基地陆域工程</t>
  </si>
  <si>
    <t>广东省工业设备安装有限公司</t>
  </si>
  <si>
    <t>91440000190321373W</t>
  </si>
  <si>
    <t>未按照规定对从业人员进行安全生产教育和培训</t>
  </si>
  <si>
    <t>2019年10月25日我站监督员检查广东省工业设备安装有限公司南海救助局深圳基地陆域工程项目，现场抽查到2名作业工人（罗现团、罗腾），发现广东省工业设备安装有限公司未对其进行安全生产教育和培训，该单位的行为涉嫌违反了《中华人民共和国安全生产法》第二十五条。</t>
  </si>
  <si>
    <t>深南住建立[2019]207号</t>
  </si>
  <si>
    <t>深南住建罚[2019]50号</t>
  </si>
  <si>
    <t>安监站自编号：NSAJ2019021</t>
  </si>
  <si>
    <t>NSAJ2020001</t>
  </si>
  <si>
    <t>甘明彦未按规定办理安全生产考核合格证书变更行政处罚案</t>
  </si>
  <si>
    <t>大疆天空之城大厦</t>
  </si>
  <si>
    <t>甘明彦</t>
  </si>
  <si>
    <t>430111198811220332</t>
  </si>
  <si>
    <t>“安管人员”未按规定办理证书变更</t>
  </si>
  <si>
    <t>经查，甘明彦是大疆天空之城大厦项目的钢结构施工单位项目经理，检查发现甘明彦的安全生产考核合格证注册企业为广东艺皇装饰工程有限公司,不是目前所在工作单位深圳建升和钢结构建筑安装工程有限公司。“安管人员”未按规定办理证书变更，违反了《建筑施工企业主要负责人、项目负责人和专职安全生产管理人员安全生产管理规定》第十一条的规定。</t>
  </si>
  <si>
    <t>深南住建立[2019]NSAJ-307号</t>
  </si>
  <si>
    <t>深南住建罚[2020]3号</t>
  </si>
  <si>
    <t>安监站自编号：NSAJ2020001</t>
  </si>
  <si>
    <t>已移交法制科</t>
  </si>
  <si>
    <t>√</t>
  </si>
  <si>
    <t>NSAJ2020002</t>
  </si>
  <si>
    <t>深圳市鼎基建设工程有限公司电焊工未按照规定持证上岗行政处罚案</t>
  </si>
  <si>
    <t>侨城北文体中心项目土石方、基坑支护工程</t>
  </si>
  <si>
    <t>深圳市鼎基建设工程有限公司</t>
  </si>
  <si>
    <t>9144030079259730XW</t>
  </si>
  <si>
    <t>经查，侨城北文体中心项目土石方、基坑支护工程的支护结构专业分包为深圳市鼎基建设工程有限公司。执法人员在2019年12月5日的监督执法检查过程中发现，该工程东侧冠梁进行钢筋电焊作业的一名工人王端玖无焊工证件，违反了《中华人民共和国安全生产法》第二十七条第一款的规定。</t>
  </si>
  <si>
    <t>深南住建立[2019]NSAJ-308号</t>
  </si>
  <si>
    <t>深南住建罚[2020]4号</t>
  </si>
  <si>
    <t>安监站自编号：NSAJ2020002</t>
  </si>
  <si>
    <t>NSAJ2020003</t>
  </si>
  <si>
    <t>上海市基础工程集团有限公司未建立扬尘污染防治工作台账行政处罚案</t>
  </si>
  <si>
    <t>华润城润玺二期花园基坑支护及土石方工程</t>
  </si>
  <si>
    <t>上海市基础工程集团有限公司</t>
  </si>
  <si>
    <t>91310000132414600T</t>
  </si>
  <si>
    <t>施工单位未建立扬尘污染防治工作台账</t>
  </si>
  <si>
    <t>经查，华润城润玺二期花园基坑支护及土石方工程的施工单位为上海市基础工程集团有限公司。执法人员在2019年12月31日的监督执法检查过程中发现，该施工单位未建立扬尘污染防治工作台账，违反了《广东省大气污染防治条例》第五十三条第一款的规定。</t>
  </si>
  <si>
    <t>深南住建立[2019]NSAJ-309号</t>
  </si>
  <si>
    <t>深南住建罚[2020]6号</t>
  </si>
  <si>
    <t>安监站自编号：NSAJ2020003</t>
  </si>
  <si>
    <t>已完工项目无法补录</t>
  </si>
  <si>
    <t>NSAJ2020004</t>
  </si>
  <si>
    <t>麒麟中学改扩建（南山实验学校初中部）代建施工总承包工程</t>
  </si>
  <si>
    <t>未按照规定组织危大工程验收</t>
  </si>
  <si>
    <t>经查，麒麟中学改扩建（南山实验学校初中部）代建施工总承包工程的施工单位为深圳市深安企业有限公司。在2020年5月19日监督执法抽查该项目的危大工程（H栋悬挑式脚手架）时，发现施工单位未按照规定组织危大工程验收，违反了《危险性较大的分部分项工程安全管理规定》（住建部令第37号）第二十一条第一款的规定。</t>
  </si>
  <si>
    <t>深南住建立[2020]2号</t>
  </si>
  <si>
    <t>深南住建罚[2020]008号</t>
  </si>
  <si>
    <t>安监站自编号：NSAJ2020004</t>
  </si>
  <si>
    <t>NSAJ2020005</t>
  </si>
  <si>
    <t>林明涛</t>
  </si>
  <si>
    <t>440582198810290055</t>
  </si>
  <si>
    <t>经查，麒麟中学改扩建（南山实验学校初中部）代建施工总承包工程的施工单位项目经理为林明涛。在2020年5月19日监督执法抽查该项目的危大工程（H栋悬挑式脚手架）时，发现施工单位未按照规定组织危大工程验收，违反《危险性较大的分部分项工程安全管理规定》（住建部令第37号）第二十一条第一款的规定。</t>
  </si>
  <si>
    <t>深南住建立[2020]3号</t>
  </si>
  <si>
    <t>深南住建罚[2020]009号</t>
  </si>
  <si>
    <t>安监站自编号：NSAJ2020005</t>
  </si>
  <si>
    <t>NSAJ2020006</t>
  </si>
  <si>
    <t>王烨炜</t>
  </si>
  <si>
    <t>432522199207250014</t>
  </si>
  <si>
    <t>经查，麒麟中学改扩建（南山实验学校初中部）代建施工总承包工程项目施工单位技术负责人为王烨炜。在2020年5月19日监督执法抽查该项目的危大工程（H栋悬挑式脚手架）时，发现未按照规定组织危大工程验收，违反《危险性较大的分部分项工程安全管理规定》（住建部令第37号）第二十一条第一款的规定。</t>
  </si>
  <si>
    <t>深南住建立[2020]4号</t>
  </si>
  <si>
    <t>深南住建罚[2020]010号</t>
  </si>
  <si>
    <t>安监站自编号：NSAJ2020006</t>
  </si>
  <si>
    <t>NSAJ2020007</t>
  </si>
  <si>
    <t>卜涵未按规定办理安全生产考核合格证书变更行政处罚案</t>
  </si>
  <si>
    <t>南山区南山街道福华厂区城市更新单元土石方、基坑支护工程</t>
  </si>
  <si>
    <t>卜涵</t>
  </si>
  <si>
    <t>施工单位项目专职安全员</t>
  </si>
  <si>
    <t>430981199612271118</t>
  </si>
  <si>
    <t>现场专职安全员卜涵未按规定办理安全生产考核合格证书变更</t>
  </si>
  <si>
    <t>执法人员于2020年5月21日对深圳市湛联基础建筑工程有限公司承建的南山区南山街道福华厂区城市更新单元土石方、基坑支护工程检查中，发现专职安全员卜涵的安全生产考核合格证书所登记的企业为深圳市远洪建筑劳务有限公司，未变更到深圳市湛联基础建筑工程有限公司，当事人违反了《建筑施工企业主要负责人、项目负责人和专职安全生产管理人员安全生产管理规定》（中华人民共和国住房和城乡建设部令第17号）第十一条的规定。</t>
  </si>
  <si>
    <t>深南住建立[2020]第005号</t>
  </si>
  <si>
    <t>深南住建罚[2020]007号</t>
  </si>
  <si>
    <t>安监站自编号：NSAJ2020007</t>
  </si>
  <si>
    <t>2020/9/23已补录上报</t>
  </si>
  <si>
    <t>不上报司法系统</t>
  </si>
  <si>
    <t>黄智丽未按规定履行安全管理职责行政处罚案</t>
  </si>
  <si>
    <t>2019年前海功能环境双提升工程-前海大道及前海国际会议中心周边道路工程</t>
  </si>
  <si>
    <t>黄智丽</t>
  </si>
  <si>
    <t>施工单位项目安全主任</t>
  </si>
  <si>
    <t>440281198604054841</t>
  </si>
  <si>
    <t>项目安全主任未按规定履行安全管理职责</t>
  </si>
  <si>
    <t>经查，黄智丽是2019年前海功能环境双提升工程-前海大道及前海国际会议中心周边道路工程的项目安全主任。执法人员在2020年5月27日的监督执法检查过程中发现，当事人未按规定每天在施工现场开展安全检查。现场存在安全隐患。当事人未按规定履行安全生产管理职责，违反《建筑施工企业主要负责人、项目负责人和专职安全生产管理人员安全生产管理规定》第二十条的规定。</t>
  </si>
  <si>
    <t>深南住建立[2020]第006号</t>
  </si>
  <si>
    <t>深南住建罚[2020]11号</t>
  </si>
  <si>
    <t>安监站自编号：NSAJ2020008</t>
  </si>
  <si>
    <t>已删除</t>
  </si>
  <si>
    <t>NSAJ2020009</t>
  </si>
  <si>
    <t>远洋天著华府（二期）主体工程</t>
  </si>
  <si>
    <t>远洋国际建设有限公司</t>
  </si>
  <si>
    <t>911100006738027452</t>
  </si>
  <si>
    <t>经查，远洋天著华府（二期）主体工程的施工单位为远洋国际建设有限公司。在2020年7月14日监督执法抽查该项目的危大工程（C栋附着式升降脚手架）时，发现施工单位未按照规定组织危大工程验收，违反《危险性较大的分部分项工程安全管理规定》（住建部令第37号）第二十一条第一款的规定。</t>
  </si>
  <si>
    <t>深南住建立[2020]第011号</t>
  </si>
  <si>
    <t>深南住建行罚决〔2020〕4号</t>
  </si>
  <si>
    <t>20200916095212</t>
  </si>
  <si>
    <t>2020/8/19已补录上报</t>
  </si>
  <si>
    <t>0422000118250009</t>
  </si>
  <si>
    <t>NSAJ2020010</t>
  </si>
  <si>
    <t>黄灵俊</t>
  </si>
  <si>
    <t>33082219900915003X</t>
  </si>
  <si>
    <t>经查，远洋天著华府（二期）主体工程的施工单位项目经理为黄灵俊。在2020年7月14日监督执法抽查该项目的危大工程（C栋附着式升降脚手架）时，发现施工单位未按照规定组织危大工程验收，违反《危险性较大的分部分项工程安全管理规定》（住建部令第37号）第二十一条第一款的规定。</t>
  </si>
  <si>
    <t>深南住建立[2020]第012号</t>
  </si>
  <si>
    <t>深南住建行罚决〔2020〕1号</t>
  </si>
  <si>
    <t>20200923105539</t>
  </si>
  <si>
    <t>0422000118252001</t>
  </si>
  <si>
    <t>NSAJ2020011</t>
  </si>
  <si>
    <t>姜海建</t>
  </si>
  <si>
    <t>110111197702196119</t>
  </si>
  <si>
    <t>经查，远洋天著华府（二期）主体工程施工单位技术负责人为姜海建。在2020年7月14日监督执法抽查该项目的危大工程（C栋附着式升降脚手架）时，发现未按照规定组织危大工程验收，违反《危险性较大的分部分项工程安全管理规定》（住建部令第37号）第二十一条第一款的规定。</t>
  </si>
  <si>
    <t>深南住建立[2020]第013号</t>
  </si>
  <si>
    <t>深南住建行罚决〔2020〕2号</t>
  </si>
  <si>
    <t>20200923110553</t>
  </si>
  <si>
    <t>0422000118251005</t>
  </si>
  <si>
    <t>NSAJ2020008</t>
  </si>
  <si>
    <t>项目专职安全生产管理人员未按规定履行安全生产管理职责</t>
  </si>
  <si>
    <t>刘广伟</t>
  </si>
  <si>
    <t>371525198706145996</t>
  </si>
  <si>
    <t>项目专职安全管理人员未按规定履行安全管理职责</t>
  </si>
  <si>
    <t>经调查，刘广伟是前海08-01-01地块公共开放空间-冷站、公交场站等工程的项目专职安全生产管理人员，作为项目专职安全生产管理人员，于2020年8月3日在该工程基坑西侧吊装作业区域存在未按规定对检查发现的安全事故隐患立即处理的行为，上述行为违反了《建筑施工企业主要负责人、项目负责人和专职安全生产管理人员安全生产管理规定》第二十条的规定。</t>
  </si>
  <si>
    <t>深南住建行罚决〔2020〕5号</t>
  </si>
  <si>
    <t>20201111111922</t>
  </si>
  <si>
    <t>0422000121124006</t>
  </si>
  <si>
    <t>11440305007542160G20203000001</t>
  </si>
  <si>
    <t>银广厦集团有限公司未按规定建立危大工程安全管理档案</t>
  </si>
  <si>
    <t>万汇停车场总承包工程</t>
  </si>
  <si>
    <t>银广厦集团有限公司</t>
  </si>
  <si>
    <t>914403007230271274</t>
  </si>
  <si>
    <t>本单位于2020年10月12日对万汇停车场总承包工程监督抽查，施工单位银广厦集团有限公司未将模板施工方案交底资料纳入档案管理，上述行为违反了《危险性较大的分部分项工程安全管理规定》（住建部令第37号）第二十四条第二款的规定。</t>
  </si>
  <si>
    <t>深南住建行罚立〔2020〕1 号</t>
  </si>
  <si>
    <t>深南住建行罚决〔2020〕6号</t>
  </si>
  <si>
    <t>0422100121125002</t>
  </si>
  <si>
    <t>万汇停车场总承包工程项目经理曾建平未按规定建立危大工程安全管理档案</t>
  </si>
  <si>
    <t>曾建平</t>
  </si>
  <si>
    <t>362430198510024812</t>
  </si>
  <si>
    <t>万汇停车场总承包工程项目经理曾某某未按规定建立危大工程安全管理档案</t>
  </si>
  <si>
    <t>本单位于2020年10月12日对万汇停车场总承包工程监督抽查，施工单位银广厦集团有限公司项目经理曾某某未将模板施工方案交底资料纳入档案管理，上述行为违反了《危险性较大的分部分项工程安全管理规定》（住建部令第37号）第二十四条第二款的规定。</t>
  </si>
  <si>
    <t>深南住建行罚立〔2020〕2 号</t>
  </si>
  <si>
    <t>深南住建行罚决〔2020〕7号</t>
  </si>
  <si>
    <t>0422100121126009</t>
  </si>
  <si>
    <t>万汇停车场总承包工程技术负责人蔡加云未按规定建立危大工程安全管理档案</t>
  </si>
  <si>
    <t>蔡加云</t>
  </si>
  <si>
    <t>432322196602210026</t>
  </si>
  <si>
    <t>万汇停车场总承包工程技术负责人蔡某某未按规定建立危大工程安全管理档案</t>
  </si>
  <si>
    <t>本单位于2020年10月12日对万汇停车场总承包工程监督抽查，施工单位银广厦集团有限公司项目技术负责人蔡某某未将模板施工方案交底资料纳入档案管理，上述行为违反了《危险性较大的分部分项工程安全管理规定》（住建部令第37号）第二十四条第二款的规定。</t>
  </si>
  <si>
    <t>深南住建行罚立〔2020〕3 号</t>
  </si>
  <si>
    <t>深南住建行罚决〔2020〕8号</t>
  </si>
  <si>
    <t>0422100121127005</t>
  </si>
  <si>
    <t>结转</t>
  </si>
  <si>
    <t>南山医院改扩建（二期）</t>
  </si>
  <si>
    <t>陈伟忠</t>
  </si>
  <si>
    <t>专业分包单位项目专职安全员</t>
  </si>
  <si>
    <t>440821196304151110</t>
  </si>
  <si>
    <t>经查，当事人作为深圳华创建筑装饰股份有限公司的项目安全员，未按规定办理安全生产考核合格证注册单位变更。上述行为违反了《建筑施工企业主要负责人、项目负责人和专职安全生产管理人员安全生产管理规定》第十一条的规定。</t>
  </si>
  <si>
    <t>深南住建行罚立〔2020〕6号</t>
  </si>
  <si>
    <t>深南住建罚〔2021〕3号</t>
  </si>
  <si>
    <t>20210409104559</t>
  </si>
  <si>
    <t>2022.1.7市安委办</t>
  </si>
  <si>
    <t>0422100121131009</t>
  </si>
  <si>
    <t>兆方投资大厦城市更新单元土石方、基坑支护工程</t>
  </si>
  <si>
    <t>董志军</t>
  </si>
  <si>
    <t>440924196901054735</t>
  </si>
  <si>
    <t>经查，当事人是兆方投资大厦城市更新单元土石方、基坑支护工程的项目专职安全生产管理人员。执法人员在2020年12月24日的日常巡查过程中发现，该工程基坑东侧进行钢筋吊装作业时存在未安排建筑起重信号司索工进行作业、未按规定设置作业警戒区、吊索具系结方法不安全可靠的安全隐患。当事人在现场开展安全检查时，未按规定对检查发现的上述安全事故隐患立即处理。上述行为违反了《建筑施工企业主要负责人、项目负责人和专职安全生产管理人员安全生产管理规定》第二十条的规定。</t>
  </si>
  <si>
    <t>深南住建行罚立〔2020〕7号</t>
  </si>
  <si>
    <t>深南住建罚〔2021〕4号</t>
  </si>
  <si>
    <t>0422100121132005</t>
  </si>
  <si>
    <t>南山供电营业中心招拍挂地块幕墙施工单位未按规定建立危大工程安全管理档案</t>
  </si>
  <si>
    <t>南山供电营业中心招拍挂地块</t>
  </si>
  <si>
    <t>深圳粤源建设有限责任公司</t>
  </si>
  <si>
    <t>91440300618820510P</t>
  </si>
  <si>
    <t>本单位在03月22日监督抽查南山供电营业中心招拍挂地块的危大工程（建筑幕墙安装工程）安全管理资料时，发现施工单位深圳粤源建设有限责任公司未按规定建立危大工程安全管理档案。当事人的行为违反了《危险性较大的分部分项工程安全管理规定》（住建部〔2018〕37号）第二十四条第一款的规定。《危险性较大的分部分项工程安全管理规定》（住建部〔2018〕37号）第三十五条第（五）项、《广东省住房和城乡建设系统行政处罚自由裁量权基准(工程建设与建筑业类）》B406.35.5。</t>
  </si>
  <si>
    <t>深南住建行罚立〔2021〕4号</t>
  </si>
  <si>
    <t>深南住建罚〔2021〕8号</t>
  </si>
  <si>
    <t>李云、谭亮</t>
  </si>
  <si>
    <t>2021.7.15区司法局</t>
  </si>
  <si>
    <t>0422100121137007</t>
  </si>
  <si>
    <t>胡鹏</t>
  </si>
  <si>
    <t>320321197209170858</t>
  </si>
  <si>
    <t>本单位在03月22日监督抽查南山供电营业中心招拍挂地块的危大工程（建筑幕墙安装工程）安全管理资料时，发现施工单位深圳粤源建设有限责任公司未按规定建立危大工程安全管理档案。该行为违反了《危险性较大的分部分项工程安全管理规定》（住建部〔2018〕37号）第二十四条第一款的规定。经查明，当事人是施工单位的项目经理，是对违法行为直接负责的主管人员。《危险性较大的分部分项工程安全管理规定》（住建部〔2018〕37号）第三十五条第（五）项、《广东省住房和城乡建设系统行政处罚自由裁量权基准(工程建设与建筑业类）》B406.35.5</t>
  </si>
  <si>
    <t>深南住建行罚立〔2021〕5号</t>
  </si>
  <si>
    <t>深南住建罚〔2021〕7号</t>
  </si>
  <si>
    <t>2021.7.15区司法局
2022.1.7市安委办</t>
  </si>
  <si>
    <t>0422100121135004</t>
  </si>
  <si>
    <t>黄国林</t>
  </si>
  <si>
    <t>42092119841127343X</t>
  </si>
  <si>
    <t>本单位在03月22日监督抽查南山供电营业中心招拍挂地块的危大工程（建筑幕墙安装工程）安全管理资料时，发现施工单位深圳粤源建设有限责任公司未按规定建立危大工程安全管理档案,该行为违反了《危险性较大的分部分项工程安全管理规定》（住建部〔2018〕37号）第二十四条第一款的规定。经查明，当事人是施工单位的技术负责人，是违法行为的直接责任人员。《危险性较大的分部分项工程安全管理规定》（住建部〔2018〕37号）第三十五条第（五）项、《广东省住房和城乡建设系统行政处罚自由裁量权基准(工程建设与建筑业类）》B406.35.5 。</t>
  </si>
  <si>
    <t>深南住建行罚立〔2021〕6号</t>
  </si>
  <si>
    <t>深南住建罚〔2021〕6号</t>
  </si>
  <si>
    <t>0422100121136000</t>
  </si>
  <si>
    <t>建筑施工企业在施工工地未采取有效防尘措施</t>
  </si>
  <si>
    <t>仙元路（仙茶路-同发南路）市政道路工程</t>
  </si>
  <si>
    <t>施工单位在施工工地未采取有效防尘降尘措施</t>
  </si>
  <si>
    <t>经查，施工单位在仙元路（仙茶路-同发南路）市政道路工程工地内，未按照要求设置硬质围挡，并采取覆盖、洒水抑尘等有效防尘降尘措施，上述行为违反了《中华人民共和国大气污染防治法》第六十九条第三款的规定。</t>
  </si>
  <si>
    <t>深南住建行罚立〔2021〕7号</t>
  </si>
  <si>
    <t>深南住建罚〔2021〕16号</t>
  </si>
  <si>
    <t>2020.10.20区司法局</t>
  </si>
  <si>
    <t>0422100121144000</t>
  </si>
  <si>
    <t>江西洪明建筑工程有限公司未按照规定组织危大工程验收行政处罚案</t>
  </si>
  <si>
    <t>正天龙雅居</t>
  </si>
  <si>
    <t>江西洪明建筑工程有限公司</t>
  </si>
  <si>
    <t>91361002672442960R</t>
  </si>
  <si>
    <t>经查，当事人为正天龙雅居工程的施工单位，本单位在2021年5月10日监督执法抽查该项目六层南侧卸料平台已经安装完成并且开始使用。根据《住房城乡建设部办公厅关于实施&lt;危险性较大的分部分项工程安全管理规定&gt;有关问题的通知》附件1“危险性较大的分部分项工程范围”第四条第（五）项规定，卸料平台属于危大工程，但施工单位未按照规定组织危大工程验收，上述行为违反了《危险性较大的分部分项工程安全管理规定》（住建部令第37号）第二十一条第一款的规定</t>
  </si>
  <si>
    <t>深南住建行罚立〔2021〕8号</t>
  </si>
  <si>
    <t>深南住建罚〔2021〕13号</t>
  </si>
  <si>
    <t>南头</t>
  </si>
  <si>
    <t>0422100121141001</t>
  </si>
  <si>
    <t>何育平未按照规定组织危大工程验收行政处罚案</t>
  </si>
  <si>
    <t>何育平</t>
  </si>
  <si>
    <t>42232719781029461X</t>
  </si>
  <si>
    <t>经查，当事人为正天龙雅居工程的施工单位项目经理，本单位在2021年5月10日监督执法抽查该项目六层南侧卸料平台已经安装完成并且开始使用。根据《住房城乡建设部办公厅关于实施&lt;危险性较大的分部分项工程安全管理规定&gt;有关问题的通知》附件1“危险性较大的分部分项工程范围”第四条第（五）项规定，卸料平台属于危大工程，但施工单位未按照规定组织危大工程验收，上述行为违反了《危险性较大的分部分项工程安全管理规定》（住建部令第37号）第二十一条第一款的规定</t>
  </si>
  <si>
    <t>深南住建行罚立〔2021〕9号</t>
  </si>
  <si>
    <t>深南住建罚〔2021〕14号</t>
  </si>
  <si>
    <t>0422100121143004</t>
  </si>
  <si>
    <t>刘国然未按照规定组织危大工程验收行政处罚案</t>
  </si>
  <si>
    <t>刘国然</t>
  </si>
  <si>
    <t>360502197011085817</t>
  </si>
  <si>
    <t>经查，当事人为正天龙雅居工程的施工单位项目技术负责人，本单位在2021年5月10日监督执法抽查该项目六层南侧卸料平台已经安装完成并且开始使用。根据《住房城乡建设部办公厅关于实施&lt;危险性较大的分部分项工程安全管理规定&gt;有关问题的通知》附件1“危险性较大的分部分项工程范围”第四条第（五）项规定，卸料平台属于危大工程，但施工单位未按照规定组织危大工程验收，上述行为违反了《危险性较大的分部分项工程安全管理规定》（住建部令第37号）第二十一条第一款的规定</t>
  </si>
  <si>
    <t>深南住建行罚立〔2021〕10号</t>
  </si>
  <si>
    <t>深南住建罚〔2021〕15号</t>
  </si>
  <si>
    <t>2020.10.20区司法局
2022.1.7市安委办</t>
  </si>
  <si>
    <t>0422100121142008</t>
  </si>
  <si>
    <t>20213000088</t>
  </si>
  <si>
    <t>深圳市东深工程有限公司施工工地未采取覆盖、洒水抑尘等有效防尘降尘措施案</t>
  </si>
  <si>
    <r>
      <rPr>
        <b/>
        <sz val="12"/>
        <rFont val="楷体_GB2312"/>
        <charset val="134"/>
      </rPr>
      <t>麻</t>
    </r>
    <r>
      <rPr>
        <b/>
        <sz val="12"/>
        <rFont val="宋体"/>
        <charset val="134"/>
      </rPr>
      <t>磡</t>
    </r>
    <r>
      <rPr>
        <b/>
        <sz val="12"/>
        <rFont val="楷体_GB2312"/>
        <charset val="134"/>
      </rPr>
      <t>河流域综合治理工程（径流调蓄转输工程）</t>
    </r>
  </si>
  <si>
    <t>深圳市东深工程有限公司</t>
  </si>
  <si>
    <t>91440300192203266P</t>
  </si>
  <si>
    <r>
      <rPr>
        <sz val="12"/>
        <rFont val="楷体_GB2312"/>
        <charset val="134"/>
      </rPr>
      <t>经查，你单位在麻</t>
    </r>
    <r>
      <rPr>
        <sz val="12"/>
        <rFont val="宋体"/>
        <charset val="134"/>
      </rPr>
      <t>磡</t>
    </r>
    <r>
      <rPr>
        <sz val="12"/>
        <rFont val="楷体_GB2312"/>
        <charset val="134"/>
      </rPr>
      <t>河流域综合治理工程（径流调蓄转输工程）的施工工地未采取覆盖、洒水抑尘等有效防尘降尘措施，上述行为违反了《中华人民共和国大气污染防治法》第六十九条第三款的规定。</t>
    </r>
  </si>
  <si>
    <t>深南住建行罚立〔2021〕18号</t>
  </si>
  <si>
    <t>深南住建罚〔2021〕18号</t>
  </si>
  <si>
    <t>0422100121146003</t>
  </si>
  <si>
    <t>20213000103</t>
  </si>
  <si>
    <t>深圳百勤建设工程有限公司施工工地未采取覆盖、洒水抑尘等有效防尘降尘措施案</t>
  </si>
  <si>
    <t>马家龙工业区新力能源大厦基坑支护及土石方工程</t>
  </si>
  <si>
    <t>深圳百勤建设工程有限公司</t>
  </si>
  <si>
    <t>91440300334996450K</t>
  </si>
  <si>
    <t>经查，你单位在马家龙工业区新力能源大厦基坑支护及土石方工程的施工工地未按照要求采取覆盖、洒水抑尘等有效防尘降尘措施，上述行为违反了《中华人民共和国大气污染防治法》第六十九条第三款的规定。</t>
  </si>
  <si>
    <t>深南住建行罚立〔2021〕25号</t>
  </si>
  <si>
    <t>深南住建罚〔2021〕17号</t>
  </si>
  <si>
    <t>0422100121145007</t>
  </si>
  <si>
    <t>20213000105</t>
  </si>
  <si>
    <t>中海建筑有限公司施工工地未采取覆盖、洒水抑尘等有效防尘降尘措施案</t>
  </si>
  <si>
    <t>平山小学拆除重建九年一贯制学校施工总承包工程</t>
  </si>
  <si>
    <t>中海建筑有限公司</t>
  </si>
  <si>
    <t>91440300192565187U</t>
  </si>
  <si>
    <t>经查，你单位在平山小学拆除重建九年一贯制学校施工总承包工程的施工工地未采取覆盖、洒水抑尘等有效防尘降尘措施，上述行为违反了《中华人民共和国大气污染防治法》第六十九条第三款的规定。</t>
  </si>
  <si>
    <t>深南住建行罚立〔2021〕26号</t>
  </si>
  <si>
    <t>深南住建罚〔2021〕19号</t>
  </si>
  <si>
    <t>0422100121147010</t>
  </si>
  <si>
    <t>20213000107</t>
  </si>
  <si>
    <t>大学城配套学校项目一期（基坑支护、土石方、桩基）工程</t>
  </si>
  <si>
    <t>深圳市华杰建设集团有限公司</t>
  </si>
  <si>
    <t>91440300564214821Q</t>
  </si>
  <si>
    <t>经查，你单位在承建的大学城配套学校项目一期（基坑支护、土石方、桩基）工程工地内，存在未按照要求采取覆盖、洒水抑尘等有效防尘降尘措施行为，违反了《中华人民共和国大气污染防治法》第六十九条第三款的规定。</t>
  </si>
  <si>
    <t>深南住建行罚立〔2021〕27号</t>
  </si>
  <si>
    <t>深南住建罚〔2021〕20号</t>
  </si>
  <si>
    <t>0422100121148006</t>
  </si>
  <si>
    <t>20213000146</t>
  </si>
  <si>
    <t>施工单位在施工工地未采取有效防尘措施</t>
  </si>
  <si>
    <t>白芒河流域水环境综合治理工程（径流调蓄转输工程）</t>
  </si>
  <si>
    <t>中铁十七局集团有限公司</t>
  </si>
  <si>
    <t>911400001100708439</t>
  </si>
  <si>
    <t>经调查，你单位是深圳市南山区西丽街道白芒河流域水环境综合治理工程（径流调蓄转输工程）的施工单位，你单位于2021年8月18日未按照要求对白芒河流域水环境综合治理工程（径流调蓄转输工程）项目的施工工地采取洒水抑尘、冲洗地面等有效防尘措施，上述行为违反了《广东省环境保护条例》第四十条第二款的规定。</t>
  </si>
  <si>
    <t>深南住建行罚立〔2021〕28号</t>
  </si>
  <si>
    <t>深南住建罚〔2021〕44号</t>
  </si>
  <si>
    <t>0422100121167005</t>
  </si>
  <si>
    <t>20213000160</t>
  </si>
  <si>
    <t>粤海街道文体中心施工总承包</t>
  </si>
  <si>
    <t>蔡业宾</t>
  </si>
  <si>
    <t>452526198109291730</t>
  </si>
  <si>
    <t>经调查，蔡业宾作为深圳市华辉装饰工程有限公司的专职安全生产管理人员，于2021年11月3日被发现存在未按规定办理证书变更的行为，违反了《建筑施工企业主要负责人、项目负责人和专职安全生产管理人员安全生产管理规定》第十一条的规定。</t>
  </si>
  <si>
    <t>深南住建行罚立〔2021〕47号</t>
  </si>
  <si>
    <t>深南住建罚〔2021〕51号</t>
  </si>
  <si>
    <t>0422100121178004</t>
  </si>
  <si>
    <t>20213000185</t>
  </si>
  <si>
    <t>中建一局集团第五建筑有限公司施工工地未采取覆盖、洒水抑尘等有效防尘降尘措施案</t>
  </si>
  <si>
    <t>华侨城深圳湾新玺名苑项目一期主体施工工程</t>
  </si>
  <si>
    <t>中建一局集团第五建筑有限公司</t>
  </si>
  <si>
    <t>91110000101638302P</t>
  </si>
  <si>
    <t>经调查，你（单位）作为华侨城深圳湾新玺名苑项目一期主体施工工程的施工单位，于2021年12月9日存在施工工地未采取覆盖、洒水抑尘等有效防尘降尘措施的违法行为。经查询，截止至2021年12月9日止，你（单位）在1年内未被广东省执法机构认定实施过同类违法行为。上述行为违反了《广东省环境保护条例》第四十条第二款的规定。</t>
  </si>
  <si>
    <t>深南住建行罚立〔2021〕55号</t>
  </si>
  <si>
    <t>深南住建罚〔2022〕7号</t>
  </si>
  <si>
    <t>2022.4.6区司法局</t>
  </si>
  <si>
    <t>44030522000000047414</t>
  </si>
  <si>
    <t>0017479710</t>
  </si>
  <si>
    <t>20213000187</t>
  </si>
  <si>
    <t>深高速总部（汉京金融中心）办公楼装修工程</t>
  </si>
  <si>
    <t>王刚</t>
  </si>
  <si>
    <t>320829197312081018</t>
  </si>
  <si>
    <t>经调查，2021年12月2日，我（单位）发现苏州金螳螂建筑装饰股份有限公司承建的深高速总部（汉京金融中心）办公楼装修工程施工工地41层走廊电缆拖地、开关箱未张贴电工巡视记录、46层至47层楼梯边防护栏杆刚度不足且缺少拦腰杆等安全事故隐患，你（单位）作为苏州金螳螂建筑装饰股份有限公司深高速总部（汉京金融中心）办公楼装修工程的专职安全生产管理人员，对于上述安全事故隐患存在没有立即处理的违法行为。上述行为违反了《建筑施工企业主要负责人、项目负责人和专职安全生产管理人员安全生产管理规定》第二十条的规定。</t>
  </si>
  <si>
    <t>深南住建行罚立〔2021〕51号</t>
  </si>
  <si>
    <t>深南住建罚〔2021〕61号</t>
  </si>
  <si>
    <t>移交法制科</t>
  </si>
  <si>
    <t>？</t>
  </si>
  <si>
    <t>0422100121180006</t>
  </si>
  <si>
    <t>20213000188</t>
  </si>
  <si>
    <t>项目负责人未按照规定现场履职</t>
  </si>
  <si>
    <t>南山区高新公寓棚户区改造项目设计采购施工总承包工程</t>
  </si>
  <si>
    <t>广州丰利达安防科技有限公司</t>
  </si>
  <si>
    <t>91440101MA59FPNW26</t>
  </si>
  <si>
    <t>经调查，你（单位）作为南山区高新公寓棚户区改造项目设计采购施工总承包工程项目的施工单位，在2021年12月7日，该项目施工工地1#楼附着式升降脚手架正在进行18层至19层提升作业时存在项目负责人未在施工现场履职的行为。上述行为违反了《危险性较大的分部分项工程安全管理规定》第十七条第一款的规定。</t>
  </si>
  <si>
    <t>深南住建行罚立〔2021〕57号</t>
  </si>
  <si>
    <t>深南住建罚〔2022〕5号</t>
  </si>
  <si>
    <t>0017474170</t>
  </si>
  <si>
    <t>20213000190</t>
  </si>
  <si>
    <t>孟良</t>
  </si>
  <si>
    <t>412726197710151615</t>
  </si>
  <si>
    <t>经调查，你（单位）作为南山区高新公寓棚户区改造项目设计采购施工总承包工程项目的项目负责人，在2021年12月7日，该项目施工工地1#楼附着式升降脚手架正在进行18层至19层提升作业时你（单位）存在未在施工现场履职的行为。上述行为违反了《危险性较大的分部分项工程安全管理规定》第十七条第一款的规定。</t>
  </si>
  <si>
    <t>深南住建行罚立〔2021〕58号</t>
  </si>
  <si>
    <t>深南住建罚〔2022〕6号</t>
  </si>
  <si>
    <t>0017474171</t>
  </si>
  <si>
    <t>20213000192</t>
  </si>
  <si>
    <t>广东吴川建筑安装工程有限公司施工工地未采取覆盖、洒水抑尘等有效防尘降尘措施案</t>
  </si>
  <si>
    <t>酷派信息港城市更新项目二期基坑支护工程</t>
  </si>
  <si>
    <t>广东吴川建筑安装工程有限公司</t>
  </si>
  <si>
    <t>91440883194670335F</t>
  </si>
  <si>
    <t>经调查，你（单位）作为酷派信息港城市更新项目二期基坑支护工程的施工单位，于2021年12月13日存在施工工地未采取覆盖、洒水抑尘等有效防尘降尘措施的违法行为。经查询，你（单位）分别于2021年2月25日、2021年3月1日被广东省行政执法信息公示平台认定过同类违法行为，本次违法行为系一年内第三次同类违法的行为。上述行为违反了《广东省环境保护条例》第四十条第二款的规定。</t>
  </si>
  <si>
    <t>深南住建行罚立〔2021〕59号</t>
  </si>
  <si>
    <t>深南住建罚〔2022〕10号</t>
  </si>
  <si>
    <t>2023.10.30已取回</t>
  </si>
  <si>
    <t>×</t>
  </si>
  <si>
    <t>44030522000000047422</t>
  </si>
  <si>
    <t>0017478693</t>
  </si>
  <si>
    <t>20223000013</t>
  </si>
  <si>
    <t>太子湾学校西校区施工单位未按规定建立危大工程安全管理档案</t>
  </si>
  <si>
    <t>太子湾学校西校区项目</t>
  </si>
  <si>
    <t>该单位是太子湾学校西校区项目的施工单位，该项目混凝土模板支撑工程属于危险性较大的分部分项工程，于2022年1月17日被我单位发现存在未按规定建立危大工程（混凝土模板支撑工程）安全管理档案的行为。上述行为违反《危险性较大的分部分项工程安全管理规定》第二十四条第一款的规定。</t>
  </si>
  <si>
    <t>深南住建行罚立〔2022〕14号</t>
  </si>
  <si>
    <t>深南住建罚〔2022〕15号</t>
  </si>
  <si>
    <t>2022.4.6区司法局，2022.12.29区安委办</t>
  </si>
  <si>
    <t>0017490429</t>
  </si>
  <si>
    <t>20223000014</t>
  </si>
  <si>
    <t>陈振林</t>
  </si>
  <si>
    <t>420122198111055812</t>
  </si>
  <si>
    <t>当事人是施工单位中建科工集团有限公司太子湾学校西校区项目的项目经理，该项目混凝土模板支撑工程属于危险性较大的分部分项工程，于2022年1月17日被我单位发现存在未按规定建立危大工程（混凝土模板支撑工程）安全管理档案的行为。上述行为违反《危险性较大的分部分项工程安全管理规定》第二十四条第一款的规定。</t>
  </si>
  <si>
    <t>深南住建行罚立〔2022〕15号</t>
  </si>
  <si>
    <t>深南住建罚〔2022〕16号</t>
  </si>
  <si>
    <t>0017490430</t>
  </si>
  <si>
    <t>20223000015</t>
  </si>
  <si>
    <t>苏相岗</t>
  </si>
  <si>
    <t>411481199201067518</t>
  </si>
  <si>
    <t>当事人是施工单位中建科工集团有限公司太子湾学校西校区项目的技术负责人，该项目混凝土模板支撑工程属于危险性较大的分部分项工程，于2022年1月17日被我单位发现存在未按规定建立危大工程（混凝土模板支撑工程）安全管理档案的行为。上述行为违反《危险性较大的分部分项工程安全管理规定》第二十四条第一款的规定。</t>
  </si>
  <si>
    <t>深南住建行罚立〔2022〕16号</t>
  </si>
  <si>
    <t>深南住建罚〔2022〕17号</t>
  </si>
  <si>
    <t>2022.4.6区司法局
2022.10.18市司法局，2022.12.29区安委办</t>
  </si>
  <si>
    <t>0017490427</t>
  </si>
  <si>
    <t>20223000017</t>
  </si>
  <si>
    <t>中建二局第二建筑工程有限公司未实施防止塔式起重机相互碰撞的安全措施案</t>
  </si>
  <si>
    <t>砺剑大厦</t>
  </si>
  <si>
    <t>中建二局第二建筑工程有限公司</t>
  </si>
  <si>
    <t>914100001710718666</t>
  </si>
  <si>
    <t>未实施防止塔式起重机相互碰撞的安全措施</t>
  </si>
  <si>
    <t>经调查，你（单位）作为砺剑大厦项目的总承包单位，于2022年1月17日被我局发现该项目现场有2台塔式起重机作业，且存在未实施防止塔式起重机相互碰撞的安全措施（未按照方案要求在塔机上预备木楔，紧急情况下楔紧回转齿圈）的行为，上述行为违反了《建筑起重机械安全监督管理规定》第二十一条第（七）项的规定。</t>
  </si>
  <si>
    <t>深南住建行罚立〔2022〕3号</t>
  </si>
  <si>
    <t>深南住建罚〔2022〕14号</t>
  </si>
  <si>
    <t>2022.7.14区司法局，2022.12.29区安委办</t>
  </si>
  <si>
    <t>0017492042</t>
  </si>
  <si>
    <t>20223000067</t>
  </si>
  <si>
    <t>中建科工发展有限公司未在施工现场入口处设置明显的安全警示标志</t>
  </si>
  <si>
    <t>留仙小学改扩建施工总承包工程（II期）</t>
  </si>
  <si>
    <t>中建科工发展有限公司</t>
  </si>
  <si>
    <t>91440300MA5GNU606U</t>
  </si>
  <si>
    <t>施工单位未在施工现场入口处设置明显的安全警示标志</t>
  </si>
  <si>
    <t>经调查，你（单位）中建科工发展有限公司是留仙小学改扩建施工总承包工程（II期）的施工单位，该项目在同乐路设置了施工出入口，本单位于2022年6月7日发现你（单位）存在未在该项目现场出入口处设置明显的安全警示标识的行为。上述行为违反了《中华人民共和国安全生产法》第三十五条的规定。</t>
  </si>
  <si>
    <t>深南住建行罚立〔2022〕4号</t>
  </si>
  <si>
    <t>深南住建罚〔2022〕41号</t>
  </si>
  <si>
    <t>2022.9.21法制科，2023.4.6区司法局</t>
  </si>
  <si>
    <t>9001856857</t>
  </si>
  <si>
    <t>20223000082</t>
  </si>
  <si>
    <t>施工单位未采取措施消除事故隐患案</t>
  </si>
  <si>
    <t>南山区科技联合大厦施工总承包工程</t>
  </si>
  <si>
    <t>经调查，你（单位）中建二局第二建筑工程有限公司是南山区科技联合大厦工程施工总承包工程项目的施工单位。本单位于2022年6月16日发现该项目现场1区首道内支撑临边部位未设置临边防护栏杆，你（单位）存在未采取措施消除事故隐患的行为。上述行为违反了《中华人民共和国安全生产法》第四十一条第二款的规定。</t>
  </si>
  <si>
    <t>深南住建行罚立〔2022〕47号</t>
  </si>
  <si>
    <t>深南住建罚〔2022〕38号</t>
  </si>
  <si>
    <t>9001854918</t>
  </si>
  <si>
    <t>20223000083</t>
  </si>
  <si>
    <t>施工单位未为从业人员提供符合国家标准或者行业标准的劳动防护用品案</t>
  </si>
  <si>
    <t>深圳市中承建设有限公司</t>
  </si>
  <si>
    <t>91440300MA5DPHQE0M</t>
  </si>
  <si>
    <t>经调查，你（单位）深圳市中承建设有限公司是南山区科技联合大厦工程内支撑拆除工程的施工单位。本单位于2022年6月16日发现你（单位）存在未为从业人员提供符合国家标准或者行业标准的劳动防护用品（安全带）的行为。上述行为违反了《中华人民共和国安全生产法》第四十五条的规定。</t>
  </si>
  <si>
    <t>深南住建行罚立〔2022〕48号</t>
  </si>
  <si>
    <t>深南住建罚〔2022〕37号</t>
  </si>
  <si>
    <t>9001854917</t>
  </si>
  <si>
    <t>20223000084</t>
  </si>
  <si>
    <t>中国建筑第五工程局有限公司未与在同一作业区域内的生产经营单位指定专职安全生产管理人员进行安全检查与协调案</t>
  </si>
  <si>
    <t>深圳湾文化广场BC地块I标段施工总承包工程</t>
  </si>
  <si>
    <t>中国建筑第五工程局有限公司</t>
  </si>
  <si>
    <t>91430000183764483Y</t>
  </si>
  <si>
    <t>未指定专职安全生产管理人员进行安全检查与协调</t>
  </si>
  <si>
    <t>经调查，你（单位）是深圳湾文化广场BC 地块Ⅰ标段施工总承包工程项目的施工总承包单位，本单位于2022年6月23日发现你（单位）和深圳市安运土石方工程有限公司在同一作业区域内（深圳湾文化广场BC 地块Ⅰ标段）施工作业，可能危及对方安全生产，你（单位）和深圳市安运土石方工程有限公司虽已签订安全生产管理协议，但存在未指定专职安全生产管理人员进行安全检查与协调的行为。上述行为违反了《中华人民共和国安全生产法》第四十八条的规定。</t>
  </si>
  <si>
    <t>深南住建行罚立〔2022〕49号</t>
  </si>
  <si>
    <t>深南住建罚〔2022〕47号</t>
  </si>
  <si>
    <t>2022.10.18市司法局，2023.1.11法制科</t>
  </si>
  <si>
    <t>4403052200000174131X</t>
  </si>
  <si>
    <t>20223000085</t>
  </si>
  <si>
    <t>中国建筑第五工程局有限公司未与在同一作业区域内的生产经营单位指定专职安全生产管理人员进行安全检查与协调（项目经理贺显）</t>
  </si>
  <si>
    <t>贺显</t>
  </si>
  <si>
    <t>432522198710123296</t>
  </si>
  <si>
    <t>经调查，中国建筑第五工程局有限公司是深圳湾文化广场BC地块Ⅰ标段施工总承包工程项目的施工总承包单位，你（单位）是中国建筑第五工程局有限公司在该项目的的项目经理。本单位于2022年6月23日发现中国建筑第五工程局有限公司和深圳市安运土石方工程有限公司在同一作业区域内（深圳湾文化广场BC 地块Ⅰ标段）施工作业，可能危及对方安全生产，中国建筑第五工程局有限公司和深圳市安运土石方工程有限公司虽已签订安全生产管理协议，但存在未指定专职安全生产管理人员进行安全检查与协调的行为。你（单位）是中国建筑第五工程局有限公司在该项目的的项目经理，系该违法行为直接负责的主管人员。上述行为违反了《中华人民共和国安全生产法》第四十八条的规定。</t>
  </si>
  <si>
    <t>深南住建行罚立〔2022〕50号</t>
  </si>
  <si>
    <t>深南住建罚〔2022〕48号</t>
  </si>
  <si>
    <t>9001862890</t>
  </si>
  <si>
    <t>20223000086</t>
  </si>
  <si>
    <t>深圳市安运土石方工程有限公司未与在同一作业区域内的生产经营单位指定专职安全生产管理人员进行安全检查与协调</t>
  </si>
  <si>
    <t>深圳市安运土石方工程有限公司</t>
  </si>
  <si>
    <t>91440300685370580L</t>
  </si>
  <si>
    <t>经调查，你（单位）是深圳湾文化广场BC 地块Ⅰ标段施工总承包工程项目的土石方施工单位，本单位于2022年6月23日发现你（单位）和中国建筑第五工程局有限公司在同一作业区域内（深圳湾文化广场BC 地块Ⅰ标段）施工作业，可能危及对方安全生产，你（单位）和中国建筑第五工程局有限公司虽已签订安全生产管理协议，但存在未指定专职安全生产管理人员进行安全检查与协调的行为。上述行为违反了《中华人民共和国安全生产法》第四十八条的规定。</t>
  </si>
  <si>
    <t>深南住建行罚立〔2022〕51号</t>
  </si>
  <si>
    <t>深南住建罚〔2022〕45号</t>
  </si>
  <si>
    <t>9001869920</t>
  </si>
  <si>
    <t>20223000087</t>
  </si>
  <si>
    <t>深圳市安运土石方工程有限公司未与在同一作业区域内的生产经营单位指定专职安全生产管理人员进行安全检查与协调（现场负责人刘炽严）</t>
  </si>
  <si>
    <t>刘炽严</t>
  </si>
  <si>
    <t>专业分包单位现场负责人</t>
  </si>
  <si>
    <t>440923199412055275</t>
  </si>
  <si>
    <t>经调查，深圳市安运土石方工程有限公司是深圳湾文化广场BC地块Ⅰ标段施工总承包工程项目的土石方施工单位，你（单位）是深圳市安运土石方工程有限公司该项目的现场负责人。本单位于2022年6月23日发现深圳市安运土石方工程有限公司和中国建筑第五工程局有限公司在同一作业区域内（深圳湾文化广场BC 地块Ⅰ标段）施工作业，可能危及对方安全生产，深圳市安运土石方工程有限公司和中国建筑第五工程局有限公司虽已签订安全生产管理协议，但存在未指定专职安全生产管理人员进行安全检查与协调的行为。你（单位）是深圳市安运土石方工程有限公司该项目的现场负责人，系对该违法行为直接负责的主管人员。上述行为违反了《中华人民共和国安全生产法》第四十八条的规定。</t>
  </si>
  <si>
    <t>深南住建行罚立〔2022〕52号</t>
  </si>
  <si>
    <t>深南住建罚〔2022〕46号</t>
  </si>
  <si>
    <t>9001869921</t>
  </si>
  <si>
    <t>20223000088</t>
  </si>
  <si>
    <r>
      <rPr>
        <b/>
        <sz val="12"/>
        <rFont val="楷体_GB2312"/>
        <charset val="134"/>
      </rPr>
      <t>绿景白石洲</t>
    </r>
    <r>
      <rPr>
        <b/>
        <sz val="12"/>
        <rFont val="宋体"/>
        <charset val="134"/>
      </rPr>
      <t>璟</t>
    </r>
    <r>
      <rPr>
        <b/>
        <sz val="12"/>
        <rFont val="楷体_GB2312"/>
        <charset val="134"/>
      </rPr>
      <t>庭总承包工程</t>
    </r>
  </si>
  <si>
    <t>深圳市正扬建设有限公司</t>
  </si>
  <si>
    <t>91440300MA5FFL9L8C</t>
  </si>
  <si>
    <r>
      <rPr>
        <sz val="12"/>
        <rFont val="楷体_GB2312"/>
        <charset val="134"/>
      </rPr>
      <t>经调查，你（单位）是绿景白石洲</t>
    </r>
    <r>
      <rPr>
        <sz val="12"/>
        <rFont val="宋体"/>
        <charset val="134"/>
      </rPr>
      <t>璟</t>
    </r>
    <r>
      <rPr>
        <sz val="12"/>
        <rFont val="楷体_GB2312"/>
        <charset val="134"/>
      </rPr>
      <t>庭总承包工程项目土石方专业分包工程的施工单位，本单位于2022年6月30日发现你（单位）未按照要求对绿景白石洲</t>
    </r>
    <r>
      <rPr>
        <sz val="12"/>
        <rFont val="宋体"/>
        <charset val="134"/>
      </rPr>
      <t>璟</t>
    </r>
    <r>
      <rPr>
        <sz val="12"/>
        <rFont val="楷体_GB2312"/>
        <charset val="134"/>
      </rPr>
      <t>庭总承包工程土石方项目的施工工地采取覆盖、洒水抑尘、冲洗地面等有效防尘措施的违法行为。经查询，截止至2022年7月8日止，你（单位）在1年内未被广东省执法机构认定实施过同类违法行为。上述行为违反了《广东省环境保护条例》第四十条第二款的规定。</t>
    </r>
  </si>
  <si>
    <t>深南住建行罚立〔2022〕53号</t>
  </si>
  <si>
    <t>深南住建罚〔2022〕49号</t>
  </si>
  <si>
    <t>付泽正、谭亮</t>
  </si>
  <si>
    <t>2023.1.11法制科，2023.4.6区司法局</t>
  </si>
  <si>
    <t>撤回行政复议</t>
  </si>
  <si>
    <t>9002833594</t>
  </si>
  <si>
    <t>20223000131</t>
  </si>
  <si>
    <r>
      <rPr>
        <b/>
        <sz val="12"/>
        <rFont val="宋体"/>
        <charset val="134"/>
      </rPr>
      <t>瑧</t>
    </r>
    <r>
      <rPr>
        <b/>
        <sz val="12"/>
        <rFont val="楷体_GB2312"/>
        <charset val="134"/>
      </rPr>
      <t>山海家园施工总承包工程</t>
    </r>
  </si>
  <si>
    <t>深圳广晟幕墙科技有限公司</t>
  </si>
  <si>
    <t>91440300342545027W</t>
  </si>
  <si>
    <r>
      <rPr>
        <sz val="12"/>
        <rFont val="楷体_GB2312"/>
        <charset val="134"/>
      </rPr>
      <t>经调查，你（单位）深圳广晟幕墙科技有限公司是</t>
    </r>
    <r>
      <rPr>
        <sz val="12"/>
        <rFont val="宋体"/>
        <charset val="134"/>
      </rPr>
      <t>瑧</t>
    </r>
    <r>
      <rPr>
        <sz val="12"/>
        <rFont val="楷体_GB2312"/>
        <charset val="134"/>
      </rPr>
      <t>山海家园施工总承包工程幕墙专业分包的施工单位。本单位于2022年9月13日发现</t>
    </r>
    <r>
      <rPr>
        <sz val="12"/>
        <rFont val="宋体"/>
        <charset val="134"/>
      </rPr>
      <t>瑧</t>
    </r>
    <r>
      <rPr>
        <sz val="12"/>
        <rFont val="楷体_GB2312"/>
        <charset val="134"/>
      </rPr>
      <t>山海家园施工总承包工程幕墙专业分包项目施工现场3号楼屋面西侧设置的3-8号吊篮螺栓未按规定加装垫圈，且该吊篮提升机与悬吊平台未采用专用高强度螺栓进行连接，吊篮作业下方未设置警示线或安全护栏，（你）单位存在未采取措施消除事故隐患的行为。上述行为违反了《中华人民共和国安全生产法》第四十一条第二款的规定。</t>
    </r>
  </si>
  <si>
    <t>深南住建行罚立〔2022〕84号</t>
  </si>
  <si>
    <t>深南住建罚〔2022〕62号</t>
  </si>
  <si>
    <t>2023.1.11法制科</t>
  </si>
  <si>
    <t>9002838907</t>
  </si>
  <si>
    <t>20223000132</t>
  </si>
  <si>
    <t>焊工未按照规定持证上岗</t>
  </si>
  <si>
    <t>渔人码头公共配套设施（一期）工程</t>
  </si>
  <si>
    <t>深圳市招港基础工程有限公司</t>
  </si>
  <si>
    <t>91440300MA5GC42N8E</t>
  </si>
  <si>
    <t>特种作业人员未按照规定经专门的安全作业培训并取得相应资格，上岗作业</t>
  </si>
  <si>
    <t>经调查，你（单位）深圳市招港基础工程有限公司是渔人码头公共配套设施（一期）施工项目基坑与边坡支护工程专业分包的施工单位。本单位于2022年9月13日发现该项目现场东南角钢支撑基座预埋件焊接作业的一名工人李卫（身份证号：410881197702090793）无焊工特种作业人员证件，（你）单位存在一名特种作业人员未按照规定经专门的安全作业培训并取得相应资格上岗作业的行为。上述行为违反了《中华人民共和国安全生产法》第三十条第一款的规定。</t>
  </si>
  <si>
    <t>深南住建行罚立〔2022〕85号</t>
  </si>
  <si>
    <t>深南住建罚〔2022〕70号</t>
  </si>
  <si>
    <t>2023.1.11局安全办,2023.3.1法制科，2023.4.6区司法局</t>
  </si>
  <si>
    <t>44030522000002957462</t>
  </si>
  <si>
    <t>20223000153</t>
  </si>
  <si>
    <t>中国建筑一局（集团）有限公司未为从业人员提供符合国家标准或者行业标准的劳动防护用品案</t>
  </si>
  <si>
    <t>华侨城深圳湾新玺名苑项目二期主体施工工程</t>
  </si>
  <si>
    <t>施工单位未为从业人员提供符合国家标准或者行业标准的劳动防护用品</t>
  </si>
  <si>
    <t>经调查，你（单位）中国建筑一局（集团）有限公司是华侨城深圳湾新玺名苑项目二期主体施工工程的施工单位。本单位于2022年9月22日发现（你）单位存在未为从业人员提供符合国家标准或者行业标准的劳动防护用品（安全带）的行为。上述行为违反了《中华人民共和国安全生产法》第四十五条的规定。</t>
  </si>
  <si>
    <t>深南住建行罚立〔2022〕91号</t>
  </si>
  <si>
    <t>深南住建罚〔2022〕64号</t>
  </si>
  <si>
    <t>2023.1.11局安全办，2023.4.6区司法局</t>
  </si>
  <si>
    <t>9000035104</t>
  </si>
  <si>
    <t>20223000154</t>
  </si>
  <si>
    <t>特种作业人员未按规定经专门的安全作业培训并取得相应资格，上岗作业</t>
  </si>
  <si>
    <t>太子湾DY04-06地块项目基坑支护及土石方工程</t>
  </si>
  <si>
    <t>广州华磊建筑基础工程有限公司</t>
  </si>
  <si>
    <t>9144010173971663X4</t>
  </si>
  <si>
    <t>经调查，你（单位）广州华磊建筑基础工程有限公司是太子湾DY04-06地块项目基坑支护及土石方工程的施工单位。本单位于2022年9月19日发现该项目现场南侧进行支护桩施工的一名桩机工工人龚东（身份证号：530325199809030975）未取得特种作业资格证，（你）单位存在一名特种作业人员未按照规定经专门的安全作业培训并取得相应资格上岗作业的行为。上述行为违反了《中华人民共和国安全生产法》第三十条第一款的规定。</t>
  </si>
  <si>
    <t>深南住建行罚立〔2022〕92号</t>
  </si>
  <si>
    <t>深南住建罚〔2022〕71号</t>
  </si>
  <si>
    <t>9000035101</t>
  </si>
  <si>
    <t>20223000157</t>
  </si>
  <si>
    <t>深圳市美兆环境股份有限公司未为从业人员提供符合国家标准或者行业标准的劳动防护用品案</t>
  </si>
  <si>
    <t>寰侨商务大厦施工总承包工程</t>
  </si>
  <si>
    <t>深圳市美兆环境股份有限公司</t>
  </si>
  <si>
    <t>914403007432249451</t>
  </si>
  <si>
    <t>经调查，你（单位）深圳市美兆环境股份有限公司是寰侨商务大厦施工总承包工程通风空调安装专业分包的施工单位。本单位于2022年8月22日发现（你）单位存在未为从业人员提供符合国家标准或者行业标准的劳动防护用品（安全带）的行为。上述行为违反了《中华人民共和国安全生产法》第四十五条的规定。</t>
  </si>
  <si>
    <t>深南住建行罚立〔2022〕93号</t>
  </si>
  <si>
    <t>深南住建罚〔2022〕65号</t>
  </si>
  <si>
    <t>宗海根、谭亮</t>
  </si>
  <si>
    <t>44030522000002896161</t>
  </si>
  <si>
    <t>9002847858</t>
  </si>
  <si>
    <t>20223000160</t>
  </si>
  <si>
    <t>深圳市心壹客建设工程有限公司未为从业人员提供符合国家标准或者行业标准的劳动防护用品案</t>
  </si>
  <si>
    <t>大新大厦改扩建项目</t>
  </si>
  <si>
    <t>深圳市心壹客建设工程有限公司</t>
  </si>
  <si>
    <t>91440300MA5GKN6L2Q</t>
  </si>
  <si>
    <t>未为从业人员提供符合国家标准或者行业标准的劳动防护用品</t>
  </si>
  <si>
    <t>经调查，你（单位）深圳市心壹客建设工程有限公司是南山区大新大厦改扩建项目的施工单位。本单位于2022年10月9日监督执法抽查该项目时，发现（你）单位存在未为从业人员提供符合国家标准或者行业标准的劳动防护用品（安全带）的行为。上述行为违反了《中华人民共和国安全生产法》第四十五条的规定。</t>
  </si>
  <si>
    <t>深南住建行罚立〔2022〕94号</t>
  </si>
  <si>
    <t>深南住建罚〔2022〕77号</t>
  </si>
  <si>
    <t>9000035202</t>
  </si>
  <si>
    <t>20223000161</t>
  </si>
  <si>
    <t>深圳市鲁班雨虹建筑有限公司项目负责人未在现场履职案</t>
  </si>
  <si>
    <t>南山医院改扩建（二期）门诊楼</t>
  </si>
  <si>
    <t>深圳市鲁班雨虹建筑有限公司</t>
  </si>
  <si>
    <t>91440300589190993D</t>
  </si>
  <si>
    <t>施工单位项目负责人未按照规定在施工现场履职</t>
  </si>
  <si>
    <t>经调查，你（单位）是南山医院改扩建（二期）门诊楼内支撑拆除工程项目的施工单位，本（单位）于2022年9月27日发现该项目施工工地第三道内支撑进行拆除作业时存在项目负责人未在施工现场履职的行为。上述行为违反了《危险性较大的分部分项工程安全管理规定》第十七条第一款的规定。</t>
  </si>
  <si>
    <t>深南住建行罚立〔2022〕95号</t>
  </si>
  <si>
    <t>深南住建罚〔2022〕73号</t>
  </si>
  <si>
    <t>2023.3.1法制科，2023.4.6区司法局</t>
  </si>
  <si>
    <t>9000035102</t>
  </si>
  <si>
    <t>20223000162</t>
  </si>
  <si>
    <t>深圳市鲁班雨虹建筑有限公司项目负责人未按照规定现场履职案（直接负责人张瑞军）</t>
  </si>
  <si>
    <t>张瑞军</t>
  </si>
  <si>
    <t>专业分包单位负责人</t>
  </si>
  <si>
    <t>410522197312091612</t>
  </si>
  <si>
    <t>施工单位项目负责人未按照规定在施工现场履职（直接责任人张瑞军）</t>
  </si>
  <si>
    <t>经调查，你（单位）是深圳市鲁班雨虹建筑有限公司的法定代表人，深圳市鲁班雨虹建筑有限公司是南山医院改扩建（二期）门诊楼内支撑拆除工程项目的施工单位，本（单位）于2022年9月27日发现该项目施工工地第三道内支撑进行拆除作业时存在项目负责人未在施工现场履职的行为。上述行为违反了《危险性较大的分部分项工程安全管理规定》第十七条第一款的规定。</t>
  </si>
  <si>
    <t>深南住建行罚立〔2022〕96号</t>
  </si>
  <si>
    <t>深南住建罚〔2022〕72号</t>
  </si>
  <si>
    <t>9000035103</t>
  </si>
  <si>
    <t>20233000025</t>
  </si>
  <si>
    <t>大沙河文体中心项目机电安装及消防工程</t>
  </si>
  <si>
    <t>深圳市华西安装工程有限公司</t>
  </si>
  <si>
    <t>914403007542978325</t>
  </si>
  <si>
    <t>经调查，你单位是南山区大沙河文体中心项目机电安装及消防工程的施工单位，在对该项目工程现场南侧进行污水管沟槽开挖作业时，开挖深度超过2米，开挖部位周边未设置临边防护栏杆，沟槽边有堆放土方及材料，沟槽内未设置人员上下梯道，存在未采取措施消除事故隐患的行为。上述行为违反了《中华人民共和国安全生产法》第四十一条第二款的规定。</t>
  </si>
  <si>
    <t>深南住建行罚立〔2023〕9号</t>
  </si>
  <si>
    <t>深南住建罚〔2023〕10号</t>
  </si>
  <si>
    <t>2023.6.28法制科</t>
  </si>
  <si>
    <t>已取回</t>
  </si>
  <si>
    <t>9004136446</t>
  </si>
  <si>
    <t>20233000029</t>
  </si>
  <si>
    <t>南山区科技创新中心幕墙工程一标段施工单位未按规定建立危大工程安全管理档案</t>
  </si>
  <si>
    <t>南山区科技创新中心幕墙工程一标段</t>
  </si>
  <si>
    <t>安俊才</t>
  </si>
  <si>
    <t>412722197908204991</t>
  </si>
  <si>
    <t>经调查，深圳市宝鹰建设集团股份有限公司是南山区科技创新中心幕墙工程一标段项目的施工单位，你是该项目施工单位的项目经理，在该项目危大工程（建筑幕墙安装工程）施工中，存在未按规定建立危大工程安全管理档案的行为。上述行为违反《危险性较大的分部分项工程安全管理规定》第二十四条第一款的规定。</t>
  </si>
  <si>
    <t>深南住建行罚立〔2023〕12号</t>
  </si>
  <si>
    <t>深南住建罚〔2023〕12号</t>
  </si>
  <si>
    <t>9005106405</t>
  </si>
  <si>
    <t>20233000030</t>
  </si>
  <si>
    <t>王思念</t>
  </si>
  <si>
    <t>420111197511085590</t>
  </si>
  <si>
    <t>经调查，深圳市宝鹰建设集团股份有限公司是南山区科技创新中心幕墙工程一标段项目的施工单位，你是该项目施工单位的项目技术负责人（直接责任人员），在该项目危大工程（建筑幕墙安装工程）施工中，存在未按规定建立危大工程安全管理档案的行为。上述行为违反了《危险性较大的分部分项工程安全管理规定》第二十四条第一款的规定。</t>
  </si>
  <si>
    <t>深南住建行罚立〔2023〕11号</t>
  </si>
  <si>
    <t>深南住建罚〔2023〕13号</t>
  </si>
  <si>
    <t>9005106406</t>
  </si>
  <si>
    <t>20233000031</t>
  </si>
  <si>
    <t>深圳市宝鹰建设集团股份有限公司</t>
  </si>
  <si>
    <t>91440300192264106H</t>
  </si>
  <si>
    <t>经调查，你单位是南山区科技创新中心幕墙工程一标段项目的施工单位，在该项目危大工程（建筑幕墙安装工程）施工中，存在未按规定建立危大工程安全管理档案的行为。上述行为违反了《危险性较大的分部分项工程安全管理规定》第二十四条第一款的规定。</t>
  </si>
  <si>
    <t>深南住建行罚立〔2023〕10号</t>
  </si>
  <si>
    <t>深南住建罚〔2023〕11号</t>
  </si>
  <si>
    <t>9005106404</t>
  </si>
  <si>
    <t>20233000039</t>
  </si>
  <si>
    <t>中建五局华南建设有限公司未按照规定组织危大工程验收案</t>
  </si>
  <si>
    <t>文理实验学校改扩建项目</t>
  </si>
  <si>
    <t>经调查，你单位是文理实验学校改扩建项目地基与基础工程的施工单位，在完成该项目多功能厅超过一定规模的危险性较大的混凝土模板支撑工程后，未按照规定组织验收已进入下一道工序施工（在该区域混凝土模板支撑工程基础上完成了钢筋绑扎工作），存在未按规定组织危大工程验收的行为。上述行为违反了《危险性较大的分部分项工程安全管理规定》第二十一条第一款的规定。</t>
  </si>
  <si>
    <t>深南住建行罚立〔2023〕15号</t>
  </si>
  <si>
    <t>深南住建罚〔2023〕15号</t>
  </si>
  <si>
    <t>9005317642</t>
  </si>
  <si>
    <t>20233000040</t>
  </si>
  <si>
    <t>赵柘峰未按照规定组织危大工程验收案</t>
  </si>
  <si>
    <t>赵柘峰</t>
  </si>
  <si>
    <t>432522198708032475</t>
  </si>
  <si>
    <t>施工单位未按照规定组织危大工程验收（项目负责人）</t>
  </si>
  <si>
    <t>经调查，中建五局华南建设有限公司是文理实验学校改扩建项目地基与基础工程的施工单位，你是该项目施工单位的项目经理，在完成该项目多功能厅超过一定规模的危险性较大的混凝土模板支撑工程后，未按照规定组织验收已进入下一道工序施工（在该区域混凝土模板支撑工程基础上完成了钢筋绑扎工作），存在未按规定组织危大工程验收的行为。违反了《危险性较大的分部分项工程安全管理规定》第二十一条第一款的规定。</t>
  </si>
  <si>
    <t>深南住建行罚立〔2023〕16号</t>
  </si>
  <si>
    <t>深南住建罚〔2023〕16号</t>
  </si>
  <si>
    <t>9005317641</t>
  </si>
  <si>
    <t>20233000043</t>
  </si>
  <si>
    <t>段海峰未按照规定组织危大工程验收案</t>
  </si>
  <si>
    <t>段海峰</t>
  </si>
  <si>
    <t>152631198402014818</t>
  </si>
  <si>
    <t>施工单位未按照规定组织危大工程验收（项目技术负责人）</t>
  </si>
  <si>
    <t>经调查，中建五局华南建设有限公司是文理实验学校改扩建项目地基与基础工程的施工单位，你是该项目施工单位的项目技术负责人（直接责任人员），在完成该项目多功能厅超过一定规模的危险性较大的混凝土模板支撑工程后，未按照规定组织验收已进入下一道工序施工（在该区域混凝土模板支撑工程基础上完成了钢筋绑扎工作），存在未按规定组织危大工程验收的行为。违反了《危险性较大的分部分项工程安全管理规定》第二十一条第一款的规定。</t>
  </si>
  <si>
    <t>深南住建行罚立〔2023〕17号</t>
  </si>
  <si>
    <t>深南住建罚〔2023〕17号</t>
  </si>
  <si>
    <t>9005317639</t>
  </si>
  <si>
    <t>20233000045</t>
  </si>
  <si>
    <t>南山智造（红花岭基地）城市更新项目施工单位司索工未按规定持证上岗</t>
  </si>
  <si>
    <t>南山智造（红花岭基地）城市更新项目一期5#、6#主体工程</t>
  </si>
  <si>
    <t>经调查，你单位是南山智造（红花岭基地）城市更新项目一期5#、6#主体工程的施工单位，该项目的工人李卜从在施工现场进行司索作业时未持建筑起重信号司索工证操作资格证，存在特种作业人员未按照规定经专门的安全作业培训并取得相应资格，上岗作业的行为。上述行为违反了《中华人民共和国安全生产法》第三十条第一款的规定。</t>
  </si>
  <si>
    <t>深南住建行罚立〔2023〕19号</t>
  </si>
  <si>
    <t>深南住建罚〔2023〕29号</t>
  </si>
  <si>
    <t>2023.11.30已取回</t>
  </si>
  <si>
    <t>9005930542</t>
  </si>
  <si>
    <t>20233000050</t>
  </si>
  <si>
    <r>
      <rPr>
        <sz val="12"/>
        <rFont val="楷体_GB2312"/>
        <charset val="134"/>
      </rPr>
      <t>绿景白石洲</t>
    </r>
    <r>
      <rPr>
        <sz val="12"/>
        <rFont val="宋体"/>
        <charset val="134"/>
      </rPr>
      <t>璟</t>
    </r>
    <r>
      <rPr>
        <sz val="12"/>
        <rFont val="楷体_GB2312"/>
        <charset val="134"/>
      </rPr>
      <t>庭总承包工程司索工未按规定持证上岗</t>
    </r>
  </si>
  <si>
    <t>中建三局第一建设工程有限责任公司</t>
  </si>
  <si>
    <t>914201007483157744</t>
  </si>
  <si>
    <r>
      <rPr>
        <sz val="12"/>
        <rFont val="楷体_GB2312"/>
        <charset val="134"/>
      </rPr>
      <t>经调查，你单位是南山区绿景白石洲</t>
    </r>
    <r>
      <rPr>
        <sz val="12"/>
        <rFont val="宋体"/>
        <charset val="134"/>
      </rPr>
      <t>璟</t>
    </r>
    <r>
      <rPr>
        <sz val="12"/>
        <rFont val="楷体_GB2312"/>
        <charset val="134"/>
      </rPr>
      <t>庭总承包工程的施工单位，该项目的工人何树旺在该项目施工现场进行司索作业时未持建筑起重信号司索工操作资格证，存在特种作业人员未按照规定经专门的安全作业培训并取得相应资格，上岗作业的行为。上述行为违反了《中华人民共和国安全生产法》第三十条第一款的规定。</t>
    </r>
  </si>
  <si>
    <t>深南住建行罚立〔2023〕22号</t>
  </si>
  <si>
    <t>深南住建罚〔2023〕31号</t>
  </si>
  <si>
    <t>9005930544</t>
  </si>
  <si>
    <t>20233000051</t>
  </si>
  <si>
    <r>
      <rPr>
        <sz val="12"/>
        <rFont val="楷体_GB2312"/>
        <charset val="134"/>
      </rPr>
      <t>绿景白石洲</t>
    </r>
    <r>
      <rPr>
        <sz val="12"/>
        <rFont val="宋体"/>
        <charset val="134"/>
      </rPr>
      <t>璟</t>
    </r>
    <r>
      <rPr>
        <sz val="12"/>
        <rFont val="楷体_GB2312"/>
        <charset val="134"/>
      </rPr>
      <t>庭总承包工程架子工未按规定持证上岗</t>
    </r>
  </si>
  <si>
    <t>湖北元慈建筑工程有限公司</t>
  </si>
  <si>
    <t>9142900430985117X3</t>
  </si>
  <si>
    <r>
      <rPr>
        <sz val="12"/>
        <rFont val="楷体_GB2312"/>
        <charset val="134"/>
      </rPr>
      <t>经调查，你单位是南山区绿景白石洲</t>
    </r>
    <r>
      <rPr>
        <sz val="12"/>
        <rFont val="宋体"/>
        <charset val="134"/>
      </rPr>
      <t>璟</t>
    </r>
    <r>
      <rPr>
        <sz val="12"/>
        <rFont val="楷体_GB2312"/>
        <charset val="134"/>
      </rPr>
      <t>庭项目附着升降脚手架专业分包工程的施工单位，该项目工人胡世平在该项目施工现场进行附着升降脚手架作业时未持附着升降脚手架建筑架子工操作资格证，存在特种作业人员未按照规定经专门的安全作业培训并取得相应资格，上岗作业的行为。上述行为违反了《中华人民共和国安全生产法》第三十条第一款的规定。</t>
    </r>
  </si>
  <si>
    <t>深南住建行罚立〔2023〕23号</t>
  </si>
  <si>
    <t>深南住建罚〔2023〕30号</t>
  </si>
  <si>
    <t>9005930543</t>
  </si>
  <si>
    <t>20233000052</t>
  </si>
  <si>
    <t>施工单位未采取措施消除事故隐患</t>
  </si>
  <si>
    <t>中金大厦项目施工总承包工程</t>
  </si>
  <si>
    <t>安徽富煌钢构股份有限公司</t>
  </si>
  <si>
    <t>91340100769033274W</t>
  </si>
  <si>
    <t>经调查，你单位是南山区中金大厦钢结构工程项目的施工单位，在该项目现场19层完成外框周边钢梁吊装后，未按要求在临边设置防护栏，未及时在分区铺设安全网，存在未采取措施消除事故隐患的行为。上述行为违反了《中华人民共和国安全生产法》第四十一条第二款的规定。</t>
  </si>
  <si>
    <t>深南住建行罚立〔2023〕24号</t>
  </si>
  <si>
    <t>深南住建罚〔2023〕18号</t>
  </si>
  <si>
    <t>9005930052</t>
  </si>
  <si>
    <t>20233000074</t>
  </si>
  <si>
    <t>深圳星河达建设科技有限公司项目负责人未按照规定现场履职案</t>
  </si>
  <si>
    <t>龙珠学校（小学部）扩建项目施工总承包工程</t>
  </si>
  <si>
    <t>深圳星河达建设科技有限公司</t>
  </si>
  <si>
    <t>914403005503344191</t>
  </si>
  <si>
    <t>施工单位项目负责人未按照规定现场履职</t>
  </si>
  <si>
    <t>经调查，你单位是南山区龙珠学校（小学部）扩建项目采光顶幕墙工程专业分包的施工单位，其在该项目危大工程（建筑幕墙安装工程）施工中，存在现场负责人未按照规定在施工现场履职的行为。上述行为违反了《危险性较大的分部分项工程安全管理规定》第十七条第一款的规定。</t>
  </si>
  <si>
    <t>深南住建行罚立〔2023〕33号</t>
  </si>
  <si>
    <t>深南住建罚〔2023〕45号</t>
  </si>
  <si>
    <t>9006480738</t>
  </si>
  <si>
    <t>20233000075</t>
  </si>
  <si>
    <t>深圳星河达建设科技有限公司项目负责人未按照规定现场履职案（直接负责人付绍兰）</t>
  </si>
  <si>
    <t>付绍兰</t>
  </si>
  <si>
    <t>专业分包单位企业主要负责人</t>
  </si>
  <si>
    <t>511224197705143728</t>
  </si>
  <si>
    <t>施工单位项目负责人未按照规定现场履职（直接负责人付绍兰）</t>
  </si>
  <si>
    <t>经调查，深圳星河达建设科技有限公司是南山区龙珠学校（小学部）扩建项目采光顶幕墙工程专业分包的施工单位，你是施工单位的直接负责人（法定代表人），在该项目危大工程（建筑幕墙安装工程）施工中，施工单位任命的项目经理因休产假未在施工现场履职，你未及时办理项目经理变更手续，存在现场负责人未按照规定在施工现场履职的行为。上述行为违反了《危险性较大的分部分项工程安全管理规定》第十七条第一款的规定。</t>
  </si>
  <si>
    <t>深南住建行罚立〔2023〕34号</t>
  </si>
  <si>
    <t>深南住建罚〔2023〕46号</t>
  </si>
  <si>
    <t>???</t>
  </si>
  <si>
    <t>9006480739</t>
  </si>
  <si>
    <t>20233000076</t>
  </si>
  <si>
    <t>深圳市诚宇建设集团有限公司未按照规定组织危大工程验收案</t>
  </si>
  <si>
    <t>前海车辆段（港湾学校共用）配套出入口及员工食堂装修改造工程</t>
  </si>
  <si>
    <t>深圳市诚宇建设集团有限公司</t>
  </si>
  <si>
    <t>914403002795211445</t>
  </si>
  <si>
    <t>经调查，你单位是南山区前海车辆段（港湾学校共用）配套出入口及员工食堂装修改造工程项目的施工单位，在完成该项目食堂装修施工区域操作平台搭设后，未按照规定组织验收，存在未按照规定组织危大工程验收的行为。上述行为违反了《危险性较大的分部分项工程安全管理规定》第二十一条第一款的规定。</t>
  </si>
  <si>
    <t>深南住建行罚立〔2023〕35号</t>
  </si>
  <si>
    <t>深南住建罚〔2023〕38号</t>
  </si>
  <si>
    <t>9006480515</t>
  </si>
  <si>
    <t>20233000077</t>
  </si>
  <si>
    <t>袁庆山未按照规定组织危大工程验收案</t>
  </si>
  <si>
    <t>袁庆山</t>
  </si>
  <si>
    <t>220381197410060637</t>
  </si>
  <si>
    <t>经调查，深圳市诚宇建设集团有限公司是南山区前海车辆段（港湾学校共用）配套出入口及员工食堂装修改造工程项目的施工单位，你是该项目施工单位的项目经理，在完成该项目食堂装修施工区域操作平台搭设后，未按照规定组织验收，存在未按照规定组织危大工程验收的行为。上述行为违反了《危险性较大的分部分项工程安全管理规定》第二十一条第一款的规定。</t>
  </si>
  <si>
    <t>深南住建行罚立〔2023〕36号</t>
  </si>
  <si>
    <t>深南住建罚〔2023〕39号</t>
  </si>
  <si>
    <t>9006480516</t>
  </si>
  <si>
    <t>20233000078</t>
  </si>
  <si>
    <t>毛体立未按照规定组织危大工程验收案</t>
  </si>
  <si>
    <t>毛体立</t>
  </si>
  <si>
    <t>441323198311150058</t>
  </si>
  <si>
    <t>经调查，深圳市诚宇建设集团有限公司是南山区前海车辆段（港湾学校共用）配套出入口及员工食堂装修改造工程项目的施工单位，你是该项目施工单位的项目技术负责人（直接责任人员），在完成该项目食堂装修施工区域操作平台搭设后，未按照规定组织验收，存在未按照规定组织危大工程验收的行为。上述行为违反了《危险性较大的分部分项工程安全管理规定》第二十一条第一款的规定。</t>
  </si>
  <si>
    <t>深南住建行罚立〔2023〕37号</t>
  </si>
  <si>
    <t>深南住建罚〔2023〕40号</t>
  </si>
  <si>
    <t>9006480517</t>
  </si>
  <si>
    <t>20233000088</t>
  </si>
  <si>
    <t>华润建筑有限公司未为从业人员提供符合国家标准或者行业标准的劳动防护用品案</t>
  </si>
  <si>
    <t>深圳湾文化广场BC地块III标段施工总承包工程</t>
  </si>
  <si>
    <t>911101017109278399</t>
  </si>
  <si>
    <t>经调查，你单位是南山区深圳湾文化广场BC地块III标段施工总承包工程的施工单位，未对该项目现场E区作业人员熊迪军发放劳动防护用品（安全带），存在未为从业人员提供符合国家标准或者行业标准的劳动防护用品的行为。上述行为违反了《中华人民共和国安全生产法》第四十五条的规定。</t>
  </si>
  <si>
    <t>深南住建行罚立〔2023〕41号</t>
  </si>
  <si>
    <t>深南住建罚〔2023〕37号</t>
  </si>
  <si>
    <t>9006480512</t>
  </si>
  <si>
    <t>20233000123</t>
  </si>
  <si>
    <t>施工单位未按照规定对从业人员进行安全生产教育和培训，未按照规定如实告知有关的安全生产事项案</t>
  </si>
  <si>
    <t>南山区科技创新中心幕墙工程四标段A区</t>
  </si>
  <si>
    <t>深圳市方大建科集团有限公司</t>
  </si>
  <si>
    <t>914403001924441823</t>
  </si>
  <si>
    <t>未按照规定对从业人员进行安全生产教育和培训，未按照规定如实告知有关的安全生产事项的</t>
  </si>
  <si>
    <t>经调查，你单位是南山区科技创新中心项目幕墙工程四标段的施工单位，未按照规定对两名进行汽车吊副臂安装作业的人员进行相对应的安全生产教育和培训，也未按照规定如实向两名进行汽车吊副臂安装作业的人员告知汽车吊副臂安装作业有关的安全生产事项，存在未按照规定对从业人员进行安全生产教育和培训，未按照规定如实告知有关的安全生产事项的行为。上述行为违反了《中华人民共和国安全生产法》第二十八条第一款的规定</t>
  </si>
  <si>
    <t>深南住建行罚立〔2023〕54号</t>
  </si>
  <si>
    <t>深南住建罚〔2023〕59号</t>
  </si>
  <si>
    <t>9007379118</t>
  </si>
  <si>
    <t>20233000125</t>
  </si>
  <si>
    <t>深圳市新朗建设工程有限公司未在施工现场有较大危险因素的设备上设置明显的安全警示标志案</t>
  </si>
  <si>
    <t>龙辉花园、龙联花园棚户区改造项目房屋拆除工程（龙辉花园3 栋、12 栋、13 栋、14 栋、15 栋、17 栋、18 栋、19 栋、20 栋、21 栋、22 栋、24 栋、25 栋及幼儿园）</t>
  </si>
  <si>
    <t>深圳市新朗建设工程有限公司</t>
  </si>
  <si>
    <t>914403007556704242</t>
  </si>
  <si>
    <t>施工单位未在施工现场有较大危险因素的设备上设置明显的安全警示标志</t>
  </si>
  <si>
    <t>经调查，你单位是南山区龙辉花园、龙联花园棚户区改造项目房屋拆除工程（龙辉花园3栋、12栋、13栋、14栋、15栋、17栋、18栋、19栋、20栋、21栋、22栋、24栋、25栋及幼儿园）的施工单位，存在未在施工现场的履带挖掘机上设置明显的安全警示标志的行为。上述行为违反了《中华人民共和国安全生产法》第三十五条的规定。</t>
  </si>
  <si>
    <t>深南住建行罚立〔2023〕55号</t>
  </si>
  <si>
    <t>深南住建罚〔2023〕62号</t>
  </si>
  <si>
    <t>9007774934</t>
  </si>
  <si>
    <t>20233000126</t>
  </si>
  <si>
    <t>方直珑樾山花园总承包工程</t>
  </si>
  <si>
    <t>沧州恒祥工程材料有限公司</t>
  </si>
  <si>
    <t>911309296892808306</t>
  </si>
  <si>
    <t>经调查，你单位是南山区方直珑樾山花园项目3栋、4栋附着式升降脚手架专业分包的施工单位，在该项目危大工程（附着式升降脚手架）施工中，存在现场负责人未按照规定在施工现场履职的行为。上述行为违反了《危险性较大的分部分项工程安全管理规定》第十七条第一款的规定。</t>
  </si>
  <si>
    <t>深南住建行罚立〔2023〕56号</t>
  </si>
  <si>
    <t>深南住建罚〔2023〕60号</t>
  </si>
  <si>
    <t>9007782715</t>
  </si>
  <si>
    <t>20233000127</t>
  </si>
  <si>
    <t>刘美娜</t>
  </si>
  <si>
    <t>13092919870210382X</t>
  </si>
  <si>
    <t>经调查，沧州恒祥工程材料有限公司是南山区方直珑樾山花园项目3栋、4栋附着式升降脚手架专业分包的施工单位，你是该项目的项目经理，在该项目危大工程（附着式升降脚手架）施工中，存在现场负责人未按照规定在施工现场履职的行为。上述行为违反了《危险性较大的分部分项工程安全管理规定》第十七条第一款的规定。</t>
  </si>
  <si>
    <t>深南住建行罚立〔2023〕57号</t>
  </si>
  <si>
    <t>深南住建罚〔2023〕61号</t>
  </si>
  <si>
    <t>9007782716</t>
  </si>
  <si>
    <t>20233000158</t>
  </si>
  <si>
    <t>沧州恒祥工程材料有限公司未采取措施消除事故隐患案</t>
  </si>
  <si>
    <t>四海臻邸项目总承包工程</t>
  </si>
  <si>
    <t>经调查，你单位是南山区四海臻邸项目的附着式升降脚手架专业分包工程的施工单位，在该工程附着式升降脚手架施工中未将6号卸荷顶撑装置支顶到位，存在未采取措施消除事故隐患的行为。上述行为违反了《中华人民共和国安全生产法》第四十一条第二款的规定</t>
  </si>
  <si>
    <t>深南住建行罚立〔2023〕82号</t>
  </si>
  <si>
    <t>深南住建罚〔2023〕77号</t>
  </si>
  <si>
    <t>2023.12.29法制科</t>
  </si>
  <si>
    <t>9008671697</t>
  </si>
  <si>
    <t>20233000162</t>
  </si>
  <si>
    <t>特种作业人员未持证上岗</t>
  </si>
  <si>
    <t>方直珑樾山花园土石方、基坑支护工程</t>
  </si>
  <si>
    <t>广东远益建设有限公司</t>
  </si>
  <si>
    <t>91440101MA5AP3DN0N</t>
  </si>
  <si>
    <t>经调查，你单位是南山区方直珑樾山项目土石方、基坑支护工程的施工单位，在该项目施工现场钢筋焊接作业的施工单位员工代高丰未持焊接特种作业人员操作资格证。你单位存在特种作业人员未按照规定经专门的安全作业培训并取得相应资格，上岗作业的行为。上述行为违反了《中华人民共和国安全生产法》第三十条第一款的规定。</t>
  </si>
  <si>
    <t>深南住建行罚立〔2023〕78号</t>
  </si>
  <si>
    <t>深南住建罚〔2023〕83号</t>
  </si>
  <si>
    <t>9009714580</t>
  </si>
  <si>
    <t>20233000167</t>
  </si>
  <si>
    <t>云荟大厦施工总承包工程</t>
  </si>
  <si>
    <t>汕头市建安实业（集团）有限公司</t>
  </si>
  <si>
    <t>914405001927206939</t>
  </si>
  <si>
    <t>经调查，你（单位）是云荟大厦施工总承包工程项目的施工单位，在该项目危大工程（首道内支撑梁拆除工程）施工中，存在未按照规定建立危大工程安全管理档案的行为，未造成危害后果。上述行为违反了《危险性较大的分部分项工程安全管理规定》第二十四条第一款的规定。</t>
  </si>
  <si>
    <t>深南住建行罚立〔2023〕79号</t>
  </si>
  <si>
    <t>深南住建罚〔2023〕80号</t>
  </si>
  <si>
    <t>9009714577</t>
  </si>
  <si>
    <t>20233000168</t>
  </si>
  <si>
    <t>施工单位未按规定建立危大工程安全管理档案（项目经理）</t>
  </si>
  <si>
    <t>翁保平</t>
  </si>
  <si>
    <t>440524197309054595</t>
  </si>
  <si>
    <t>经调查，你（单位）是云荟大厦施工总承包工程项目的施工单位的项目经理，该项目首道内支撑梁拆除工程属于危险性较大的分部分项工程，2023年07月25日本机关日常执法检查发现未按规定建立危大工程安全管理档案，未造成危害后果。上述行为违反了《危险性较大的分部分项工程安全管理规定》第二十四条第一款的规定。</t>
  </si>
  <si>
    <t>深南住建行罚立〔2023〕80号</t>
  </si>
  <si>
    <t>深南住建罚〔2023〕81号</t>
  </si>
  <si>
    <t>9009714579</t>
  </si>
  <si>
    <t>20233000169</t>
  </si>
  <si>
    <t>施工单位未按规定建立危大工程安全管理档案（项目技术负责人）</t>
  </si>
  <si>
    <t>陈树斌</t>
  </si>
  <si>
    <t>440527196809230051</t>
  </si>
  <si>
    <t>经调查，你（单位）是云荟大厦施工总承包工程项目的施工单位的项目技术负责人，该项目首道内支撑梁拆除工程属于危险性较大的分部分项工程，2023年07月25日本机关日常执法检查发现未按规定建立危大工程安全管理档案，未造成危害后果。上述行为违反了《危险性较大的分部分项工程安全管理规定》第二十四条第一款的规定。</t>
  </si>
  <si>
    <t>深南住建行罚立〔2023〕81号</t>
  </si>
  <si>
    <t>深南住建罚〔2023〕87号</t>
  </si>
  <si>
    <t>9009714578</t>
  </si>
  <si>
    <t>20233000277</t>
  </si>
  <si>
    <t>珑瀚公馆</t>
  </si>
  <si>
    <t>中建三局集团（深圳）有限公司</t>
  </si>
  <si>
    <t>使用单位</t>
  </si>
  <si>
    <t>91440300MA5GD1055A</t>
  </si>
  <si>
    <t>使用单位未指定专职设备管理人员进行现场监督检查</t>
  </si>
  <si>
    <t>经查，珑瀚公馆项目总承包工程的施工单位为中建三局集团（深圳）有限公司，我局执法人员谭亮（19020416022）、宗海根（19020416004）2023年12月20日监督执法抽查该项目时，发现现场已安装5台塔式起重机和3台施工升降机，使用单位为中建三局集团（深圳）有限公司，使用单位未指定专职设备管理人员进行现场监督检查。使用单位的上述行为涉嫌违反《建筑起重机械安全监督管理规定》第三十条第(二)项的规定。</t>
  </si>
  <si>
    <t>深南住建行罚立[2023]113号</t>
  </si>
  <si>
    <t>预计3万</t>
  </si>
  <si>
    <t>谭亮、宗海根（高广君）</t>
  </si>
  <si>
    <t>20233000278</t>
  </si>
  <si>
    <t>深圳华西建设工程管理有限公司</t>
  </si>
  <si>
    <t>914403001921930610</t>
  </si>
  <si>
    <t>监理单位未审核建筑起重机械安装单位的资质证书、安全生产许可证和特种作业人员的特种作业操作资格证书的</t>
  </si>
  <si>
    <t>经查，珑瀚公馆项目的监理单位为深圳华西建设工程管理有限公司，我局执法人员谭亮（19020416022）、宗海根（19020416004）2023年12月20日监督执法抽查该项目时，发现现场已安装5台塔式起重机和3台施工升降机，监理单位未审核建筑起重机械安装单位的资质证书、安全生产许可证和特种作业人员的特种作业操作资格证书。监理单位的上述行为涉嫌违反《建筑起重机械安全监督管理规定》第二十二条第(二)项。</t>
  </si>
  <si>
    <t>深南住建行罚立[2023]114号</t>
  </si>
  <si>
    <t>预计1万</t>
  </si>
  <si>
    <t>20233000281</t>
  </si>
  <si>
    <t>广东圆龙机械设备有限公司</t>
  </si>
  <si>
    <t>安装单位</t>
  </si>
  <si>
    <t>91441900MA548CLW1C</t>
  </si>
  <si>
    <t>安装单位未将建筑起重机械安装、拆卸工程告知工程所在地县级以上地方人民政府建设主管部门</t>
  </si>
  <si>
    <t>经查，珑瀚公馆项目的建筑起重机械安装分包单位为广东圆龙机械设备有限公司，我局执法人员谭亮（19020416022）、宗海根（19020416004）2023年12月20日监督执法抽查该项目时，发现现场已安装5台塔式起重机和3台施工升降机，安装单位未将建筑起重机械安装、拆卸工程告知工程所在地县级以上地方人民政府建设主管部门。安装单位的上述行为涉嫌违反《建筑起重机械安全监督管理规定》第十二条第(五)项的规定。</t>
  </si>
  <si>
    <t>深南住建行罚立[2023]115号</t>
  </si>
  <si>
    <t>立案数</t>
  </si>
  <si>
    <t>处罚数</t>
  </si>
  <si>
    <t>处罚金额</t>
  </si>
  <si>
    <t>结案数</t>
  </si>
  <si>
    <t>22年结转案卷</t>
  </si>
  <si>
    <t>23年案卷</t>
  </si>
  <si>
    <t>经办监督组</t>
  </si>
  <si>
    <t>二组</t>
  </si>
  <si>
    <t>一组</t>
  </si>
  <si>
    <r>
      <rPr>
        <sz val="12"/>
        <rFont val="楷体_GB2312"/>
        <charset val="134"/>
      </rPr>
      <t>绿景白石洲</t>
    </r>
    <r>
      <rPr>
        <sz val="12"/>
        <rFont val="宋体"/>
        <charset val="134"/>
      </rPr>
      <t>璟</t>
    </r>
    <r>
      <rPr>
        <sz val="12"/>
        <rFont val="楷体_GB2312"/>
        <charset val="134"/>
      </rPr>
      <t>庭总承包工程</t>
    </r>
  </si>
  <si>
    <t>案卷</t>
  </si>
  <si>
    <t>光盘</t>
  </si>
  <si>
    <t>2023.12.5已取回</t>
  </si>
</sst>
</file>

<file path=xl/styles.xml><?xml version="1.0" encoding="utf-8"?>
<styleSheet xmlns="http://schemas.openxmlformats.org/spreadsheetml/2006/main">
  <numFmts count="6">
    <numFmt numFmtId="42" formatCode="_ &quot;￥&quot;* #,##0_ ;_ &quot;￥&quot;* \-#,##0_ ;_ &quot;￥&quot;* &quot;-&quot;_ ;_ @_ "/>
    <numFmt numFmtId="44" formatCode="_ &quot;￥&quot;* #,##0.00_ ;_ &quot;￥&quot;* \-#,##0.00_ ;_ &quot;￥&quot;* &quot;-&quot;??_ ;_ @_ "/>
    <numFmt numFmtId="41" formatCode="_ * #,##0_ ;_ * \-#,##0_ ;_ * &quot;-&quot;_ ;_ @_ "/>
    <numFmt numFmtId="43" formatCode="_ * #,##0.00_ ;_ * \-#,##0.00_ ;_ * &quot;-&quot;??_ ;_ @_ "/>
    <numFmt numFmtId="176" formatCode="yyyy/m/d;@"/>
    <numFmt numFmtId="177" formatCode="#,##0.0000_);[Red]\(#,##0.0000\)"/>
  </numFmts>
  <fonts count="34">
    <font>
      <sz val="12"/>
      <name val="宋体"/>
      <charset val="134"/>
    </font>
    <font>
      <b/>
      <sz val="22"/>
      <name val="宋体"/>
      <charset val="134"/>
    </font>
    <font>
      <sz val="12"/>
      <name val="黑体"/>
      <charset val="134"/>
    </font>
    <font>
      <b/>
      <sz val="12"/>
      <name val="宋体"/>
      <charset val="134"/>
    </font>
    <font>
      <b/>
      <sz val="22"/>
      <name val="黑体"/>
      <charset val="134"/>
    </font>
    <font>
      <sz val="12"/>
      <name val="楷体_GB2312"/>
      <charset val="134"/>
    </font>
    <font>
      <b/>
      <sz val="12"/>
      <name val="楷体_GB2312"/>
      <charset val="134"/>
    </font>
    <font>
      <sz val="22"/>
      <name val="黑体"/>
      <charset val="134"/>
    </font>
    <font>
      <sz val="12"/>
      <name val="Arial"/>
      <charset val="134"/>
    </font>
    <font>
      <b/>
      <sz val="12"/>
      <color rgb="FFFF0000"/>
      <name val="楷体_GB2312"/>
      <charset val="134"/>
    </font>
    <font>
      <b/>
      <sz val="20"/>
      <color rgb="FFFF0000"/>
      <name val="楷体_GB2312"/>
      <charset val="134"/>
    </font>
    <font>
      <sz val="11"/>
      <name val="宋体"/>
      <charset val="134"/>
    </font>
    <font>
      <sz val="12"/>
      <color rgb="FFFF0000"/>
      <name val="楷体_GB2312"/>
      <charset val="134"/>
    </font>
    <font>
      <sz val="11"/>
      <color theme="0"/>
      <name val="宋体"/>
      <charset val="0"/>
      <scheme val="minor"/>
    </font>
    <font>
      <sz val="11"/>
      <color theme="1"/>
      <name val="宋体"/>
      <charset val="134"/>
      <scheme val="minor"/>
    </font>
    <font>
      <sz val="11"/>
      <color theme="1"/>
      <name val="宋体"/>
      <charset val="0"/>
      <scheme val="minor"/>
    </font>
    <font>
      <i/>
      <sz val="11"/>
      <color rgb="FF7F7F7F"/>
      <name val="宋体"/>
      <charset val="0"/>
      <scheme val="minor"/>
    </font>
    <font>
      <sz val="11"/>
      <color rgb="FF3F3F76"/>
      <name val="宋体"/>
      <charset val="0"/>
      <scheme val="minor"/>
    </font>
    <font>
      <sz val="11"/>
      <color rgb="FF9C0006"/>
      <name val="宋体"/>
      <charset val="0"/>
      <scheme val="minor"/>
    </font>
    <font>
      <u/>
      <sz val="11"/>
      <color rgb="FF0000FF"/>
      <name val="宋体"/>
      <charset val="0"/>
      <scheme val="minor"/>
    </font>
    <font>
      <b/>
      <sz val="18"/>
      <color theme="3"/>
      <name val="宋体"/>
      <charset val="134"/>
      <scheme val="minor"/>
    </font>
    <font>
      <u/>
      <sz val="11"/>
      <color rgb="FF800080"/>
      <name val="宋体"/>
      <charset val="0"/>
      <scheme val="minor"/>
    </font>
    <font>
      <sz val="11"/>
      <color rgb="FF9C6500"/>
      <name val="宋体"/>
      <charset val="0"/>
      <scheme val="minor"/>
    </font>
    <font>
      <b/>
      <sz val="11"/>
      <color theme="3"/>
      <name val="宋体"/>
      <charset val="134"/>
      <scheme val="minor"/>
    </font>
    <font>
      <sz val="11"/>
      <color rgb="FFFF0000"/>
      <name val="宋体"/>
      <charset val="0"/>
      <scheme val="minor"/>
    </font>
    <font>
      <b/>
      <sz val="15"/>
      <color theme="3"/>
      <name val="宋体"/>
      <charset val="134"/>
      <scheme val="minor"/>
    </font>
    <font>
      <b/>
      <sz val="11"/>
      <color theme="1"/>
      <name val="宋体"/>
      <charset val="0"/>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sz val="11"/>
      <color rgb="FF006100"/>
      <name val="宋体"/>
      <charset val="0"/>
      <scheme val="minor"/>
    </font>
    <font>
      <b/>
      <sz val="12"/>
      <color rgb="FFFF0000"/>
      <name val="黑体"/>
      <charset val="134"/>
    </font>
  </fonts>
  <fills count="35">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9"/>
        <bgColor indexed="64"/>
      </patternFill>
    </fill>
    <fill>
      <patternFill patternType="solid">
        <fgColor theme="7"/>
        <bgColor indexed="64"/>
      </patternFill>
    </fill>
    <fill>
      <patternFill patternType="solid">
        <fgColor theme="8" tint="0.599993896298105"/>
        <bgColor indexed="64"/>
      </patternFill>
    </fill>
    <fill>
      <patternFill patternType="solid">
        <fgColor theme="6" tint="0.599993896298105"/>
        <bgColor indexed="64"/>
      </patternFill>
    </fill>
    <fill>
      <patternFill patternType="solid">
        <fgColor theme="8" tint="0.799981688894314"/>
        <bgColor indexed="64"/>
      </patternFill>
    </fill>
    <fill>
      <patternFill patternType="solid">
        <fgColor theme="6" tint="0.799981688894314"/>
        <bgColor indexed="64"/>
      </patternFill>
    </fill>
    <fill>
      <patternFill patternType="solid">
        <fgColor theme="7" tint="0.799981688894314"/>
        <bgColor indexed="64"/>
      </patternFill>
    </fill>
    <fill>
      <patternFill patternType="solid">
        <fgColor rgb="FFFFCC99"/>
        <bgColor indexed="64"/>
      </patternFill>
    </fill>
    <fill>
      <patternFill patternType="solid">
        <fgColor theme="5" tint="0.599993896298105"/>
        <bgColor indexed="64"/>
      </patternFill>
    </fill>
    <fill>
      <patternFill patternType="solid">
        <fgColor rgb="FFFFC7CE"/>
        <bgColor indexed="64"/>
      </patternFill>
    </fill>
    <fill>
      <patternFill patternType="solid">
        <fgColor theme="8" tint="0.399975585192419"/>
        <bgColor indexed="64"/>
      </patternFill>
    </fill>
    <fill>
      <patternFill patternType="solid">
        <fgColor theme="6" tint="0.399975585192419"/>
        <bgColor indexed="64"/>
      </patternFill>
    </fill>
    <fill>
      <patternFill patternType="solid">
        <fgColor rgb="FFFFFFCC"/>
        <bgColor indexed="64"/>
      </patternFill>
    </fill>
    <fill>
      <patternFill patternType="solid">
        <fgColor rgb="FFFFEB9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theme="5" tint="0.799981688894314"/>
        <bgColor indexed="64"/>
      </patternFill>
    </fill>
    <fill>
      <patternFill patternType="solid">
        <fgColor rgb="FFC6EFCE"/>
        <bgColor indexed="64"/>
      </patternFill>
    </fill>
    <fill>
      <patternFill patternType="solid">
        <fgColor theme="6"/>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7" tint="0.599993896298105"/>
        <bgColor indexed="64"/>
      </patternFill>
    </fill>
    <fill>
      <patternFill patternType="solid">
        <fgColor theme="8"/>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style="thin">
        <color theme="4"/>
      </top>
      <bottom style="double">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s>
  <cellStyleXfs count="49">
    <xf numFmtId="0" fontId="0" fillId="0" borderId="0"/>
    <xf numFmtId="42" fontId="14" fillId="0" borderId="0" applyFont="0" applyFill="0" applyBorder="0" applyAlignment="0" applyProtection="0">
      <alignment vertical="center"/>
    </xf>
    <xf numFmtId="0" fontId="15" fillId="9" borderId="0" applyNumberFormat="0" applyBorder="0" applyAlignment="0" applyProtection="0">
      <alignment vertical="center"/>
    </xf>
    <xf numFmtId="0" fontId="17" fillId="11" borderId="5" applyNumberFormat="0" applyAlignment="0" applyProtection="0">
      <alignment vertical="center"/>
    </xf>
    <xf numFmtId="44" fontId="14" fillId="0" borderId="0" applyFont="0" applyFill="0" applyBorder="0" applyAlignment="0" applyProtection="0">
      <alignment vertical="center"/>
    </xf>
    <xf numFmtId="41" fontId="14" fillId="0" borderId="0" applyFont="0" applyFill="0" applyBorder="0" applyAlignment="0" applyProtection="0">
      <alignment vertical="center"/>
    </xf>
    <xf numFmtId="0" fontId="15" fillId="7" borderId="0" applyNumberFormat="0" applyBorder="0" applyAlignment="0" applyProtection="0">
      <alignment vertical="center"/>
    </xf>
    <xf numFmtId="0" fontId="18" fillId="13" borderId="0" applyNumberFormat="0" applyBorder="0" applyAlignment="0" applyProtection="0">
      <alignment vertical="center"/>
    </xf>
    <xf numFmtId="43" fontId="14" fillId="0" borderId="0" applyFont="0" applyFill="0" applyBorder="0" applyAlignment="0" applyProtection="0">
      <alignment vertical="center"/>
    </xf>
    <xf numFmtId="0" fontId="13" fillId="15" borderId="0" applyNumberFormat="0" applyBorder="0" applyAlignment="0" applyProtection="0">
      <alignment vertical="center"/>
    </xf>
    <xf numFmtId="0" fontId="19" fillId="0" borderId="0" applyNumberFormat="0" applyFill="0" applyBorder="0" applyAlignment="0" applyProtection="0">
      <alignment vertical="center"/>
    </xf>
    <xf numFmtId="9" fontId="14" fillId="0" borderId="0" applyFont="0" applyFill="0" applyBorder="0" applyAlignment="0" applyProtection="0">
      <alignment vertical="center"/>
    </xf>
    <xf numFmtId="0" fontId="21" fillId="0" borderId="0" applyNumberFormat="0" applyFill="0" applyBorder="0" applyAlignment="0" applyProtection="0">
      <alignment vertical="center"/>
    </xf>
    <xf numFmtId="0" fontId="14" fillId="16" borderId="6" applyNumberFormat="0" applyFont="0" applyAlignment="0" applyProtection="0">
      <alignment vertical="center"/>
    </xf>
    <xf numFmtId="0" fontId="13" fillId="18" borderId="0" applyNumberFormat="0" applyBorder="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25" fillId="0" borderId="7" applyNumberFormat="0" applyFill="0" applyAlignment="0" applyProtection="0">
      <alignment vertical="center"/>
    </xf>
    <xf numFmtId="0" fontId="27" fillId="0" borderId="7" applyNumberFormat="0" applyFill="0" applyAlignment="0" applyProtection="0">
      <alignment vertical="center"/>
    </xf>
    <xf numFmtId="0" fontId="13" fillId="19" borderId="0" applyNumberFormat="0" applyBorder="0" applyAlignment="0" applyProtection="0">
      <alignment vertical="center"/>
    </xf>
    <xf numFmtId="0" fontId="23" fillId="0" borderId="9" applyNumberFormat="0" applyFill="0" applyAlignment="0" applyProtection="0">
      <alignment vertical="center"/>
    </xf>
    <xf numFmtId="0" fontId="13" fillId="20" borderId="0" applyNumberFormat="0" applyBorder="0" applyAlignment="0" applyProtection="0">
      <alignment vertical="center"/>
    </xf>
    <xf numFmtId="0" fontId="28" fillId="21" borderId="10" applyNumberFormat="0" applyAlignment="0" applyProtection="0">
      <alignment vertical="center"/>
    </xf>
    <xf numFmtId="0" fontId="29" fillId="21" borderId="5" applyNumberFormat="0" applyAlignment="0" applyProtection="0">
      <alignment vertical="center"/>
    </xf>
    <xf numFmtId="0" fontId="30" fillId="22" borderId="11" applyNumberFormat="0" applyAlignment="0" applyProtection="0">
      <alignment vertical="center"/>
    </xf>
    <xf numFmtId="0" fontId="15" fillId="23" borderId="0" applyNumberFormat="0" applyBorder="0" applyAlignment="0" applyProtection="0">
      <alignment vertical="center"/>
    </xf>
    <xf numFmtId="0" fontId="13" fillId="24" borderId="0" applyNumberFormat="0" applyBorder="0" applyAlignment="0" applyProtection="0">
      <alignment vertical="center"/>
    </xf>
    <xf numFmtId="0" fontId="31" fillId="0" borderId="12" applyNumberFormat="0" applyFill="0" applyAlignment="0" applyProtection="0">
      <alignment vertical="center"/>
    </xf>
    <xf numFmtId="0" fontId="26" fillId="0" borderId="8" applyNumberFormat="0" applyFill="0" applyAlignment="0" applyProtection="0">
      <alignment vertical="center"/>
    </xf>
    <xf numFmtId="0" fontId="32" fillId="26" borderId="0" applyNumberFormat="0" applyBorder="0" applyAlignment="0" applyProtection="0">
      <alignment vertical="center"/>
    </xf>
    <xf numFmtId="0" fontId="22" fillId="17" borderId="0" applyNumberFormat="0" applyBorder="0" applyAlignment="0" applyProtection="0">
      <alignment vertical="center"/>
    </xf>
    <xf numFmtId="0" fontId="15" fillId="8" borderId="0" applyNumberFormat="0" applyBorder="0" applyAlignment="0" applyProtection="0">
      <alignment vertical="center"/>
    </xf>
    <xf numFmtId="0" fontId="13" fillId="28" borderId="0" applyNumberFormat="0" applyBorder="0" applyAlignment="0" applyProtection="0">
      <alignment vertical="center"/>
    </xf>
    <xf numFmtId="0" fontId="15" fillId="29" borderId="0" applyNumberFormat="0" applyBorder="0" applyAlignment="0" applyProtection="0">
      <alignment vertical="center"/>
    </xf>
    <xf numFmtId="0" fontId="15" fillId="30" borderId="0" applyNumberFormat="0" applyBorder="0" applyAlignment="0" applyProtection="0">
      <alignment vertical="center"/>
    </xf>
    <xf numFmtId="0" fontId="15" fillId="25" borderId="0" applyNumberFormat="0" applyBorder="0" applyAlignment="0" applyProtection="0">
      <alignment vertical="center"/>
    </xf>
    <xf numFmtId="0" fontId="15" fillId="12" borderId="0" applyNumberFormat="0" applyBorder="0" applyAlignment="0" applyProtection="0">
      <alignment vertical="center"/>
    </xf>
    <xf numFmtId="0" fontId="13" fillId="27" borderId="0" applyNumberFormat="0" applyBorder="0" applyAlignment="0" applyProtection="0">
      <alignment vertical="center"/>
    </xf>
    <xf numFmtId="0" fontId="13" fillId="5" borderId="0" applyNumberFormat="0" applyBorder="0" applyAlignment="0" applyProtection="0">
      <alignment vertical="center"/>
    </xf>
    <xf numFmtId="0" fontId="15" fillId="10" borderId="0" applyNumberFormat="0" applyBorder="0" applyAlignment="0" applyProtection="0">
      <alignment vertical="center"/>
    </xf>
    <xf numFmtId="0" fontId="15" fillId="31" borderId="0" applyNumberFormat="0" applyBorder="0" applyAlignment="0" applyProtection="0">
      <alignment vertical="center"/>
    </xf>
    <xf numFmtId="0" fontId="13" fillId="32" borderId="0" applyNumberFormat="0" applyBorder="0" applyAlignment="0" applyProtection="0">
      <alignment vertical="center"/>
    </xf>
    <xf numFmtId="0" fontId="15" fillId="6" borderId="0" applyNumberFormat="0" applyBorder="0" applyAlignment="0" applyProtection="0">
      <alignment vertical="center"/>
    </xf>
    <xf numFmtId="0" fontId="13" fillId="14" borderId="0" applyNumberFormat="0" applyBorder="0" applyAlignment="0" applyProtection="0">
      <alignment vertical="center"/>
    </xf>
    <xf numFmtId="0" fontId="13" fillId="4" borderId="0" applyNumberFormat="0" applyBorder="0" applyAlignment="0" applyProtection="0">
      <alignment vertical="center"/>
    </xf>
    <xf numFmtId="0" fontId="15" fillId="33" borderId="0" applyNumberFormat="0" applyBorder="0" applyAlignment="0" applyProtection="0">
      <alignment vertical="center"/>
    </xf>
    <xf numFmtId="0" fontId="13" fillId="34" borderId="0" applyNumberFormat="0" applyBorder="0" applyAlignment="0" applyProtection="0">
      <alignment vertical="center"/>
    </xf>
  </cellStyleXfs>
  <cellXfs count="128">
    <xf numFmtId="0" fontId="0" fillId="0" borderId="0" xfId="0"/>
    <xf numFmtId="0" fontId="1" fillId="0" borderId="0" xfId="0" applyFont="1" applyBorder="1" applyAlignment="1">
      <alignment horizontal="center" vertical="center" wrapText="1"/>
    </xf>
    <xf numFmtId="0" fontId="2" fillId="0" borderId="0" xfId="0" applyFont="1" applyBorder="1" applyAlignment="1">
      <alignment horizontal="center" vertical="center" wrapText="1"/>
    </xf>
    <xf numFmtId="0" fontId="0" fillId="2" borderId="0" xfId="0" applyFill="1" applyBorder="1" applyAlignment="1">
      <alignment horizontal="center" vertical="center" wrapText="1"/>
    </xf>
    <xf numFmtId="0" fontId="0" fillId="0" borderId="0" xfId="0" applyFill="1" applyBorder="1" applyAlignment="1">
      <alignment horizontal="center" vertical="center" wrapText="1"/>
    </xf>
    <xf numFmtId="0" fontId="0" fillId="0" borderId="0" xfId="0" applyBorder="1" applyAlignment="1">
      <alignment horizontal="center" vertical="center" wrapText="1"/>
    </xf>
    <xf numFmtId="49" fontId="0" fillId="0" borderId="0" xfId="0" applyNumberFormat="1" applyBorder="1" applyAlignment="1">
      <alignment horizontal="center" vertical="center" wrapText="1"/>
    </xf>
    <xf numFmtId="0" fontId="3" fillId="0" borderId="0" xfId="0" applyFont="1" applyBorder="1" applyAlignment="1">
      <alignment horizontal="center" vertical="center" wrapText="1"/>
    </xf>
    <xf numFmtId="0" fontId="0" fillId="0" borderId="0" xfId="0" applyBorder="1" applyAlignment="1">
      <alignment horizontal="left" vertical="center" wrapText="1"/>
    </xf>
    <xf numFmtId="14" fontId="3" fillId="0" borderId="0" xfId="0" applyNumberFormat="1" applyFont="1" applyBorder="1" applyAlignment="1">
      <alignment horizontal="center" vertical="center" wrapText="1"/>
    </xf>
    <xf numFmtId="4" fontId="0" fillId="0" borderId="0" xfId="0" applyNumberFormat="1" applyFont="1" applyBorder="1" applyAlignment="1">
      <alignment horizontal="center" vertical="center" wrapText="1"/>
    </xf>
    <xf numFmtId="0" fontId="0" fillId="0" borderId="0" xfId="0" applyNumberFormat="1" applyFont="1" applyBorder="1" applyAlignment="1">
      <alignment horizontal="center" vertical="center" wrapText="1"/>
    </xf>
    <xf numFmtId="177" fontId="3" fillId="0" borderId="0" xfId="0" applyNumberFormat="1" applyFont="1" applyBorder="1" applyAlignment="1">
      <alignment horizontal="center" vertical="center" wrapText="1"/>
    </xf>
    <xf numFmtId="176" fontId="0" fillId="0" borderId="0" xfId="0" applyNumberFormat="1" applyBorder="1" applyAlignment="1">
      <alignment horizontal="center" vertical="center" wrapText="1"/>
    </xf>
    <xf numFmtId="0" fontId="4" fillId="0" borderId="0" xfId="0" applyFont="1" applyBorder="1" applyAlignment="1">
      <alignment horizontal="center" vertical="center" wrapText="1"/>
    </xf>
    <xf numFmtId="49" fontId="4" fillId="0" borderId="0" xfId="0" applyNumberFormat="1" applyFont="1" applyBorder="1" applyAlignment="1">
      <alignment horizontal="center" vertical="center" wrapText="1"/>
    </xf>
    <xf numFmtId="0" fontId="2" fillId="0" borderId="1" xfId="0" applyFont="1" applyBorder="1" applyAlignment="1">
      <alignment horizontal="center" vertical="center" wrapText="1"/>
    </xf>
    <xf numFmtId="49" fontId="2" fillId="0" borderId="1" xfId="0" applyNumberFormat="1" applyFont="1" applyBorder="1" applyAlignment="1">
      <alignment horizontal="center" vertical="center" wrapText="1"/>
    </xf>
    <xf numFmtId="0" fontId="5" fillId="0" borderId="1" xfId="0" applyFont="1" applyBorder="1" applyAlignment="1">
      <alignment horizontal="center" vertical="center" wrapText="1"/>
    </xf>
    <xf numFmtId="49" fontId="5" fillId="0" borderId="1" xfId="0" applyNumberFormat="1" applyFont="1" applyBorder="1" applyAlignment="1">
      <alignment horizontal="center" vertical="center" wrapText="1"/>
    </xf>
    <xf numFmtId="49" fontId="6" fillId="0" borderId="2" xfId="0" applyNumberFormat="1" applyFont="1" applyFill="1" applyBorder="1" applyAlignment="1">
      <alignment horizontal="center" vertical="center" wrapText="1"/>
    </xf>
    <xf numFmtId="49" fontId="5" fillId="0" borderId="1" xfId="0" applyNumberFormat="1" applyFont="1" applyFill="1" applyBorder="1" applyAlignment="1">
      <alignment horizontal="center" vertical="center" wrapText="1"/>
    </xf>
    <xf numFmtId="0" fontId="5" fillId="0" borderId="1" xfId="0" applyFont="1" applyFill="1" applyBorder="1" applyAlignment="1">
      <alignment horizontal="center" vertical="center" wrapText="1"/>
    </xf>
    <xf numFmtId="49" fontId="6" fillId="0" borderId="3" xfId="0" applyNumberFormat="1" applyFont="1" applyFill="1" applyBorder="1" applyAlignment="1">
      <alignment horizontal="center" vertical="center" wrapText="1"/>
    </xf>
    <xf numFmtId="0" fontId="5" fillId="2" borderId="1" xfId="0" applyFont="1" applyFill="1" applyBorder="1" applyAlignment="1">
      <alignment horizontal="center" vertical="center" wrapText="1"/>
    </xf>
    <xf numFmtId="49" fontId="5" fillId="2" borderId="1" xfId="0" applyNumberFormat="1" applyFont="1" applyFill="1" applyBorder="1" applyAlignment="1">
      <alignment horizontal="center" vertical="center" wrapText="1"/>
    </xf>
    <xf numFmtId="49" fontId="6" fillId="2" borderId="1" xfId="0" applyNumberFormat="1" applyFont="1" applyFill="1" applyBorder="1" applyAlignment="1">
      <alignment horizontal="center" vertical="center" wrapText="1"/>
    </xf>
    <xf numFmtId="49" fontId="6" fillId="0" borderId="4" xfId="0" applyNumberFormat="1" applyFont="1" applyFill="1" applyBorder="1" applyAlignment="1">
      <alignment horizontal="center" vertical="center" wrapText="1"/>
    </xf>
    <xf numFmtId="49" fontId="6" fillId="0" borderId="1" xfId="0" applyNumberFormat="1" applyFont="1" applyFill="1" applyBorder="1" applyAlignment="1">
      <alignment horizontal="center" vertical="center" wrapText="1"/>
    </xf>
    <xf numFmtId="49" fontId="6" fillId="2" borderId="2" xfId="0" applyNumberFormat="1" applyFont="1" applyFill="1" applyBorder="1" applyAlignment="1">
      <alignment horizontal="center" vertical="center" wrapText="1"/>
    </xf>
    <xf numFmtId="49" fontId="3" fillId="0" borderId="1" xfId="0" applyNumberFormat="1" applyFont="1" applyFill="1" applyBorder="1" applyAlignment="1">
      <alignment horizontal="center" vertical="center" wrapText="1"/>
    </xf>
    <xf numFmtId="49" fontId="6" fillId="2" borderId="3" xfId="0" applyNumberFormat="1" applyFont="1" applyFill="1" applyBorder="1" applyAlignment="1">
      <alignment horizontal="center" vertical="center" wrapText="1"/>
    </xf>
    <xf numFmtId="0" fontId="5" fillId="0" borderId="0" xfId="0" applyFont="1" applyBorder="1" applyAlignment="1">
      <alignment horizontal="center" vertical="center" wrapText="1"/>
    </xf>
    <xf numFmtId="49" fontId="5" fillId="0" borderId="0" xfId="0" applyNumberFormat="1" applyFont="1" applyBorder="1" applyAlignment="1">
      <alignment horizontal="center" vertical="center" wrapText="1"/>
    </xf>
    <xf numFmtId="0" fontId="6" fillId="0" borderId="0" xfId="0" applyFont="1" applyBorder="1" applyAlignment="1">
      <alignment horizontal="center" vertical="center" wrapText="1"/>
    </xf>
    <xf numFmtId="0" fontId="4" fillId="0" borderId="0" xfId="0" applyFont="1" applyBorder="1" applyAlignment="1">
      <alignment horizontal="left" vertical="center" wrapText="1"/>
    </xf>
    <xf numFmtId="0" fontId="4" fillId="0" borderId="0" xfId="0" applyFont="1" applyFill="1" applyBorder="1" applyAlignment="1">
      <alignment horizontal="center" vertical="center" wrapText="1"/>
    </xf>
    <xf numFmtId="0" fontId="7" fillId="0" borderId="0" xfId="0" applyFont="1" applyBorder="1" applyAlignment="1">
      <alignment horizontal="center" vertical="center" wrapText="1"/>
    </xf>
    <xf numFmtId="0" fontId="4" fillId="0" borderId="0" xfId="0" applyNumberFormat="1" applyFont="1" applyBorder="1" applyAlignment="1">
      <alignment horizontal="center" vertical="center" wrapText="1"/>
    </xf>
    <xf numFmtId="0" fontId="2" fillId="0" borderId="1" xfId="0" applyFont="1" applyFill="1" applyBorder="1" applyAlignment="1">
      <alignment horizontal="center" vertical="center" wrapText="1"/>
    </xf>
    <xf numFmtId="14" fontId="2" fillId="0" borderId="1" xfId="0" applyNumberFormat="1" applyFont="1" applyBorder="1" applyAlignment="1">
      <alignment horizontal="center" vertical="center" wrapText="1"/>
    </xf>
    <xf numFmtId="0" fontId="2" fillId="0" borderId="1" xfId="0" applyNumberFormat="1" applyFont="1" applyBorder="1" applyAlignment="1">
      <alignment horizontal="center" vertical="center" wrapText="1"/>
    </xf>
    <xf numFmtId="177" fontId="2" fillId="0" borderId="1" xfId="0" applyNumberFormat="1" applyFont="1" applyBorder="1" applyAlignment="1">
      <alignment horizontal="center" vertical="center" wrapText="1"/>
    </xf>
    <xf numFmtId="0" fontId="5" fillId="0" borderId="1" xfId="0" applyFont="1" applyFill="1" applyBorder="1" applyAlignment="1">
      <alignment horizontal="left" vertical="center" wrapText="1"/>
    </xf>
    <xf numFmtId="14" fontId="5" fillId="0" borderId="1" xfId="0" applyNumberFormat="1" applyFont="1" applyFill="1" applyBorder="1" applyAlignment="1">
      <alignment horizontal="center" vertical="center" wrapText="1"/>
    </xf>
    <xf numFmtId="14" fontId="6" fillId="0" borderId="1" xfId="0" applyNumberFormat="1" applyFont="1" applyFill="1" applyBorder="1" applyAlignment="1">
      <alignment horizontal="center" vertical="center" wrapText="1"/>
    </xf>
    <xf numFmtId="0" fontId="5" fillId="0" borderId="1" xfId="0" applyNumberFormat="1" applyFont="1" applyBorder="1" applyAlignment="1">
      <alignment horizontal="center" vertical="center" wrapText="1"/>
    </xf>
    <xf numFmtId="177" fontId="6" fillId="0" borderId="1" xfId="0" applyNumberFormat="1" applyFont="1" applyBorder="1" applyAlignment="1">
      <alignment horizontal="center" vertical="center" wrapText="1"/>
    </xf>
    <xf numFmtId="0" fontId="5" fillId="2" borderId="1" xfId="0" applyFont="1" applyFill="1" applyBorder="1" applyAlignment="1">
      <alignment horizontal="left" vertical="center" wrapText="1"/>
    </xf>
    <xf numFmtId="14" fontId="6" fillId="2" borderId="1" xfId="0" applyNumberFormat="1" applyFont="1" applyFill="1" applyBorder="1" applyAlignment="1">
      <alignment horizontal="center" vertical="center" wrapText="1"/>
    </xf>
    <xf numFmtId="14" fontId="5" fillId="2" borderId="1" xfId="0" applyNumberFormat="1" applyFont="1" applyFill="1" applyBorder="1" applyAlignment="1">
      <alignment horizontal="center" vertical="center" wrapText="1"/>
    </xf>
    <xf numFmtId="0" fontId="5" fillId="2" borderId="1" xfId="0" applyNumberFormat="1" applyFont="1" applyFill="1" applyBorder="1" applyAlignment="1">
      <alignment horizontal="center" vertical="center" wrapText="1"/>
    </xf>
    <xf numFmtId="177" fontId="6" fillId="2" borderId="1" xfId="0" applyNumberFormat="1" applyFont="1" applyFill="1" applyBorder="1" applyAlignment="1">
      <alignment horizontal="center" vertical="center" wrapText="1"/>
    </xf>
    <xf numFmtId="0" fontId="5" fillId="0" borderId="1" xfId="0" applyNumberFormat="1" applyFont="1" applyFill="1" applyBorder="1" applyAlignment="1">
      <alignment horizontal="center" vertical="center" wrapText="1"/>
    </xf>
    <xf numFmtId="177" fontId="6" fillId="0" borderId="1" xfId="0" applyNumberFormat="1" applyFont="1" applyFill="1" applyBorder="1" applyAlignment="1">
      <alignment horizontal="center" vertical="center" wrapText="1"/>
    </xf>
    <xf numFmtId="0" fontId="5" fillId="3" borderId="1" xfId="0" applyFont="1" applyFill="1" applyBorder="1" applyAlignment="1">
      <alignment horizontal="left" vertical="center" wrapText="1"/>
    </xf>
    <xf numFmtId="0" fontId="5" fillId="0" borderId="0" xfId="0" applyFont="1" applyBorder="1" applyAlignment="1">
      <alignment horizontal="left" vertical="center" wrapText="1"/>
    </xf>
    <xf numFmtId="0" fontId="5" fillId="0" borderId="0" xfId="0" applyFont="1" applyFill="1" applyBorder="1" applyAlignment="1">
      <alignment horizontal="center" vertical="center" wrapText="1"/>
    </xf>
    <xf numFmtId="14" fontId="6" fillId="0" borderId="0" xfId="0" applyNumberFormat="1" applyFont="1" applyBorder="1" applyAlignment="1">
      <alignment horizontal="center" vertical="center" wrapText="1"/>
    </xf>
    <xf numFmtId="4" fontId="5" fillId="0" borderId="0" xfId="0" applyNumberFormat="1" applyFont="1" applyBorder="1" applyAlignment="1">
      <alignment horizontal="center" vertical="center" wrapText="1"/>
    </xf>
    <xf numFmtId="0" fontId="5" fillId="0" borderId="0" xfId="0" applyNumberFormat="1" applyFont="1" applyBorder="1" applyAlignment="1">
      <alignment horizontal="center" vertical="center" wrapText="1"/>
    </xf>
    <xf numFmtId="177" fontId="6" fillId="0" borderId="0" xfId="0" applyNumberFormat="1" applyFont="1" applyBorder="1" applyAlignment="1">
      <alignment horizontal="center" vertical="center" wrapText="1"/>
    </xf>
    <xf numFmtId="0" fontId="6" fillId="0" borderId="0" xfId="0" applyFont="1" applyFill="1" applyBorder="1" applyAlignment="1">
      <alignment horizontal="distributed" vertical="center" wrapText="1"/>
    </xf>
    <xf numFmtId="0" fontId="6" fillId="2" borderId="0" xfId="0" applyNumberFormat="1" applyFont="1" applyFill="1" applyBorder="1" applyAlignment="1">
      <alignment horizontal="center" vertical="center" wrapText="1"/>
    </xf>
    <xf numFmtId="0" fontId="5" fillId="2" borderId="0" xfId="0" applyNumberFormat="1" applyFont="1" applyFill="1" applyBorder="1" applyAlignment="1">
      <alignment horizontal="center" vertical="center" wrapText="1"/>
    </xf>
    <xf numFmtId="177" fontId="6" fillId="2" borderId="0" xfId="0" applyNumberFormat="1" applyFont="1" applyFill="1" applyBorder="1" applyAlignment="1">
      <alignment horizontal="center" vertical="center" wrapText="1"/>
    </xf>
    <xf numFmtId="176" fontId="1" fillId="0" borderId="0" xfId="0" applyNumberFormat="1" applyFont="1" applyBorder="1" applyAlignment="1">
      <alignment horizontal="center" vertical="center" wrapText="1"/>
    </xf>
    <xf numFmtId="176" fontId="2" fillId="0" borderId="1" xfId="0" applyNumberFormat="1" applyFont="1" applyBorder="1" applyAlignment="1">
      <alignment horizontal="center" vertical="center" wrapText="1"/>
    </xf>
    <xf numFmtId="176" fontId="5" fillId="0" borderId="1" xfId="0" applyNumberFormat="1" applyFont="1" applyFill="1" applyBorder="1" applyAlignment="1">
      <alignment horizontal="center" vertical="center" wrapText="1"/>
    </xf>
    <xf numFmtId="176" fontId="5" fillId="0" borderId="1" xfId="0" applyNumberFormat="1" applyFont="1" applyBorder="1" applyAlignment="1">
      <alignment horizontal="center" vertical="center" wrapText="1"/>
    </xf>
    <xf numFmtId="176" fontId="5" fillId="2" borderId="1" xfId="0" applyNumberFormat="1" applyFont="1" applyFill="1" applyBorder="1" applyAlignment="1">
      <alignment horizontal="center" vertical="center" wrapText="1"/>
    </xf>
    <xf numFmtId="176" fontId="5" fillId="0" borderId="0" xfId="0" applyNumberFormat="1" applyFont="1" applyBorder="1" applyAlignment="1">
      <alignment horizontal="center" vertical="center" wrapText="1"/>
    </xf>
    <xf numFmtId="0" fontId="8" fillId="0" borderId="1" xfId="0" applyFont="1" applyBorder="1" applyAlignment="1">
      <alignment horizontal="center" vertical="center" wrapText="1"/>
    </xf>
    <xf numFmtId="0" fontId="9" fillId="2" borderId="1" xfId="0" applyFont="1" applyFill="1" applyBorder="1" applyAlignment="1">
      <alignment horizontal="center" vertical="center" wrapText="1"/>
    </xf>
    <xf numFmtId="0" fontId="9" fillId="2" borderId="0" xfId="0" applyFont="1" applyFill="1" applyBorder="1" applyAlignment="1">
      <alignment horizontal="center" vertical="center" wrapText="1"/>
    </xf>
    <xf numFmtId="0" fontId="5" fillId="2" borderId="0" xfId="0" applyFont="1" applyFill="1" applyBorder="1" applyAlignment="1">
      <alignment horizontal="center" vertical="center" wrapText="1"/>
    </xf>
    <xf numFmtId="0" fontId="8" fillId="0" borderId="0" xfId="0" applyFont="1" applyBorder="1" applyAlignment="1">
      <alignment horizontal="center" vertical="center" wrapText="1"/>
    </xf>
    <xf numFmtId="0" fontId="10" fillId="2" borderId="1"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8" fillId="2" borderId="0" xfId="0" applyFont="1" applyFill="1" applyBorder="1" applyAlignment="1">
      <alignment horizontal="center" vertical="center" wrapText="1"/>
    </xf>
    <xf numFmtId="0" fontId="11" fillId="0" borderId="1" xfId="0" applyFont="1" applyFill="1" applyBorder="1" applyAlignment="1">
      <alignment horizontal="center" vertical="center" wrapText="1"/>
    </xf>
    <xf numFmtId="0" fontId="11" fillId="2" borderId="1" xfId="0" applyFont="1" applyFill="1" applyBorder="1" applyAlignment="1">
      <alignment horizontal="center" vertical="center" wrapText="1"/>
    </xf>
    <xf numFmtId="49" fontId="5" fillId="0" borderId="3" xfId="0" applyNumberFormat="1" applyFont="1" applyFill="1" applyBorder="1" applyAlignment="1">
      <alignment horizontal="center" vertical="center" wrapText="1"/>
    </xf>
    <xf numFmtId="49" fontId="5" fillId="0" borderId="4" xfId="0" applyNumberFormat="1" applyFont="1" applyFill="1" applyBorder="1" applyAlignment="1">
      <alignment horizontal="center" vertical="center" wrapText="1"/>
    </xf>
    <xf numFmtId="0" fontId="5" fillId="0" borderId="0" xfId="0" applyFont="1" applyAlignment="1">
      <alignment horizontal="center" vertical="center" wrapText="1"/>
    </xf>
    <xf numFmtId="0" fontId="0" fillId="0" borderId="0" xfId="0" applyFill="1" applyAlignment="1">
      <alignment horizontal="center" vertical="center" wrapText="1"/>
    </xf>
    <xf numFmtId="4" fontId="3" fillId="0" borderId="0" xfId="0" applyNumberFormat="1" applyFont="1" applyBorder="1" applyAlignment="1">
      <alignment horizontal="center" vertical="center" wrapText="1"/>
    </xf>
    <xf numFmtId="0" fontId="6" fillId="0" borderId="1" xfId="0" applyFont="1" applyFill="1" applyBorder="1" applyAlignment="1">
      <alignment horizontal="center" vertical="center" wrapText="1"/>
    </xf>
    <xf numFmtId="0" fontId="6" fillId="0" borderId="2" xfId="0" applyFont="1" applyFill="1" applyBorder="1" applyAlignment="1">
      <alignment horizontal="center" vertical="center" wrapText="1"/>
    </xf>
    <xf numFmtId="0" fontId="6" fillId="0" borderId="4" xfId="0" applyFont="1" applyFill="1" applyBorder="1" applyAlignment="1">
      <alignment horizontal="center" vertical="center" wrapText="1"/>
    </xf>
    <xf numFmtId="0" fontId="6" fillId="0" borderId="3" xfId="0" applyFont="1" applyFill="1" applyBorder="1" applyAlignment="1">
      <alignment horizontal="center" vertical="center" wrapText="1"/>
    </xf>
    <xf numFmtId="0" fontId="6" fillId="0" borderId="1" xfId="0" applyFont="1" applyBorder="1" applyAlignment="1">
      <alignment horizontal="center" vertical="center" wrapText="1"/>
    </xf>
    <xf numFmtId="0" fontId="5" fillId="0" borderId="1" xfId="0" applyFont="1" applyBorder="1" applyAlignment="1">
      <alignment horizontal="left" vertical="center" wrapText="1"/>
    </xf>
    <xf numFmtId="14" fontId="6" fillId="0" borderId="1" xfId="0" applyNumberFormat="1" applyFont="1" applyBorder="1" applyAlignment="1">
      <alignment horizontal="center" vertical="center" wrapText="1"/>
    </xf>
    <xf numFmtId="14" fontId="5" fillId="0" borderId="1" xfId="0" applyNumberFormat="1" applyFont="1" applyBorder="1" applyAlignment="1">
      <alignment horizontal="center" vertical="center" wrapText="1"/>
    </xf>
    <xf numFmtId="0" fontId="12" fillId="0" borderId="0" xfId="0" applyFont="1" applyFill="1" applyBorder="1" applyAlignment="1">
      <alignment horizontal="left" vertical="center" wrapText="1"/>
    </xf>
    <xf numFmtId="0" fontId="9" fillId="0" borderId="0" xfId="0" applyFont="1" applyAlignment="1">
      <alignment horizontal="center" vertical="center" wrapText="1"/>
    </xf>
    <xf numFmtId="0" fontId="6" fillId="2" borderId="1" xfId="0" applyFont="1" applyFill="1" applyBorder="1" applyAlignment="1">
      <alignment horizontal="center" vertical="center" wrapText="1"/>
    </xf>
    <xf numFmtId="49" fontId="5" fillId="0" borderId="1" xfId="0" applyNumberFormat="1" applyFont="1" applyFill="1" applyBorder="1" applyAlignment="1">
      <alignment horizontal="left" vertical="center" wrapText="1"/>
    </xf>
    <xf numFmtId="0" fontId="5" fillId="2" borderId="0" xfId="0" applyFont="1" applyFill="1" applyAlignment="1">
      <alignment horizontal="center" vertical="center" wrapText="1"/>
    </xf>
    <xf numFmtId="0" fontId="9" fillId="0" borderId="0" xfId="0" applyFont="1" applyBorder="1" applyAlignment="1">
      <alignment horizontal="center" vertical="center" wrapText="1"/>
    </xf>
    <xf numFmtId="0" fontId="5" fillId="0" borderId="0" xfId="0" applyFont="1" applyFill="1" applyAlignment="1">
      <alignment horizontal="center" vertical="center" wrapText="1"/>
    </xf>
    <xf numFmtId="14" fontId="0" fillId="0" borderId="0" xfId="0" applyNumberFormat="1" applyBorder="1" applyAlignment="1">
      <alignment horizontal="center" vertical="center" wrapText="1"/>
    </xf>
    <xf numFmtId="4" fontId="6" fillId="0" borderId="0" xfId="0" applyNumberFormat="1" applyFont="1" applyBorder="1" applyAlignment="1">
      <alignment horizontal="center" vertical="center" wrapText="1"/>
    </xf>
    <xf numFmtId="0" fontId="10" fillId="2" borderId="0" xfId="0" applyFont="1" applyFill="1" applyBorder="1" applyAlignment="1">
      <alignment horizontal="center" vertical="center" wrapText="1"/>
    </xf>
    <xf numFmtId="0" fontId="11" fillId="0" borderId="0" xfId="0" applyFont="1" applyFill="1" applyAlignment="1">
      <alignment horizontal="center" vertical="center" wrapText="1"/>
    </xf>
    <xf numFmtId="0" fontId="2" fillId="0" borderId="0" xfId="0" applyFont="1" applyAlignment="1">
      <alignment horizontal="center" vertical="center" wrapText="1"/>
    </xf>
    <xf numFmtId="49" fontId="3" fillId="0" borderId="0" xfId="0" applyNumberFormat="1" applyFont="1" applyBorder="1" applyAlignment="1">
      <alignment horizontal="center" vertical="center" wrapText="1"/>
    </xf>
    <xf numFmtId="0" fontId="3" fillId="0" borderId="0" xfId="0" applyFont="1" applyFill="1" applyBorder="1" applyAlignment="1">
      <alignment horizontal="center" vertical="center" wrapText="1"/>
    </xf>
    <xf numFmtId="0" fontId="0" fillId="0" borderId="0" xfId="0" applyNumberFormat="1" applyBorder="1" applyAlignment="1">
      <alignment horizontal="center" vertical="center" wrapText="1"/>
    </xf>
    <xf numFmtId="0" fontId="0" fillId="0" borderId="0" xfId="0" applyNumberFormat="1" applyBorder="1" applyAlignment="1">
      <alignment horizontal="left" vertical="center" wrapText="1"/>
    </xf>
    <xf numFmtId="0" fontId="0" fillId="0" borderId="0" xfId="0" applyNumberFormat="1" applyFill="1" applyBorder="1" applyAlignment="1">
      <alignment horizontal="center" vertical="center" wrapText="1"/>
    </xf>
    <xf numFmtId="0" fontId="5" fillId="0" borderId="3" xfId="0" applyFont="1" applyBorder="1" applyAlignment="1">
      <alignment horizontal="center" vertical="center" wrapText="1"/>
    </xf>
    <xf numFmtId="49" fontId="6" fillId="0" borderId="0" xfId="0" applyNumberFormat="1" applyFont="1" applyBorder="1" applyAlignment="1">
      <alignment horizontal="center" vertical="center" wrapText="1"/>
    </xf>
    <xf numFmtId="0" fontId="6" fillId="0" borderId="0" xfId="0" applyFont="1" applyFill="1" applyBorder="1" applyAlignment="1">
      <alignment horizontal="center" vertical="center" wrapText="1"/>
    </xf>
    <xf numFmtId="0" fontId="4" fillId="0" borderId="0" xfId="0" applyNumberFormat="1" applyFont="1" applyBorder="1" applyAlignment="1">
      <alignment horizontal="left" vertical="center" wrapText="1"/>
    </xf>
    <xf numFmtId="0" fontId="4" fillId="0" borderId="0" xfId="0" applyNumberFormat="1" applyFont="1" applyFill="1" applyBorder="1" applyAlignment="1">
      <alignment horizontal="center" vertical="center" wrapText="1"/>
    </xf>
    <xf numFmtId="0" fontId="2" fillId="0" borderId="1" xfId="0" applyNumberFormat="1" applyFont="1" applyFill="1" applyBorder="1" applyAlignment="1">
      <alignment horizontal="center" vertical="center" wrapText="1"/>
    </xf>
    <xf numFmtId="0" fontId="5" fillId="0" borderId="1" xfId="0" applyNumberFormat="1" applyFont="1" applyFill="1" applyBorder="1" applyAlignment="1">
      <alignment horizontal="left" vertical="center" wrapText="1"/>
    </xf>
    <xf numFmtId="176" fontId="6" fillId="0" borderId="1" xfId="0" applyNumberFormat="1" applyFont="1" applyFill="1" applyBorder="1" applyAlignment="1">
      <alignment horizontal="center" vertical="center" wrapText="1"/>
    </xf>
    <xf numFmtId="0" fontId="5" fillId="0" borderId="1" xfId="0" applyNumberFormat="1" applyFont="1" applyBorder="1" applyAlignment="1">
      <alignment horizontal="left" vertical="center" wrapText="1"/>
    </xf>
    <xf numFmtId="176" fontId="6" fillId="0" borderId="1" xfId="0" applyNumberFormat="1" applyFont="1" applyBorder="1" applyAlignment="1">
      <alignment horizontal="center" vertical="center" wrapText="1"/>
    </xf>
    <xf numFmtId="0" fontId="5" fillId="0" borderId="0" xfId="0" applyNumberFormat="1" applyFont="1" applyBorder="1" applyAlignment="1">
      <alignment horizontal="left" vertical="center" wrapText="1"/>
    </xf>
    <xf numFmtId="0" fontId="5" fillId="0" borderId="0" xfId="0" applyNumberFormat="1" applyFont="1" applyFill="1" applyBorder="1" applyAlignment="1">
      <alignment horizontal="center" vertical="center" wrapText="1"/>
    </xf>
    <xf numFmtId="0" fontId="6" fillId="0" borderId="0" xfId="0" applyNumberFormat="1" applyFont="1" applyFill="1" applyBorder="1" applyAlignment="1">
      <alignment horizontal="center" vertical="center" wrapText="1"/>
    </xf>
    <xf numFmtId="4" fontId="6" fillId="2" borderId="0" xfId="0" applyNumberFormat="1" applyFont="1" applyFill="1" applyBorder="1" applyAlignment="1">
      <alignment horizontal="center" vertical="center" wrapText="1"/>
    </xf>
    <xf numFmtId="177" fontId="5" fillId="0" borderId="1" xfId="0" applyNumberFormat="1" applyFont="1" applyBorder="1" applyAlignment="1">
      <alignment horizontal="center" vertical="center" wrapText="1"/>
    </xf>
    <xf numFmtId="4" fontId="5" fillId="2" borderId="0" xfId="0" applyNumberFormat="1" applyFont="1" applyFill="1" applyBorder="1" applyAlignment="1">
      <alignment horizontal="center" vertical="center" wrapText="1"/>
    </xf>
    <xf numFmtId="0" fontId="5" fillId="0" borderId="1" xfId="0" applyFont="1" applyFill="1" applyBorder="1" applyAlignment="1" quotePrefix="1">
      <alignment horizontal="center" vertical="center" wrapText="1"/>
    </xf>
    <xf numFmtId="0" fontId="5" fillId="0" borderId="1" xfId="0" applyFont="1" applyBorder="1" applyAlignment="1" quotePrefix="1">
      <alignment horizontal="center" vertical="center" wrapText="1"/>
    </xf>
    <xf numFmtId="49" fontId="5" fillId="0" borderId="1" xfId="0" applyNumberFormat="1" applyFont="1" applyBorder="1" applyAlignment="1" quotePrefix="1">
      <alignment horizontal="center" vertical="center" wrapText="1"/>
    </xf>
    <xf numFmtId="0" fontId="5" fillId="2" borderId="1" xfId="0" applyFont="1" applyFill="1" applyBorder="1" applyAlignment="1" quotePrefix="1">
      <alignment horizontal="center" vertical="center" wrapText="1"/>
    </xf>
    <xf numFmtId="0" fontId="5" fillId="0" borderId="1" xfId="0" applyNumberFormat="1" applyFont="1" applyBorder="1" applyAlignment="1" quotePrefix="1">
      <alignment horizontal="center" vertical="center" wrapText="1"/>
    </xf>
    <xf numFmtId="0" fontId="11" fillId="0" borderId="1" xfId="0" applyFont="1" applyFill="1" applyBorder="1" applyAlignment="1" quotePrefix="1">
      <alignment horizontal="center" vertical="center" wrapText="1"/>
    </xf>
    <xf numFmtId="14" fontId="5" fillId="0" borderId="1" xfId="0" applyNumberFormat="1" applyFont="1" applyBorder="1" applyAlignment="1" quotePrefix="1">
      <alignment horizontal="center" vertical="center" wrapText="1"/>
    </xf>
    <xf numFmtId="0" fontId="0" fillId="0" borderId="0" xfId="0" applyBorder="1" applyAlignment="1" quotePrefix="1">
      <alignment horizontal="center" vertical="center" wrapText="1"/>
    </xf>
    <xf numFmtId="0" fontId="11" fillId="2" borderId="1" xfId="0" applyFont="1" applyFill="1" applyBorder="1" applyAlignment="1" quotePrefix="1">
      <alignment horizontal="center" vertical="center" wrapText="1"/>
    </xf>
    <xf numFmtId="0" fontId="0" fillId="2" borderId="0" xfId="0" applyFill="1" applyBorder="1" applyAlignment="1" quotePrefix="1">
      <alignment horizontal="center"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dxfs count="2">
    <dxf>
      <font>
        <color rgb="FF9C0006"/>
      </font>
      <fill>
        <patternFill patternType="solid">
          <bgColor rgb="FFFFC7CE"/>
        </patternFill>
      </fill>
    </dxf>
    <dxf>
      <fill>
        <patternFill patternType="solid">
          <fgColor rgb="FFFFFF00"/>
          <bgColor rgb="FFFFFF00"/>
        </patternFill>
      </fill>
    </dxf>
  </dxfs>
  <tableStyles count="0" defaultTableStyle="TableStyleMedium2" defaultPivotStyle="PivotStyleLight16"/>
  <colors>
    <mruColors>
      <color rgb="00FF0000"/>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haredStrings" Target="sharedStrings.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pageSetUpPr fitToPage="1"/>
  </sheetPr>
  <dimension ref="A1:AB33"/>
  <sheetViews>
    <sheetView zoomScale="80" zoomScaleNormal="80" topLeftCell="J1" workbookViewId="0">
      <pane ySplit="2" topLeftCell="A25" activePane="bottomLeft" state="frozen"/>
      <selection/>
      <selection pane="bottomLeft" activeCell="Q17" sqref="Q17"/>
    </sheetView>
  </sheetViews>
  <sheetFormatPr defaultColWidth="8.66666666666667" defaultRowHeight="14.25"/>
  <cols>
    <col min="1" max="1" width="6.91666666666667" style="5" customWidth="1"/>
    <col min="2" max="2" width="6.90833333333333" style="107" customWidth="1"/>
    <col min="3" max="3" width="15.25" style="7" customWidth="1"/>
    <col min="4" max="4" width="15.2583333333333" style="108" customWidth="1"/>
    <col min="5" max="6" width="9.99166666666667" style="5" customWidth="1"/>
    <col min="7" max="7" width="20.5833333333333" style="5" customWidth="1"/>
    <col min="8" max="8" width="10.5833333333333" style="5" customWidth="1"/>
    <col min="9" max="9" width="9.99166666666667" style="6" customWidth="1"/>
    <col min="10" max="11" width="10.5833333333333" style="109" customWidth="1"/>
    <col min="12" max="13" width="30.625" style="110" customWidth="1"/>
    <col min="14" max="14" width="9.99166666666667" style="111" customWidth="1"/>
    <col min="15" max="15" width="13.6666666666667" style="9" customWidth="1"/>
    <col min="16" max="16" width="13.6666666666667" style="86" customWidth="1"/>
    <col min="17" max="17" width="13.6666666666667" style="10" customWidth="1"/>
    <col min="18" max="18" width="13.6666666666667" style="12" customWidth="1"/>
    <col min="19" max="20" width="13.6666666666667" style="9" customWidth="1"/>
    <col min="21" max="21" width="12.625" style="5" customWidth="1"/>
    <col min="22" max="22" width="13.6666666666667" style="13" customWidth="1"/>
    <col min="23" max="26" width="13.6666666666667" style="5" customWidth="1"/>
    <col min="27" max="27" width="13.6666666666667" style="9" customWidth="1"/>
    <col min="28" max="28" width="9" style="5"/>
    <col min="29" max="16384" width="8.66666666666667" style="5"/>
  </cols>
  <sheetData>
    <row r="1" s="1" customFormat="1" ht="40" customHeight="1" spans="1:22">
      <c r="A1" s="14" t="s">
        <v>0</v>
      </c>
      <c r="B1" s="15"/>
      <c r="C1" s="14"/>
      <c r="D1" s="36"/>
      <c r="E1" s="14"/>
      <c r="F1" s="14"/>
      <c r="G1" s="14"/>
      <c r="H1" s="14"/>
      <c r="I1" s="15"/>
      <c r="J1" s="38"/>
      <c r="K1" s="38"/>
      <c r="L1" s="115"/>
      <c r="M1" s="115"/>
      <c r="N1" s="116"/>
      <c r="O1" s="14"/>
      <c r="P1" s="14"/>
      <c r="Q1" s="14"/>
      <c r="R1" s="14"/>
      <c r="S1" s="14"/>
      <c r="T1" s="14"/>
      <c r="V1" s="66"/>
    </row>
    <row r="2" s="2" customFormat="1" ht="39.65" customHeight="1" spans="1:27">
      <c r="A2" s="16" t="s">
        <v>1</v>
      </c>
      <c r="B2" s="17" t="s">
        <v>2</v>
      </c>
      <c r="C2" s="16" t="s">
        <v>3</v>
      </c>
      <c r="D2" s="39" t="s">
        <v>4</v>
      </c>
      <c r="E2" s="16" t="s">
        <v>5</v>
      </c>
      <c r="F2" s="16" t="s">
        <v>6</v>
      </c>
      <c r="G2" s="16" t="s">
        <v>7</v>
      </c>
      <c r="H2" s="16" t="s">
        <v>8</v>
      </c>
      <c r="I2" s="17" t="s">
        <v>9</v>
      </c>
      <c r="J2" s="41" t="s">
        <v>10</v>
      </c>
      <c r="K2" s="41" t="s">
        <v>11</v>
      </c>
      <c r="L2" s="41" t="s">
        <v>12</v>
      </c>
      <c r="M2" s="117" t="s">
        <v>13</v>
      </c>
      <c r="N2" s="117" t="s">
        <v>14</v>
      </c>
      <c r="O2" s="40" t="s">
        <v>15</v>
      </c>
      <c r="P2" s="40" t="s">
        <v>16</v>
      </c>
      <c r="Q2" s="40" t="s">
        <v>17</v>
      </c>
      <c r="R2" s="42" t="s">
        <v>18</v>
      </c>
      <c r="S2" s="40" t="s">
        <v>19</v>
      </c>
      <c r="T2" s="40" t="s">
        <v>20</v>
      </c>
      <c r="U2" s="16" t="s">
        <v>21</v>
      </c>
      <c r="V2" s="67" t="s">
        <v>22</v>
      </c>
      <c r="W2" s="16" t="s">
        <v>23</v>
      </c>
      <c r="X2" s="16" t="s">
        <v>24</v>
      </c>
      <c r="Y2" s="16" t="s">
        <v>25</v>
      </c>
      <c r="Z2" s="16" t="s">
        <v>26</v>
      </c>
      <c r="AA2" s="40" t="s">
        <v>27</v>
      </c>
    </row>
    <row r="3" s="106" customFormat="1" ht="85.5" spans="1:28">
      <c r="A3" s="18">
        <v>1</v>
      </c>
      <c r="B3" s="19" t="s">
        <v>28</v>
      </c>
      <c r="C3" s="21" t="s">
        <v>29</v>
      </c>
      <c r="D3" s="21" t="s">
        <v>30</v>
      </c>
      <c r="E3" s="21" t="s">
        <v>31</v>
      </c>
      <c r="F3" s="22" t="s">
        <v>32</v>
      </c>
      <c r="G3" s="22" t="s">
        <v>33</v>
      </c>
      <c r="H3" s="22" t="s">
        <v>34</v>
      </c>
      <c r="I3" s="21">
        <v>13950235268</v>
      </c>
      <c r="J3" s="53" t="s">
        <v>35</v>
      </c>
      <c r="K3" s="53" t="s">
        <v>36</v>
      </c>
      <c r="L3" s="118" t="s">
        <v>37</v>
      </c>
      <c r="M3" s="118" t="s">
        <v>38</v>
      </c>
      <c r="N3" s="53" t="s">
        <v>39</v>
      </c>
      <c r="O3" s="119">
        <v>44119</v>
      </c>
      <c r="P3" s="44" t="s">
        <v>40</v>
      </c>
      <c r="Q3" s="94" t="s">
        <v>40</v>
      </c>
      <c r="R3" s="126" t="s">
        <v>40</v>
      </c>
      <c r="S3" s="44" t="s">
        <v>40</v>
      </c>
      <c r="T3" s="94">
        <v>44120</v>
      </c>
      <c r="U3" s="22" t="s">
        <v>41</v>
      </c>
      <c r="V3" s="69">
        <v>44124</v>
      </c>
      <c r="W3" s="69">
        <v>44124</v>
      </c>
      <c r="X3" s="69" t="s">
        <v>42</v>
      </c>
      <c r="Y3" s="18" t="s">
        <v>40</v>
      </c>
      <c r="Z3" s="69">
        <v>44124</v>
      </c>
      <c r="AA3" s="44"/>
      <c r="AB3" s="5"/>
    </row>
    <row r="4" s="106" customFormat="1" ht="114" spans="1:28">
      <c r="A4" s="18">
        <v>2</v>
      </c>
      <c r="B4" s="19" t="s">
        <v>43</v>
      </c>
      <c r="C4" s="21" t="s">
        <v>44</v>
      </c>
      <c r="D4" s="21" t="s">
        <v>45</v>
      </c>
      <c r="E4" s="21" t="s">
        <v>46</v>
      </c>
      <c r="F4" s="128" t="s">
        <v>47</v>
      </c>
      <c r="G4" s="22" t="s">
        <v>48</v>
      </c>
      <c r="H4" s="22" t="s">
        <v>49</v>
      </c>
      <c r="I4" s="21">
        <v>18277195178</v>
      </c>
      <c r="J4" s="53" t="s">
        <v>35</v>
      </c>
      <c r="K4" s="53" t="s">
        <v>50</v>
      </c>
      <c r="L4" s="118" t="s">
        <v>51</v>
      </c>
      <c r="M4" s="118" t="s">
        <v>38</v>
      </c>
      <c r="N4" s="53" t="s">
        <v>52</v>
      </c>
      <c r="O4" s="119">
        <v>44119</v>
      </c>
      <c r="P4" s="44" t="s">
        <v>40</v>
      </c>
      <c r="Q4" s="94" t="s">
        <v>40</v>
      </c>
      <c r="R4" s="126" t="s">
        <v>40</v>
      </c>
      <c r="S4" s="44" t="s">
        <v>40</v>
      </c>
      <c r="T4" s="94">
        <v>44120</v>
      </c>
      <c r="U4" s="22" t="s">
        <v>53</v>
      </c>
      <c r="V4" s="69">
        <v>44124</v>
      </c>
      <c r="W4" s="69">
        <v>44124</v>
      </c>
      <c r="X4" s="69" t="s">
        <v>42</v>
      </c>
      <c r="Y4" s="18" t="s">
        <v>40</v>
      </c>
      <c r="Z4" s="69">
        <v>44124</v>
      </c>
      <c r="AA4" s="44"/>
      <c r="AB4" s="5"/>
    </row>
    <row r="5" s="106" customFormat="1" ht="128.25" spans="1:28">
      <c r="A5" s="18">
        <v>3</v>
      </c>
      <c r="B5" s="19">
        <v>20201000016</v>
      </c>
      <c r="C5" s="18" t="s">
        <v>54</v>
      </c>
      <c r="D5" s="22" t="s">
        <v>55</v>
      </c>
      <c r="E5" s="18" t="s">
        <v>56</v>
      </c>
      <c r="F5" s="18" t="s">
        <v>57</v>
      </c>
      <c r="G5" s="18" t="s">
        <v>58</v>
      </c>
      <c r="H5" s="18" t="s">
        <v>59</v>
      </c>
      <c r="I5" s="19">
        <v>18152657658</v>
      </c>
      <c r="J5" s="46" t="s">
        <v>35</v>
      </c>
      <c r="K5" s="46" t="s">
        <v>60</v>
      </c>
      <c r="L5" s="120" t="s">
        <v>61</v>
      </c>
      <c r="M5" s="118" t="s">
        <v>38</v>
      </c>
      <c r="N5" s="53" t="s">
        <v>62</v>
      </c>
      <c r="O5" s="119">
        <v>44125</v>
      </c>
      <c r="P5" s="44" t="s">
        <v>40</v>
      </c>
      <c r="Q5" s="94" t="s">
        <v>40</v>
      </c>
      <c r="R5" s="126" t="s">
        <v>40</v>
      </c>
      <c r="S5" s="44" t="s">
        <v>40</v>
      </c>
      <c r="T5" s="94">
        <v>44125</v>
      </c>
      <c r="U5" s="22" t="s">
        <v>53</v>
      </c>
      <c r="V5" s="69">
        <v>44134</v>
      </c>
      <c r="W5" s="69">
        <v>44134</v>
      </c>
      <c r="X5" s="69" t="s">
        <v>42</v>
      </c>
      <c r="Y5" s="18" t="s">
        <v>40</v>
      </c>
      <c r="Z5" s="69">
        <v>44132</v>
      </c>
      <c r="AA5" s="44"/>
      <c r="AB5" s="5"/>
    </row>
    <row r="6" s="106" customFormat="1" ht="85.5" spans="1:28">
      <c r="A6" s="18">
        <v>4</v>
      </c>
      <c r="B6" s="19">
        <v>20201000017</v>
      </c>
      <c r="C6" s="18" t="s">
        <v>63</v>
      </c>
      <c r="D6" s="22" t="s">
        <v>64</v>
      </c>
      <c r="E6" s="21" t="s">
        <v>65</v>
      </c>
      <c r="F6" s="18" t="s">
        <v>66</v>
      </c>
      <c r="G6" s="18" t="s">
        <v>67</v>
      </c>
      <c r="H6" s="18" t="s">
        <v>68</v>
      </c>
      <c r="I6" s="19">
        <v>15173201116</v>
      </c>
      <c r="J6" s="46" t="s">
        <v>35</v>
      </c>
      <c r="K6" s="46" t="s">
        <v>69</v>
      </c>
      <c r="L6" s="120" t="s">
        <v>70</v>
      </c>
      <c r="M6" s="118" t="s">
        <v>38</v>
      </c>
      <c r="N6" s="53" t="s">
        <v>71</v>
      </c>
      <c r="O6" s="121">
        <v>44126</v>
      </c>
      <c r="P6" s="44" t="s">
        <v>40</v>
      </c>
      <c r="Q6" s="94" t="s">
        <v>40</v>
      </c>
      <c r="R6" s="126" t="s">
        <v>40</v>
      </c>
      <c r="S6" s="44" t="s">
        <v>40</v>
      </c>
      <c r="T6" s="94">
        <v>44126</v>
      </c>
      <c r="U6" s="22" t="s">
        <v>53</v>
      </c>
      <c r="V6" s="69">
        <v>44134</v>
      </c>
      <c r="W6" s="69">
        <v>44134</v>
      </c>
      <c r="X6" s="69" t="s">
        <v>42</v>
      </c>
      <c r="Y6" s="18" t="s">
        <v>40</v>
      </c>
      <c r="Z6" s="69">
        <v>44132</v>
      </c>
      <c r="AA6" s="94"/>
      <c r="AB6" s="5"/>
    </row>
    <row r="7" s="106" customFormat="1" ht="85.5" spans="1:28">
      <c r="A7" s="18">
        <v>5</v>
      </c>
      <c r="B7" s="19">
        <v>20201000018</v>
      </c>
      <c r="C7" s="18" t="s">
        <v>72</v>
      </c>
      <c r="D7" s="22" t="s">
        <v>72</v>
      </c>
      <c r="E7" s="18" t="s">
        <v>73</v>
      </c>
      <c r="F7" s="18" t="s">
        <v>74</v>
      </c>
      <c r="G7" s="18" t="s">
        <v>75</v>
      </c>
      <c r="H7" s="18" t="s">
        <v>76</v>
      </c>
      <c r="I7" s="19">
        <v>13670165487</v>
      </c>
      <c r="J7" s="46" t="s">
        <v>35</v>
      </c>
      <c r="K7" s="46" t="s">
        <v>50</v>
      </c>
      <c r="L7" s="120" t="s">
        <v>51</v>
      </c>
      <c r="M7" s="118" t="s">
        <v>38</v>
      </c>
      <c r="N7" s="53" t="s">
        <v>77</v>
      </c>
      <c r="O7" s="93">
        <v>44126</v>
      </c>
      <c r="P7" s="44" t="s">
        <v>40</v>
      </c>
      <c r="Q7" s="94" t="s">
        <v>40</v>
      </c>
      <c r="R7" s="126" t="s">
        <v>40</v>
      </c>
      <c r="S7" s="44" t="s">
        <v>40</v>
      </c>
      <c r="T7" s="94">
        <v>44126</v>
      </c>
      <c r="U7" s="18" t="s">
        <v>78</v>
      </c>
      <c r="V7" s="69">
        <v>44132</v>
      </c>
      <c r="W7" s="69">
        <v>44134</v>
      </c>
      <c r="X7" s="69" t="s">
        <v>42</v>
      </c>
      <c r="Y7" s="18" t="s">
        <v>40</v>
      </c>
      <c r="Z7" s="69">
        <v>44132</v>
      </c>
      <c r="AA7" s="94"/>
      <c r="AB7" s="5"/>
    </row>
    <row r="8" s="106" customFormat="1" ht="99.75" spans="1:28">
      <c r="A8" s="18">
        <v>6</v>
      </c>
      <c r="B8" s="19">
        <v>20201000019</v>
      </c>
      <c r="C8" s="18" t="s">
        <v>79</v>
      </c>
      <c r="D8" s="22" t="s">
        <v>79</v>
      </c>
      <c r="E8" s="18" t="s">
        <v>80</v>
      </c>
      <c r="F8" s="129" t="s">
        <v>81</v>
      </c>
      <c r="G8" s="18" t="s">
        <v>82</v>
      </c>
      <c r="H8" s="18" t="s">
        <v>83</v>
      </c>
      <c r="I8" s="19">
        <v>15072618173</v>
      </c>
      <c r="J8" s="46" t="s">
        <v>35</v>
      </c>
      <c r="K8" s="46" t="s">
        <v>50</v>
      </c>
      <c r="L8" s="120" t="s">
        <v>84</v>
      </c>
      <c r="M8" s="118" t="s">
        <v>38</v>
      </c>
      <c r="N8" s="53" t="s">
        <v>85</v>
      </c>
      <c r="O8" s="93">
        <v>44126</v>
      </c>
      <c r="P8" s="44" t="s">
        <v>40</v>
      </c>
      <c r="Q8" s="94" t="s">
        <v>40</v>
      </c>
      <c r="R8" s="126" t="s">
        <v>40</v>
      </c>
      <c r="S8" s="44" t="s">
        <v>40</v>
      </c>
      <c r="T8" s="94">
        <v>44127</v>
      </c>
      <c r="U8" s="18" t="s">
        <v>78</v>
      </c>
      <c r="V8" s="69">
        <v>44132</v>
      </c>
      <c r="W8" s="69">
        <v>44134</v>
      </c>
      <c r="X8" s="69" t="s">
        <v>42</v>
      </c>
      <c r="Y8" s="18" t="s">
        <v>40</v>
      </c>
      <c r="Z8" s="69">
        <v>44132</v>
      </c>
      <c r="AA8" s="94"/>
      <c r="AB8" s="5"/>
    </row>
    <row r="9" s="106" customFormat="1" ht="99.75" spans="1:28">
      <c r="A9" s="18">
        <v>7</v>
      </c>
      <c r="B9" s="19">
        <v>20201000020</v>
      </c>
      <c r="C9" s="18" t="s">
        <v>86</v>
      </c>
      <c r="D9" s="22" t="s">
        <v>87</v>
      </c>
      <c r="E9" s="21" t="s">
        <v>88</v>
      </c>
      <c r="F9" s="112" t="s">
        <v>89</v>
      </c>
      <c r="G9" s="18" t="s">
        <v>90</v>
      </c>
      <c r="H9" s="18" t="s">
        <v>91</v>
      </c>
      <c r="I9" s="19">
        <v>18675566487</v>
      </c>
      <c r="J9" s="46" t="s">
        <v>35</v>
      </c>
      <c r="K9" s="46" t="s">
        <v>50</v>
      </c>
      <c r="L9" s="120" t="s">
        <v>92</v>
      </c>
      <c r="M9" s="118" t="s">
        <v>38</v>
      </c>
      <c r="N9" s="53" t="s">
        <v>93</v>
      </c>
      <c r="O9" s="121">
        <v>44126</v>
      </c>
      <c r="P9" s="44" t="s">
        <v>40</v>
      </c>
      <c r="Q9" s="94" t="s">
        <v>40</v>
      </c>
      <c r="R9" s="126" t="s">
        <v>40</v>
      </c>
      <c r="S9" s="44" t="s">
        <v>40</v>
      </c>
      <c r="T9" s="94">
        <v>44126</v>
      </c>
      <c r="U9" s="22" t="s">
        <v>41</v>
      </c>
      <c r="V9" s="69">
        <v>44134</v>
      </c>
      <c r="W9" s="69">
        <v>44134</v>
      </c>
      <c r="X9" s="69" t="s">
        <v>42</v>
      </c>
      <c r="Y9" s="18" t="s">
        <v>40</v>
      </c>
      <c r="Z9" s="69">
        <v>44132</v>
      </c>
      <c r="AA9" s="94"/>
      <c r="AB9" s="5"/>
    </row>
    <row r="10" s="106" customFormat="1" ht="85" customHeight="1" spans="1:28">
      <c r="A10" s="18">
        <v>8</v>
      </c>
      <c r="B10" s="19">
        <v>20201000021</v>
      </c>
      <c r="C10" s="18" t="s">
        <v>94</v>
      </c>
      <c r="D10" s="22" t="s">
        <v>95</v>
      </c>
      <c r="E10" s="18" t="s">
        <v>96</v>
      </c>
      <c r="F10" s="18" t="s">
        <v>97</v>
      </c>
      <c r="G10" s="18" t="s">
        <v>98</v>
      </c>
      <c r="H10" s="18" t="s">
        <v>99</v>
      </c>
      <c r="I10" s="19">
        <v>13342994277</v>
      </c>
      <c r="J10" s="46" t="s">
        <v>35</v>
      </c>
      <c r="K10" s="46" t="s">
        <v>50</v>
      </c>
      <c r="L10" s="120" t="s">
        <v>100</v>
      </c>
      <c r="M10" s="118" t="s">
        <v>38</v>
      </c>
      <c r="N10" s="53" t="s">
        <v>101</v>
      </c>
      <c r="O10" s="121">
        <v>44126</v>
      </c>
      <c r="P10" s="44" t="s">
        <v>40</v>
      </c>
      <c r="Q10" s="94" t="s">
        <v>40</v>
      </c>
      <c r="R10" s="126" t="s">
        <v>40</v>
      </c>
      <c r="S10" s="44" t="s">
        <v>40</v>
      </c>
      <c r="T10" s="94">
        <v>44126</v>
      </c>
      <c r="U10" s="22" t="s">
        <v>41</v>
      </c>
      <c r="V10" s="69">
        <v>44134</v>
      </c>
      <c r="W10" s="69">
        <v>44134</v>
      </c>
      <c r="X10" s="69" t="s">
        <v>42</v>
      </c>
      <c r="Y10" s="18" t="s">
        <v>40</v>
      </c>
      <c r="Z10" s="69">
        <v>44132</v>
      </c>
      <c r="AA10" s="44"/>
      <c r="AB10" s="5"/>
    </row>
    <row r="11" ht="85" customHeight="1" spans="1:28">
      <c r="A11" s="18">
        <v>1</v>
      </c>
      <c r="B11" s="19">
        <v>20211000010</v>
      </c>
      <c r="C11" s="21" t="s">
        <v>102</v>
      </c>
      <c r="D11" s="21" t="s">
        <v>103</v>
      </c>
      <c r="E11" s="21" t="s">
        <v>104</v>
      </c>
      <c r="F11" s="22" t="s">
        <v>105</v>
      </c>
      <c r="G11" s="22" t="s">
        <v>106</v>
      </c>
      <c r="H11" s="22" t="s">
        <v>107</v>
      </c>
      <c r="I11" s="21">
        <v>13312915836</v>
      </c>
      <c r="J11" s="53" t="s">
        <v>35</v>
      </c>
      <c r="K11" s="46" t="s">
        <v>60</v>
      </c>
      <c r="L11" s="118" t="s">
        <v>108</v>
      </c>
      <c r="M11" s="118" t="s">
        <v>38</v>
      </c>
      <c r="N11" s="53" t="s">
        <v>109</v>
      </c>
      <c r="O11" s="45">
        <v>44305</v>
      </c>
      <c r="P11" s="44" t="s">
        <v>40</v>
      </c>
      <c r="Q11" s="94" t="s">
        <v>40</v>
      </c>
      <c r="R11" s="126" t="s">
        <v>40</v>
      </c>
      <c r="S11" s="44" t="s">
        <v>40</v>
      </c>
      <c r="T11" s="94" t="s">
        <v>40</v>
      </c>
      <c r="U11" s="22" t="s">
        <v>53</v>
      </c>
      <c r="V11" s="69">
        <v>44308</v>
      </c>
      <c r="W11" s="69">
        <v>44312</v>
      </c>
      <c r="X11" s="69" t="s">
        <v>42</v>
      </c>
      <c r="Y11" s="69">
        <v>44316</v>
      </c>
      <c r="Z11" s="69">
        <v>44322</v>
      </c>
      <c r="AA11" s="44"/>
      <c r="AB11" s="84" t="s">
        <v>110</v>
      </c>
    </row>
    <row r="12" ht="85" customHeight="1" spans="1:28">
      <c r="A12" s="18">
        <v>2</v>
      </c>
      <c r="B12" s="19">
        <v>20211000013</v>
      </c>
      <c r="C12" s="21" t="s">
        <v>111</v>
      </c>
      <c r="D12" s="21" t="s">
        <v>112</v>
      </c>
      <c r="E12" s="21" t="s">
        <v>113</v>
      </c>
      <c r="F12" s="22" t="s">
        <v>114</v>
      </c>
      <c r="G12" s="22" t="s">
        <v>115</v>
      </c>
      <c r="H12" s="22" t="s">
        <v>116</v>
      </c>
      <c r="I12" s="21">
        <v>13590432422</v>
      </c>
      <c r="J12" s="53" t="s">
        <v>35</v>
      </c>
      <c r="K12" s="53" t="s">
        <v>117</v>
      </c>
      <c r="L12" s="118" t="s">
        <v>84</v>
      </c>
      <c r="M12" s="118" t="s">
        <v>38</v>
      </c>
      <c r="N12" s="53" t="s">
        <v>118</v>
      </c>
      <c r="O12" s="45">
        <v>44305</v>
      </c>
      <c r="P12" s="44" t="s">
        <v>40</v>
      </c>
      <c r="Q12" s="94" t="s">
        <v>40</v>
      </c>
      <c r="R12" s="126" t="s">
        <v>40</v>
      </c>
      <c r="S12" s="44" t="s">
        <v>40</v>
      </c>
      <c r="T12" s="94" t="s">
        <v>40</v>
      </c>
      <c r="U12" s="18" t="s">
        <v>119</v>
      </c>
      <c r="V12" s="69">
        <v>44308</v>
      </c>
      <c r="W12" s="69">
        <v>44312</v>
      </c>
      <c r="X12" s="69" t="s">
        <v>42</v>
      </c>
      <c r="Y12" s="69">
        <v>44316</v>
      </c>
      <c r="Z12" s="69">
        <v>44322</v>
      </c>
      <c r="AA12" s="44"/>
      <c r="AB12" s="84" t="s">
        <v>110</v>
      </c>
    </row>
    <row r="13" ht="85" customHeight="1" spans="1:28">
      <c r="A13" s="18">
        <v>3</v>
      </c>
      <c r="B13" s="19">
        <v>20211000016</v>
      </c>
      <c r="C13" s="18" t="s">
        <v>120</v>
      </c>
      <c r="D13" s="22" t="s">
        <v>121</v>
      </c>
      <c r="E13" s="18" t="s">
        <v>122</v>
      </c>
      <c r="F13" s="18" t="s">
        <v>123</v>
      </c>
      <c r="G13" s="18" t="s">
        <v>124</v>
      </c>
      <c r="H13" s="18" t="s">
        <v>125</v>
      </c>
      <c r="I13" s="19">
        <v>13482562706</v>
      </c>
      <c r="J13" s="53" t="s">
        <v>35</v>
      </c>
      <c r="K13" s="46" t="s">
        <v>60</v>
      </c>
      <c r="L13" s="120" t="s">
        <v>126</v>
      </c>
      <c r="M13" s="118" t="s">
        <v>38</v>
      </c>
      <c r="N13" s="53" t="s">
        <v>127</v>
      </c>
      <c r="O13" s="45">
        <v>44307</v>
      </c>
      <c r="P13" s="44" t="s">
        <v>40</v>
      </c>
      <c r="Q13" s="94" t="s">
        <v>40</v>
      </c>
      <c r="R13" s="126" t="s">
        <v>40</v>
      </c>
      <c r="S13" s="44" t="s">
        <v>40</v>
      </c>
      <c r="T13" s="94" t="s">
        <v>40</v>
      </c>
      <c r="U13" s="22" t="s">
        <v>41</v>
      </c>
      <c r="V13" s="69">
        <v>44309</v>
      </c>
      <c r="W13" s="69">
        <v>44312</v>
      </c>
      <c r="X13" s="69" t="s">
        <v>42</v>
      </c>
      <c r="Y13" s="69">
        <v>44316</v>
      </c>
      <c r="Z13" s="69">
        <v>44322</v>
      </c>
      <c r="AA13" s="44" t="s">
        <v>128</v>
      </c>
      <c r="AB13" s="84" t="s">
        <v>110</v>
      </c>
    </row>
    <row r="14" ht="85" customHeight="1" spans="1:28">
      <c r="A14" s="18">
        <v>1</v>
      </c>
      <c r="B14" s="19" t="s">
        <v>129</v>
      </c>
      <c r="C14" s="18" t="s">
        <v>130</v>
      </c>
      <c r="D14" s="22" t="s">
        <v>131</v>
      </c>
      <c r="E14" s="18" t="s">
        <v>132</v>
      </c>
      <c r="F14" s="129" t="s">
        <v>133</v>
      </c>
      <c r="G14" s="18" t="s">
        <v>134</v>
      </c>
      <c r="H14" s="18" t="s">
        <v>135</v>
      </c>
      <c r="I14" s="19">
        <v>13537672830</v>
      </c>
      <c r="J14" s="53" t="s">
        <v>35</v>
      </c>
      <c r="K14" s="46" t="s">
        <v>60</v>
      </c>
      <c r="L14" s="120" t="s">
        <v>136</v>
      </c>
      <c r="M14" s="118" t="s">
        <v>38</v>
      </c>
      <c r="N14" s="53" t="s">
        <v>137</v>
      </c>
      <c r="O14" s="93">
        <v>44844</v>
      </c>
      <c r="P14" s="44" t="s">
        <v>40</v>
      </c>
      <c r="Q14" s="94" t="s">
        <v>40</v>
      </c>
      <c r="R14" s="126" t="s">
        <v>40</v>
      </c>
      <c r="S14" s="44" t="s">
        <v>40</v>
      </c>
      <c r="T14" s="94" t="s">
        <v>40</v>
      </c>
      <c r="U14" s="18" t="s">
        <v>138</v>
      </c>
      <c r="V14" s="69">
        <v>44853</v>
      </c>
      <c r="W14" s="69">
        <v>44854</v>
      </c>
      <c r="X14" s="69" t="s">
        <v>42</v>
      </c>
      <c r="Y14" s="18" t="s">
        <v>40</v>
      </c>
      <c r="Z14" s="69">
        <v>44845</v>
      </c>
      <c r="AA14" s="94"/>
      <c r="AB14" s="84" t="s">
        <v>110</v>
      </c>
    </row>
    <row r="15" ht="85" customHeight="1" spans="1:28">
      <c r="A15" s="18">
        <v>2</v>
      </c>
      <c r="B15" s="19" t="s">
        <v>139</v>
      </c>
      <c r="C15" s="18" t="s">
        <v>140</v>
      </c>
      <c r="D15" s="22" t="s">
        <v>141</v>
      </c>
      <c r="E15" s="18" t="s">
        <v>142</v>
      </c>
      <c r="F15" s="129" t="s">
        <v>143</v>
      </c>
      <c r="G15" s="18" t="s">
        <v>144</v>
      </c>
      <c r="H15" s="18" t="s">
        <v>145</v>
      </c>
      <c r="I15" s="19" t="s">
        <v>146</v>
      </c>
      <c r="J15" s="53" t="s">
        <v>35</v>
      </c>
      <c r="K15" s="46" t="s">
        <v>50</v>
      </c>
      <c r="L15" s="120" t="s">
        <v>136</v>
      </c>
      <c r="M15" s="118" t="s">
        <v>38</v>
      </c>
      <c r="N15" s="53" t="s">
        <v>147</v>
      </c>
      <c r="O15" s="93">
        <v>44844</v>
      </c>
      <c r="P15" s="44" t="s">
        <v>40</v>
      </c>
      <c r="Q15" s="94" t="s">
        <v>40</v>
      </c>
      <c r="R15" s="126" t="s">
        <v>40</v>
      </c>
      <c r="S15" s="44" t="s">
        <v>40</v>
      </c>
      <c r="T15" s="94" t="s">
        <v>40</v>
      </c>
      <c r="U15" s="18" t="s">
        <v>148</v>
      </c>
      <c r="V15" s="69">
        <v>44853</v>
      </c>
      <c r="W15" s="69">
        <v>44854</v>
      </c>
      <c r="X15" s="69" t="s">
        <v>42</v>
      </c>
      <c r="Y15" s="18" t="s">
        <v>40</v>
      </c>
      <c r="Z15" s="69">
        <v>44845</v>
      </c>
      <c r="AA15" s="94" t="s">
        <v>149</v>
      </c>
      <c r="AB15" s="84" t="s">
        <v>110</v>
      </c>
    </row>
    <row r="16" ht="85" customHeight="1" spans="1:28">
      <c r="A16" s="18">
        <v>3</v>
      </c>
      <c r="B16" s="19" t="s">
        <v>150</v>
      </c>
      <c r="C16" s="18" t="s">
        <v>151</v>
      </c>
      <c r="D16" s="22" t="s">
        <v>152</v>
      </c>
      <c r="E16" s="18" t="s">
        <v>153</v>
      </c>
      <c r="F16" s="129" t="s">
        <v>154</v>
      </c>
      <c r="G16" s="18" t="s">
        <v>155</v>
      </c>
      <c r="H16" s="18" t="s">
        <v>156</v>
      </c>
      <c r="I16" s="19">
        <v>13713687895</v>
      </c>
      <c r="J16" s="53" t="s">
        <v>35</v>
      </c>
      <c r="K16" s="46" t="s">
        <v>157</v>
      </c>
      <c r="L16" s="120" t="s">
        <v>136</v>
      </c>
      <c r="M16" s="118" t="s">
        <v>38</v>
      </c>
      <c r="N16" s="53" t="s">
        <v>158</v>
      </c>
      <c r="O16" s="93">
        <v>44844</v>
      </c>
      <c r="P16" s="44" t="s">
        <v>40</v>
      </c>
      <c r="Q16" s="94" t="s">
        <v>40</v>
      </c>
      <c r="R16" s="126" t="s">
        <v>40</v>
      </c>
      <c r="S16" s="44" t="s">
        <v>40</v>
      </c>
      <c r="T16" s="94" t="s">
        <v>40</v>
      </c>
      <c r="U16" s="18" t="s">
        <v>53</v>
      </c>
      <c r="V16" s="69">
        <v>44853</v>
      </c>
      <c r="W16" s="69">
        <v>44854</v>
      </c>
      <c r="X16" s="69" t="s">
        <v>42</v>
      </c>
      <c r="Y16" s="18" t="s">
        <v>40</v>
      </c>
      <c r="Z16" s="69">
        <v>44845</v>
      </c>
      <c r="AA16" s="94"/>
      <c r="AB16" s="84" t="s">
        <v>110</v>
      </c>
    </row>
    <row r="17" ht="85" customHeight="1" spans="1:28">
      <c r="A17" s="18">
        <v>4</v>
      </c>
      <c r="B17" s="19" t="s">
        <v>159</v>
      </c>
      <c r="C17" s="18" t="s">
        <v>160</v>
      </c>
      <c r="D17" s="22" t="s">
        <v>161</v>
      </c>
      <c r="E17" s="18" t="s">
        <v>162</v>
      </c>
      <c r="F17" s="129" t="s">
        <v>163</v>
      </c>
      <c r="G17" s="18" t="s">
        <v>164</v>
      </c>
      <c r="H17" s="18" t="s">
        <v>165</v>
      </c>
      <c r="I17" s="19">
        <v>13590375377</v>
      </c>
      <c r="J17" s="53" t="s">
        <v>35</v>
      </c>
      <c r="K17" s="46" t="s">
        <v>117</v>
      </c>
      <c r="L17" s="120" t="s">
        <v>136</v>
      </c>
      <c r="M17" s="118" t="s">
        <v>38</v>
      </c>
      <c r="N17" s="53" t="s">
        <v>166</v>
      </c>
      <c r="O17" s="93">
        <v>44844</v>
      </c>
      <c r="P17" s="44" t="s">
        <v>40</v>
      </c>
      <c r="Q17" s="94" t="s">
        <v>40</v>
      </c>
      <c r="R17" s="126" t="s">
        <v>40</v>
      </c>
      <c r="S17" s="44" t="s">
        <v>40</v>
      </c>
      <c r="T17" s="94" t="s">
        <v>40</v>
      </c>
      <c r="U17" s="18" t="s">
        <v>167</v>
      </c>
      <c r="V17" s="69">
        <v>44853</v>
      </c>
      <c r="W17" s="69">
        <v>44854</v>
      </c>
      <c r="X17" s="69" t="s">
        <v>42</v>
      </c>
      <c r="Y17" s="18" t="s">
        <v>40</v>
      </c>
      <c r="Z17" s="69">
        <v>44845</v>
      </c>
      <c r="AA17" s="94"/>
      <c r="AB17" s="84" t="s">
        <v>110</v>
      </c>
    </row>
    <row r="18" ht="85" customHeight="1" spans="1:28">
      <c r="A18" s="18">
        <v>5</v>
      </c>
      <c r="B18" s="19" t="s">
        <v>168</v>
      </c>
      <c r="C18" s="18" t="s">
        <v>169</v>
      </c>
      <c r="D18" s="22" t="s">
        <v>170</v>
      </c>
      <c r="E18" s="18" t="s">
        <v>171</v>
      </c>
      <c r="F18" s="129" t="s">
        <v>172</v>
      </c>
      <c r="G18" s="18" t="s">
        <v>173</v>
      </c>
      <c r="H18" s="18" t="s">
        <v>174</v>
      </c>
      <c r="I18" s="19">
        <v>18200980752</v>
      </c>
      <c r="J18" s="53" t="s">
        <v>35</v>
      </c>
      <c r="K18" s="46" t="s">
        <v>157</v>
      </c>
      <c r="L18" s="120" t="s">
        <v>136</v>
      </c>
      <c r="M18" s="118" t="s">
        <v>38</v>
      </c>
      <c r="N18" s="53" t="s">
        <v>175</v>
      </c>
      <c r="O18" s="93">
        <v>44844</v>
      </c>
      <c r="P18" s="44" t="s">
        <v>40</v>
      </c>
      <c r="Q18" s="94" t="s">
        <v>40</v>
      </c>
      <c r="R18" s="126" t="s">
        <v>40</v>
      </c>
      <c r="S18" s="44" t="s">
        <v>40</v>
      </c>
      <c r="T18" s="94" t="s">
        <v>40</v>
      </c>
      <c r="U18" s="18" t="s">
        <v>176</v>
      </c>
      <c r="V18" s="69">
        <v>44853</v>
      </c>
      <c r="W18" s="69">
        <v>44854</v>
      </c>
      <c r="X18" s="69" t="s">
        <v>42</v>
      </c>
      <c r="Y18" s="18" t="s">
        <v>40</v>
      </c>
      <c r="Z18" s="69">
        <v>44845</v>
      </c>
      <c r="AA18" s="94"/>
      <c r="AB18" s="84" t="s">
        <v>110</v>
      </c>
    </row>
    <row r="19" ht="85" customHeight="1" spans="1:28">
      <c r="A19" s="18">
        <v>6</v>
      </c>
      <c r="B19" s="19" t="s">
        <v>177</v>
      </c>
      <c r="C19" s="18" t="s">
        <v>178</v>
      </c>
      <c r="D19" s="22" t="s">
        <v>179</v>
      </c>
      <c r="E19" s="18" t="s">
        <v>180</v>
      </c>
      <c r="F19" s="129" t="s">
        <v>181</v>
      </c>
      <c r="G19" s="18" t="s">
        <v>182</v>
      </c>
      <c r="H19" s="18" t="s">
        <v>183</v>
      </c>
      <c r="I19" s="19">
        <v>13603063782</v>
      </c>
      <c r="J19" s="53" t="s">
        <v>35</v>
      </c>
      <c r="K19" s="46" t="s">
        <v>50</v>
      </c>
      <c r="L19" s="120" t="s">
        <v>136</v>
      </c>
      <c r="M19" s="118" t="s">
        <v>38</v>
      </c>
      <c r="N19" s="53" t="s">
        <v>184</v>
      </c>
      <c r="O19" s="93">
        <v>44844</v>
      </c>
      <c r="P19" s="44" t="s">
        <v>40</v>
      </c>
      <c r="Q19" s="94" t="s">
        <v>40</v>
      </c>
      <c r="R19" s="126" t="s">
        <v>40</v>
      </c>
      <c r="S19" s="44" t="s">
        <v>40</v>
      </c>
      <c r="T19" s="94" t="s">
        <v>40</v>
      </c>
      <c r="U19" s="18" t="s">
        <v>185</v>
      </c>
      <c r="V19" s="69">
        <v>44853</v>
      </c>
      <c r="W19" s="69">
        <v>44854</v>
      </c>
      <c r="X19" s="69" t="s">
        <v>42</v>
      </c>
      <c r="Y19" s="18" t="s">
        <v>40</v>
      </c>
      <c r="Z19" s="69">
        <v>44845</v>
      </c>
      <c r="AA19" s="94"/>
      <c r="AB19" s="84" t="s">
        <v>110</v>
      </c>
    </row>
    <row r="20" ht="85" customHeight="1" spans="1:27">
      <c r="A20" s="18">
        <v>1</v>
      </c>
      <c r="B20" s="130" t="s">
        <v>186</v>
      </c>
      <c r="C20" s="22" t="s">
        <v>187</v>
      </c>
      <c r="D20" s="22" t="s">
        <v>188</v>
      </c>
      <c r="E20" s="18" t="s">
        <v>73</v>
      </c>
      <c r="F20" s="18" t="s">
        <v>74</v>
      </c>
      <c r="G20" s="18" t="s">
        <v>189</v>
      </c>
      <c r="H20" s="18" t="s">
        <v>190</v>
      </c>
      <c r="I20" s="130" t="s">
        <v>191</v>
      </c>
      <c r="J20" s="53" t="s">
        <v>35</v>
      </c>
      <c r="K20" s="46" t="s">
        <v>50</v>
      </c>
      <c r="L20" s="120" t="s">
        <v>136</v>
      </c>
      <c r="M20" s="120" t="s">
        <v>192</v>
      </c>
      <c r="N20" s="53" t="s">
        <v>193</v>
      </c>
      <c r="O20" s="93">
        <v>45187</v>
      </c>
      <c r="P20" s="44" t="s">
        <v>40</v>
      </c>
      <c r="Q20" s="94" t="s">
        <v>40</v>
      </c>
      <c r="R20" s="126" t="s">
        <v>40</v>
      </c>
      <c r="S20" s="44" t="s">
        <v>40</v>
      </c>
      <c r="T20" s="94" t="s">
        <v>40</v>
      </c>
      <c r="U20" s="91" t="s">
        <v>194</v>
      </c>
      <c r="V20" s="69">
        <v>45197</v>
      </c>
      <c r="W20" s="69">
        <v>45208</v>
      </c>
      <c r="X20" s="69" t="s">
        <v>42</v>
      </c>
      <c r="Y20" s="18" t="s">
        <v>40</v>
      </c>
      <c r="Z20" s="69">
        <v>45207</v>
      </c>
      <c r="AA20" s="94" t="s">
        <v>195</v>
      </c>
    </row>
    <row r="21" ht="85" customHeight="1" spans="1:27">
      <c r="A21" s="18">
        <v>2</v>
      </c>
      <c r="B21" s="130" t="s">
        <v>196</v>
      </c>
      <c r="C21" s="22" t="s">
        <v>197</v>
      </c>
      <c r="D21" s="22" t="s">
        <v>198</v>
      </c>
      <c r="E21" s="18" t="s">
        <v>171</v>
      </c>
      <c r="F21" s="129" t="s">
        <v>172</v>
      </c>
      <c r="G21" s="18" t="s">
        <v>173</v>
      </c>
      <c r="H21" s="18" t="s">
        <v>199</v>
      </c>
      <c r="I21" s="130" t="s">
        <v>200</v>
      </c>
      <c r="J21" s="53" t="s">
        <v>35</v>
      </c>
      <c r="K21" s="46" t="s">
        <v>50</v>
      </c>
      <c r="L21" s="120" t="s">
        <v>136</v>
      </c>
      <c r="M21" s="120" t="s">
        <v>201</v>
      </c>
      <c r="N21" s="53" t="s">
        <v>202</v>
      </c>
      <c r="O21" s="93">
        <v>45187</v>
      </c>
      <c r="P21" s="44" t="s">
        <v>40</v>
      </c>
      <c r="Q21" s="94" t="s">
        <v>40</v>
      </c>
      <c r="R21" s="126" t="s">
        <v>40</v>
      </c>
      <c r="S21" s="44" t="s">
        <v>40</v>
      </c>
      <c r="T21" s="94" t="s">
        <v>40</v>
      </c>
      <c r="U21" s="91" t="s">
        <v>203</v>
      </c>
      <c r="V21" s="69">
        <v>45206</v>
      </c>
      <c r="W21" s="69">
        <v>45208</v>
      </c>
      <c r="X21" s="69" t="s">
        <v>42</v>
      </c>
      <c r="Y21" s="18" t="s">
        <v>40</v>
      </c>
      <c r="Z21" s="69">
        <v>45207</v>
      </c>
      <c r="AA21" s="94" t="s">
        <v>195</v>
      </c>
    </row>
    <row r="22" ht="85" customHeight="1" spans="1:27">
      <c r="A22" s="18">
        <v>3</v>
      </c>
      <c r="B22" s="130" t="s">
        <v>204</v>
      </c>
      <c r="C22" s="22" t="s">
        <v>205</v>
      </c>
      <c r="D22" s="22" t="s">
        <v>206</v>
      </c>
      <c r="E22" s="18" t="s">
        <v>207</v>
      </c>
      <c r="F22" s="129" t="s">
        <v>208</v>
      </c>
      <c r="G22" s="18" t="s">
        <v>209</v>
      </c>
      <c r="H22" s="18" t="s">
        <v>210</v>
      </c>
      <c r="I22" s="130" t="s">
        <v>211</v>
      </c>
      <c r="J22" s="53" t="s">
        <v>35</v>
      </c>
      <c r="K22" s="46" t="s">
        <v>60</v>
      </c>
      <c r="L22" s="120" t="s">
        <v>212</v>
      </c>
      <c r="M22" s="120" t="s">
        <v>213</v>
      </c>
      <c r="N22" s="53" t="s">
        <v>214</v>
      </c>
      <c r="O22" s="93">
        <v>45189</v>
      </c>
      <c r="P22" s="44" t="s">
        <v>40</v>
      </c>
      <c r="Q22" s="94" t="s">
        <v>40</v>
      </c>
      <c r="R22" s="126" t="s">
        <v>40</v>
      </c>
      <c r="S22" s="44" t="s">
        <v>40</v>
      </c>
      <c r="T22" s="94" t="s">
        <v>40</v>
      </c>
      <c r="U22" s="91" t="s">
        <v>215</v>
      </c>
      <c r="V22" s="69">
        <v>45206</v>
      </c>
      <c r="W22" s="69">
        <v>45208</v>
      </c>
      <c r="X22" s="69" t="s">
        <v>42</v>
      </c>
      <c r="Y22" s="18" t="s">
        <v>40</v>
      </c>
      <c r="Z22" s="69">
        <v>45207</v>
      </c>
      <c r="AA22" s="94" t="s">
        <v>195</v>
      </c>
    </row>
    <row r="23" ht="85" customHeight="1" spans="1:27">
      <c r="A23" s="18">
        <v>4</v>
      </c>
      <c r="B23" s="130" t="s">
        <v>216</v>
      </c>
      <c r="C23" s="22" t="s">
        <v>217</v>
      </c>
      <c r="D23" s="22" t="s">
        <v>218</v>
      </c>
      <c r="E23" s="18" t="s">
        <v>219</v>
      </c>
      <c r="F23" s="129" t="s">
        <v>220</v>
      </c>
      <c r="G23" s="18" t="s">
        <v>221</v>
      </c>
      <c r="H23" s="18" t="s">
        <v>222</v>
      </c>
      <c r="I23" s="130" t="s">
        <v>223</v>
      </c>
      <c r="J23" s="53" t="s">
        <v>35</v>
      </c>
      <c r="K23" s="46" t="s">
        <v>157</v>
      </c>
      <c r="L23" s="120" t="s">
        <v>136</v>
      </c>
      <c r="M23" s="120" t="s">
        <v>224</v>
      </c>
      <c r="N23" s="53" t="s">
        <v>225</v>
      </c>
      <c r="O23" s="93">
        <v>45187</v>
      </c>
      <c r="P23" s="44" t="s">
        <v>40</v>
      </c>
      <c r="Q23" s="94" t="s">
        <v>40</v>
      </c>
      <c r="R23" s="126" t="s">
        <v>40</v>
      </c>
      <c r="S23" s="44" t="s">
        <v>40</v>
      </c>
      <c r="T23" s="94" t="s">
        <v>40</v>
      </c>
      <c r="U23" s="91" t="s">
        <v>194</v>
      </c>
      <c r="V23" s="69">
        <v>45197</v>
      </c>
      <c r="W23" s="69">
        <v>45208</v>
      </c>
      <c r="X23" s="69" t="s">
        <v>42</v>
      </c>
      <c r="Y23" s="18" t="s">
        <v>40</v>
      </c>
      <c r="Z23" s="69">
        <v>45207</v>
      </c>
      <c r="AA23" s="94" t="s">
        <v>195</v>
      </c>
    </row>
    <row r="24" ht="85" customHeight="1" spans="1:27">
      <c r="A24" s="18">
        <v>5</v>
      </c>
      <c r="B24" s="130" t="s">
        <v>226</v>
      </c>
      <c r="C24" s="22" t="s">
        <v>227</v>
      </c>
      <c r="D24" s="22" t="s">
        <v>228</v>
      </c>
      <c r="E24" s="18" t="s">
        <v>229</v>
      </c>
      <c r="F24" s="129" t="s">
        <v>230</v>
      </c>
      <c r="G24" s="18" t="s">
        <v>231</v>
      </c>
      <c r="H24" s="18" t="s">
        <v>232</v>
      </c>
      <c r="I24" s="130" t="s">
        <v>233</v>
      </c>
      <c r="J24" s="53" t="s">
        <v>35</v>
      </c>
      <c r="K24" s="46" t="s">
        <v>50</v>
      </c>
      <c r="L24" s="120" t="s">
        <v>234</v>
      </c>
      <c r="M24" s="120" t="s">
        <v>235</v>
      </c>
      <c r="N24" s="53" t="s">
        <v>236</v>
      </c>
      <c r="O24" s="93">
        <v>45188</v>
      </c>
      <c r="P24" s="44" t="s">
        <v>40</v>
      </c>
      <c r="Q24" s="94" t="s">
        <v>40</v>
      </c>
      <c r="R24" s="126" t="s">
        <v>40</v>
      </c>
      <c r="S24" s="44" t="s">
        <v>40</v>
      </c>
      <c r="T24" s="94" t="s">
        <v>40</v>
      </c>
      <c r="U24" s="91" t="s">
        <v>215</v>
      </c>
      <c r="V24" s="69">
        <v>45206</v>
      </c>
      <c r="W24" s="69">
        <v>45208</v>
      </c>
      <c r="X24" s="69" t="s">
        <v>42</v>
      </c>
      <c r="Y24" s="18" t="s">
        <v>40</v>
      </c>
      <c r="Z24" s="69">
        <v>45207</v>
      </c>
      <c r="AA24" s="94" t="s">
        <v>195</v>
      </c>
    </row>
    <row r="25" ht="85" customHeight="1" spans="1:27">
      <c r="A25" s="18">
        <v>6</v>
      </c>
      <c r="B25" s="130" t="s">
        <v>237</v>
      </c>
      <c r="C25" s="22" t="s">
        <v>238</v>
      </c>
      <c r="D25" s="22" t="s">
        <v>239</v>
      </c>
      <c r="E25" s="18" t="s">
        <v>240</v>
      </c>
      <c r="F25" s="129" t="s">
        <v>241</v>
      </c>
      <c r="G25" s="18" t="s">
        <v>242</v>
      </c>
      <c r="H25" s="18" t="s">
        <v>243</v>
      </c>
      <c r="I25" s="130" t="s">
        <v>244</v>
      </c>
      <c r="J25" s="53" t="s">
        <v>35</v>
      </c>
      <c r="K25" s="46" t="s">
        <v>50</v>
      </c>
      <c r="L25" s="120" t="s">
        <v>136</v>
      </c>
      <c r="M25" s="120" t="s">
        <v>201</v>
      </c>
      <c r="N25" s="53" t="s">
        <v>245</v>
      </c>
      <c r="O25" s="93">
        <v>45187</v>
      </c>
      <c r="P25" s="44" t="s">
        <v>40</v>
      </c>
      <c r="Q25" s="94" t="s">
        <v>40</v>
      </c>
      <c r="R25" s="126" t="s">
        <v>40</v>
      </c>
      <c r="S25" s="44" t="s">
        <v>40</v>
      </c>
      <c r="T25" s="94" t="s">
        <v>40</v>
      </c>
      <c r="U25" s="91" t="s">
        <v>203</v>
      </c>
      <c r="V25" s="69">
        <v>45206</v>
      </c>
      <c r="W25" s="69">
        <v>45208</v>
      </c>
      <c r="X25" s="69" t="s">
        <v>42</v>
      </c>
      <c r="Y25" s="18" t="s">
        <v>40</v>
      </c>
      <c r="Z25" s="69">
        <v>45207</v>
      </c>
      <c r="AA25" s="94" t="s">
        <v>195</v>
      </c>
    </row>
    <row r="26" ht="85" customHeight="1" spans="1:27">
      <c r="A26" s="18">
        <v>7</v>
      </c>
      <c r="B26" s="130" t="s">
        <v>246</v>
      </c>
      <c r="C26" s="22" t="s">
        <v>247</v>
      </c>
      <c r="D26" s="22" t="s">
        <v>248</v>
      </c>
      <c r="E26" s="18" t="s">
        <v>249</v>
      </c>
      <c r="F26" s="129" t="s">
        <v>250</v>
      </c>
      <c r="G26" s="18" t="s">
        <v>251</v>
      </c>
      <c r="H26" s="18" t="s">
        <v>252</v>
      </c>
      <c r="I26" s="130" t="s">
        <v>253</v>
      </c>
      <c r="J26" s="53" t="s">
        <v>35</v>
      </c>
      <c r="K26" s="46" t="s">
        <v>50</v>
      </c>
      <c r="L26" s="120" t="s">
        <v>136</v>
      </c>
      <c r="M26" s="120" t="s">
        <v>254</v>
      </c>
      <c r="N26" s="53" t="s">
        <v>255</v>
      </c>
      <c r="O26" s="93">
        <v>45187</v>
      </c>
      <c r="P26" s="44" t="s">
        <v>40</v>
      </c>
      <c r="Q26" s="94" t="s">
        <v>40</v>
      </c>
      <c r="R26" s="126" t="s">
        <v>40</v>
      </c>
      <c r="S26" s="44" t="s">
        <v>40</v>
      </c>
      <c r="T26" s="94" t="s">
        <v>40</v>
      </c>
      <c r="U26" s="91" t="s">
        <v>256</v>
      </c>
      <c r="V26" s="69">
        <v>45206</v>
      </c>
      <c r="W26" s="69">
        <v>45208</v>
      </c>
      <c r="X26" s="69" t="s">
        <v>42</v>
      </c>
      <c r="Y26" s="18" t="s">
        <v>40</v>
      </c>
      <c r="Z26" s="69">
        <v>45207</v>
      </c>
      <c r="AA26" s="94" t="s">
        <v>195</v>
      </c>
    </row>
    <row r="27" ht="85" customHeight="1" spans="1:27">
      <c r="A27" s="18">
        <v>8</v>
      </c>
      <c r="B27" s="130" t="s">
        <v>257</v>
      </c>
      <c r="C27" s="22" t="s">
        <v>258</v>
      </c>
      <c r="D27" s="22" t="s">
        <v>259</v>
      </c>
      <c r="E27" s="18" t="s">
        <v>180</v>
      </c>
      <c r="F27" s="129" t="s">
        <v>181</v>
      </c>
      <c r="G27" s="18" t="s">
        <v>182</v>
      </c>
      <c r="H27" s="18" t="s">
        <v>260</v>
      </c>
      <c r="I27" s="130" t="s">
        <v>261</v>
      </c>
      <c r="J27" s="53" t="s">
        <v>35</v>
      </c>
      <c r="K27" s="46" t="s">
        <v>50</v>
      </c>
      <c r="L27" s="120" t="s">
        <v>262</v>
      </c>
      <c r="M27" s="120" t="s">
        <v>263</v>
      </c>
      <c r="N27" s="53" t="s">
        <v>264</v>
      </c>
      <c r="O27" s="93">
        <v>45187</v>
      </c>
      <c r="P27" s="44" t="s">
        <v>40</v>
      </c>
      <c r="Q27" s="94" t="s">
        <v>40</v>
      </c>
      <c r="R27" s="126" t="s">
        <v>40</v>
      </c>
      <c r="S27" s="44" t="s">
        <v>40</v>
      </c>
      <c r="T27" s="94" t="s">
        <v>40</v>
      </c>
      <c r="U27" s="91" t="s">
        <v>265</v>
      </c>
      <c r="V27" s="69">
        <v>45206</v>
      </c>
      <c r="W27" s="69">
        <v>45208</v>
      </c>
      <c r="X27" s="69" t="s">
        <v>42</v>
      </c>
      <c r="Y27" s="18" t="s">
        <v>40</v>
      </c>
      <c r="Z27" s="69">
        <v>45207</v>
      </c>
      <c r="AA27" s="94" t="s">
        <v>195</v>
      </c>
    </row>
    <row r="28" ht="85" customHeight="1" spans="1:27">
      <c r="A28" s="18">
        <v>9</v>
      </c>
      <c r="B28" s="130" t="s">
        <v>266</v>
      </c>
      <c r="C28" s="22" t="s">
        <v>267</v>
      </c>
      <c r="D28" s="22" t="s">
        <v>268</v>
      </c>
      <c r="E28" s="18" t="s">
        <v>269</v>
      </c>
      <c r="F28" s="129" t="s">
        <v>270</v>
      </c>
      <c r="G28" s="18" t="s">
        <v>271</v>
      </c>
      <c r="H28" s="18" t="s">
        <v>272</v>
      </c>
      <c r="I28" s="130" t="s">
        <v>273</v>
      </c>
      <c r="J28" s="53" t="s">
        <v>35</v>
      </c>
      <c r="K28" s="46" t="s">
        <v>69</v>
      </c>
      <c r="L28" s="120" t="s">
        <v>136</v>
      </c>
      <c r="M28" s="118" t="s">
        <v>274</v>
      </c>
      <c r="N28" s="53" t="s">
        <v>275</v>
      </c>
      <c r="O28" s="93">
        <v>45187</v>
      </c>
      <c r="P28" s="44" t="s">
        <v>40</v>
      </c>
      <c r="Q28" s="94" t="s">
        <v>40</v>
      </c>
      <c r="R28" s="126" t="s">
        <v>40</v>
      </c>
      <c r="S28" s="44" t="s">
        <v>40</v>
      </c>
      <c r="T28" s="94" t="s">
        <v>40</v>
      </c>
      <c r="U28" s="91" t="s">
        <v>194</v>
      </c>
      <c r="V28" s="69">
        <v>45197</v>
      </c>
      <c r="W28" s="69">
        <v>45208</v>
      </c>
      <c r="X28" s="69" t="s">
        <v>42</v>
      </c>
      <c r="Y28" s="18" t="s">
        <v>40</v>
      </c>
      <c r="Z28" s="69">
        <v>45207</v>
      </c>
      <c r="AA28" s="94" t="s">
        <v>195</v>
      </c>
    </row>
    <row r="29" ht="85" customHeight="1" spans="1:27">
      <c r="A29" s="18"/>
      <c r="B29" s="19"/>
      <c r="C29" s="18"/>
      <c r="D29" s="22"/>
      <c r="E29" s="18"/>
      <c r="F29" s="18"/>
      <c r="G29" s="18"/>
      <c r="H29" s="18"/>
      <c r="I29" s="19"/>
      <c r="J29" s="53" t="s">
        <v>35</v>
      </c>
      <c r="K29" s="46"/>
      <c r="L29" s="120"/>
      <c r="M29" s="118"/>
      <c r="N29" s="53"/>
      <c r="O29" s="93"/>
      <c r="P29" s="44"/>
      <c r="Q29" s="94"/>
      <c r="R29" s="126"/>
      <c r="S29" s="44"/>
      <c r="T29" s="94"/>
      <c r="U29" s="18"/>
      <c r="V29" s="69"/>
      <c r="W29" s="69"/>
      <c r="X29" s="69" t="s">
        <v>42</v>
      </c>
      <c r="Y29" s="18" t="s">
        <v>40</v>
      </c>
      <c r="Z29" s="69"/>
      <c r="AA29" s="94"/>
    </row>
    <row r="30" ht="85" customHeight="1" spans="1:27">
      <c r="A30" s="18"/>
      <c r="B30" s="19"/>
      <c r="C30" s="18"/>
      <c r="D30" s="22"/>
      <c r="E30" s="18"/>
      <c r="F30" s="18"/>
      <c r="G30" s="18"/>
      <c r="H30" s="18"/>
      <c r="I30" s="19"/>
      <c r="J30" s="53" t="s">
        <v>35</v>
      </c>
      <c r="K30" s="46"/>
      <c r="L30" s="120"/>
      <c r="M30" s="118"/>
      <c r="N30" s="53"/>
      <c r="O30" s="93"/>
      <c r="P30" s="44"/>
      <c r="Q30" s="94"/>
      <c r="R30" s="126"/>
      <c r="S30" s="44"/>
      <c r="T30" s="94"/>
      <c r="U30" s="18"/>
      <c r="V30" s="69"/>
      <c r="W30" s="69"/>
      <c r="X30" s="69" t="s">
        <v>42</v>
      </c>
      <c r="Y30" s="18" t="s">
        <v>40</v>
      </c>
      <c r="Z30" s="69"/>
      <c r="AA30" s="94"/>
    </row>
    <row r="31" ht="30" customHeight="1" spans="1:27">
      <c r="A31" s="32"/>
      <c r="B31" s="113"/>
      <c r="C31" s="34"/>
      <c r="D31" s="114"/>
      <c r="E31" s="32"/>
      <c r="F31" s="32"/>
      <c r="G31" s="32"/>
      <c r="H31" s="32"/>
      <c r="I31" s="33"/>
      <c r="J31" s="60"/>
      <c r="K31" s="60"/>
      <c r="L31" s="122"/>
      <c r="M31" s="122"/>
      <c r="N31" s="123"/>
      <c r="O31" s="58"/>
      <c r="P31" s="103"/>
      <c r="Q31" s="59"/>
      <c r="R31" s="61"/>
      <c r="S31" s="58"/>
      <c r="T31" s="58"/>
      <c r="U31" s="32"/>
      <c r="V31" s="71"/>
      <c r="W31" s="32"/>
      <c r="X31" s="32"/>
      <c r="Y31" s="32"/>
      <c r="Z31" s="32"/>
      <c r="AA31" s="58"/>
    </row>
    <row r="32" ht="30" customHeight="1" spans="1:27">
      <c r="A32" s="32"/>
      <c r="B32" s="113"/>
      <c r="C32" s="34"/>
      <c r="D32" s="114"/>
      <c r="E32" s="32"/>
      <c r="F32" s="32"/>
      <c r="G32" s="32"/>
      <c r="H32" s="32"/>
      <c r="I32" s="33"/>
      <c r="J32" s="60"/>
      <c r="K32" s="60"/>
      <c r="L32" s="122"/>
      <c r="M32" s="122"/>
      <c r="N32" s="124" t="s">
        <v>276</v>
      </c>
      <c r="O32" s="63">
        <f>COUNTA(O20:O30)</f>
        <v>9</v>
      </c>
      <c r="P32" s="125"/>
      <c r="Q32" s="127"/>
      <c r="R32" s="65"/>
      <c r="S32" s="58"/>
      <c r="T32" s="58"/>
      <c r="U32" s="32"/>
      <c r="V32" s="71"/>
      <c r="W32" s="32"/>
      <c r="X32" s="32"/>
      <c r="Y32" s="32"/>
      <c r="Z32" s="32"/>
      <c r="AA32" s="58"/>
    </row>
    <row r="33" ht="30" customHeight="1" spans="1:27">
      <c r="A33" s="32"/>
      <c r="B33" s="113"/>
      <c r="C33" s="34"/>
      <c r="D33" s="114"/>
      <c r="E33" s="32"/>
      <c r="F33" s="32"/>
      <c r="G33" s="32"/>
      <c r="H33" s="32"/>
      <c r="I33" s="33"/>
      <c r="J33" s="60"/>
      <c r="K33" s="60"/>
      <c r="L33" s="122"/>
      <c r="M33" s="122"/>
      <c r="N33" s="124" t="s">
        <v>277</v>
      </c>
      <c r="O33" s="63">
        <f>SUM(O32:O32)</f>
        <v>9</v>
      </c>
      <c r="P33" s="125"/>
      <c r="Q33" s="127"/>
      <c r="R33" s="65"/>
      <c r="S33" s="58"/>
      <c r="T33" s="58"/>
      <c r="U33" s="32"/>
      <c r="V33" s="71"/>
      <c r="W33" s="32"/>
      <c r="X33" s="32"/>
      <c r="Y33" s="32"/>
      <c r="Z33" s="32"/>
      <c r="AA33" s="58"/>
    </row>
  </sheetData>
  <autoFilter ref="A2:AA30">
    <extLst/>
  </autoFilter>
  <mergeCells count="1">
    <mergeCell ref="A1:S1"/>
  </mergeCells>
  <conditionalFormatting sqref="Z2">
    <cfRule type="timePeriod" dxfId="0" priority="6" timePeriod="tomorrow">
      <formula>FLOOR(Z2,1)=TODAY()+1</formula>
    </cfRule>
  </conditionalFormatting>
  <conditionalFormatting sqref="X3:X30">
    <cfRule type="timePeriod" dxfId="0" priority="1" timePeriod="tomorrow">
      <formula>FLOOR(X3,1)=TODAY()+1</formula>
    </cfRule>
    <cfRule type="timePeriod" dxfId="0" priority="2" timePeriod="tomorrow">
      <formula>FLOOR(X3,1)=TODAY()+1</formula>
    </cfRule>
  </conditionalFormatting>
  <conditionalFormatting sqref="Y11:Y13">
    <cfRule type="timePeriod" dxfId="0" priority="3" timePeriod="tomorrow">
      <formula>FLOOR(Y11,1)=TODAY()+1</formula>
    </cfRule>
  </conditionalFormatting>
  <conditionalFormatting sqref="Z3:Z10">
    <cfRule type="timePeriod" dxfId="0" priority="4" timePeriod="tomorrow">
      <formula>FLOOR(Z3,1)=TODAY()+1</formula>
    </cfRule>
  </conditionalFormatting>
  <conditionalFormatting sqref="Z11:Z30">
    <cfRule type="timePeriod" dxfId="0" priority="9" timePeriod="tomorrow">
      <formula>FLOOR(Z11,1)=TODAY()+1</formula>
    </cfRule>
  </conditionalFormatting>
  <conditionalFormatting sqref="V1:Y2 V11:W30 Y14:Y30 V31:Y1048576">
    <cfRule type="timePeriod" dxfId="0" priority="10" timePeriod="tomorrow">
      <formula>FLOOR(V1,1)=TODAY()+1</formula>
    </cfRule>
  </conditionalFormatting>
  <conditionalFormatting sqref="V3:W10 Y3:Y10">
    <cfRule type="timePeriod" dxfId="0" priority="5" timePeriod="tomorrow">
      <formula>FLOOR(V3,1)=TODAY()+1</formula>
    </cfRule>
  </conditionalFormatting>
  <printOptions horizontalCentered="1"/>
  <pageMargins left="0.751388888888889" right="0.751388888888889" top="0.802777777777778" bottom="0.802777777777778" header="0.511805555555556" footer="0.511805555555556"/>
  <pageSetup paperSize="9" scale="34" fitToHeight="0" orientation="landscape" horizontalDpi="6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pageSetUpPr fitToPage="1"/>
  </sheetPr>
  <dimension ref="A1:AN154"/>
  <sheetViews>
    <sheetView tabSelected="1" zoomScale="85" zoomScaleNormal="85" workbookViewId="0">
      <pane xSplit="5" ySplit="2" topLeftCell="F145" activePane="bottomRight" state="frozen"/>
      <selection/>
      <selection pane="topRight"/>
      <selection pane="bottomLeft"/>
      <selection pane="bottomRight" activeCell="K148" sqref="K148"/>
    </sheetView>
  </sheetViews>
  <sheetFormatPr defaultColWidth="8.66666666666667" defaultRowHeight="14.25"/>
  <cols>
    <col min="1" max="1" width="6.91666666666667" style="5" customWidth="1"/>
    <col min="2" max="2" width="6.90833333333333" style="6" customWidth="1"/>
    <col min="3" max="3" width="25.625" style="7" customWidth="1"/>
    <col min="4" max="4" width="12.625" style="7" customWidth="1"/>
    <col min="5" max="7" width="9.99166666666667" style="5" customWidth="1"/>
    <col min="8" max="8" width="15.25" style="5" customWidth="1"/>
    <col min="9" max="9" width="69.25" style="8" customWidth="1"/>
    <col min="10" max="10" width="9.99166666666667" style="5" customWidth="1"/>
    <col min="11" max="11" width="9.99166666666667" style="4" customWidth="1"/>
    <col min="12" max="12" width="13.6666666666667" style="9" customWidth="1"/>
    <col min="13" max="13" width="13.6666666666667" style="86" customWidth="1"/>
    <col min="14" max="14" width="13.6666666666667" style="11" customWidth="1"/>
    <col min="15" max="15" width="13.6666666666667" style="12" customWidth="1"/>
    <col min="16" max="16" width="13.6666666666667" style="9" customWidth="1"/>
    <col min="17" max="17" width="9.99166666666667" style="9" customWidth="1"/>
    <col min="18" max="18" width="9" style="5" customWidth="1"/>
    <col min="19" max="19" width="13.6666666666667" style="13" customWidth="1"/>
    <col min="20" max="23" width="13.6666666666667" style="5" customWidth="1"/>
    <col min="24" max="24" width="13.6666666666667" style="9" customWidth="1"/>
    <col min="25" max="25" width="9" style="5" customWidth="1"/>
    <col min="26" max="30" width="8.66666666666667" style="5" customWidth="1"/>
    <col min="31" max="32" width="8.66666666666667" style="5"/>
    <col min="33" max="34" width="10.375" style="5"/>
    <col min="35" max="16384" width="8.66666666666667" style="5"/>
  </cols>
  <sheetData>
    <row r="1" s="1" customFormat="1" ht="40" customHeight="1" spans="1:19">
      <c r="A1" s="14" t="s">
        <v>278</v>
      </c>
      <c r="B1" s="15"/>
      <c r="C1" s="14"/>
      <c r="D1" s="14"/>
      <c r="E1" s="14"/>
      <c r="F1" s="14"/>
      <c r="G1" s="14"/>
      <c r="H1" s="14"/>
      <c r="I1" s="35"/>
      <c r="J1" s="14"/>
      <c r="K1" s="36"/>
      <c r="L1" s="14"/>
      <c r="M1" s="14"/>
      <c r="N1" s="38"/>
      <c r="O1" s="14"/>
      <c r="P1" s="14"/>
      <c r="Q1" s="14"/>
      <c r="S1" s="66"/>
    </row>
    <row r="2" s="2" customFormat="1" ht="39.65" customHeight="1" spans="1:40">
      <c r="A2" s="16" t="s">
        <v>1</v>
      </c>
      <c r="B2" s="17" t="s">
        <v>279</v>
      </c>
      <c r="C2" s="16" t="s">
        <v>280</v>
      </c>
      <c r="D2" s="16" t="s">
        <v>4</v>
      </c>
      <c r="E2" s="16" t="s">
        <v>281</v>
      </c>
      <c r="F2" s="16" t="s">
        <v>282</v>
      </c>
      <c r="G2" s="16" t="s">
        <v>283</v>
      </c>
      <c r="H2" s="16" t="s">
        <v>284</v>
      </c>
      <c r="I2" s="16" t="s">
        <v>285</v>
      </c>
      <c r="J2" s="39" t="s">
        <v>286</v>
      </c>
      <c r="K2" s="39" t="s">
        <v>287</v>
      </c>
      <c r="L2" s="40" t="s">
        <v>288</v>
      </c>
      <c r="M2" s="40" t="s">
        <v>289</v>
      </c>
      <c r="N2" s="41" t="s">
        <v>17</v>
      </c>
      <c r="O2" s="42" t="s">
        <v>290</v>
      </c>
      <c r="P2" s="40" t="s">
        <v>291</v>
      </c>
      <c r="Q2" s="40" t="s">
        <v>292</v>
      </c>
      <c r="R2" s="16" t="s">
        <v>293</v>
      </c>
      <c r="S2" s="67" t="s">
        <v>294</v>
      </c>
      <c r="T2" s="16" t="s">
        <v>295</v>
      </c>
      <c r="U2" s="16" t="s">
        <v>296</v>
      </c>
      <c r="V2" s="67" t="s">
        <v>297</v>
      </c>
      <c r="W2" s="67" t="s">
        <v>298</v>
      </c>
      <c r="X2" s="40" t="s">
        <v>27</v>
      </c>
      <c r="Z2" s="2" t="s">
        <v>299</v>
      </c>
      <c r="AA2" s="2" t="s">
        <v>300</v>
      </c>
      <c r="AB2" s="2" t="s">
        <v>301</v>
      </c>
      <c r="AC2" s="2" t="s">
        <v>302</v>
      </c>
      <c r="AD2" s="2" t="s">
        <v>303</v>
      </c>
      <c r="AE2" s="2" t="s">
        <v>304</v>
      </c>
      <c r="AG2" s="2" t="s">
        <v>305</v>
      </c>
      <c r="AH2" s="2" t="s">
        <v>306</v>
      </c>
      <c r="AI2" s="2" t="s">
        <v>307</v>
      </c>
      <c r="AJ2" s="2" t="s">
        <v>308</v>
      </c>
      <c r="AK2" s="2" t="s">
        <v>309</v>
      </c>
      <c r="AL2" s="2" t="s">
        <v>310</v>
      </c>
      <c r="AM2" s="2" t="s">
        <v>311</v>
      </c>
      <c r="AN2" s="2" t="s">
        <v>312</v>
      </c>
    </row>
    <row r="3" s="57" customFormat="1" ht="57" spans="1:24">
      <c r="A3" s="22">
        <v>1</v>
      </c>
      <c r="B3" s="22" t="s">
        <v>40</v>
      </c>
      <c r="C3" s="24"/>
      <c r="D3" s="87" t="s">
        <v>313</v>
      </c>
      <c r="E3" s="22" t="s">
        <v>314</v>
      </c>
      <c r="F3" s="24"/>
      <c r="G3" s="24"/>
      <c r="H3" s="24"/>
      <c r="I3" s="43" t="s">
        <v>315</v>
      </c>
      <c r="J3" s="48"/>
      <c r="K3" s="22" t="s">
        <v>316</v>
      </c>
      <c r="L3" s="45">
        <v>42712</v>
      </c>
      <c r="M3" s="45">
        <v>42744</v>
      </c>
      <c r="N3" s="46" t="s">
        <v>317</v>
      </c>
      <c r="O3" s="54">
        <v>0.3</v>
      </c>
      <c r="P3" s="24"/>
      <c r="Q3" s="24"/>
      <c r="R3" s="24"/>
      <c r="S3" s="22" t="s">
        <v>40</v>
      </c>
      <c r="T3" s="22" t="s">
        <v>40</v>
      </c>
      <c r="U3" s="22" t="s">
        <v>40</v>
      </c>
      <c r="V3" s="22" t="s">
        <v>40</v>
      </c>
      <c r="W3" s="22" t="s">
        <v>40</v>
      </c>
      <c r="X3" s="22"/>
    </row>
    <row r="4" s="57" customFormat="1" ht="135.75" customHeight="1" spans="1:24">
      <c r="A4" s="22">
        <v>2</v>
      </c>
      <c r="B4" s="22" t="s">
        <v>40</v>
      </c>
      <c r="C4" s="24"/>
      <c r="D4" s="87" t="s">
        <v>318</v>
      </c>
      <c r="E4" s="22" t="s">
        <v>319</v>
      </c>
      <c r="F4" s="24"/>
      <c r="G4" s="24"/>
      <c r="H4" s="24"/>
      <c r="I4" s="43" t="s">
        <v>320</v>
      </c>
      <c r="J4" s="48"/>
      <c r="K4" s="22" t="s">
        <v>321</v>
      </c>
      <c r="L4" s="45">
        <v>42740</v>
      </c>
      <c r="M4" s="45">
        <v>42753</v>
      </c>
      <c r="N4" s="46" t="s">
        <v>317</v>
      </c>
      <c r="O4" s="54">
        <v>0.3</v>
      </c>
      <c r="P4" s="24"/>
      <c r="Q4" s="24"/>
      <c r="R4" s="24"/>
      <c r="S4" s="22" t="s">
        <v>40</v>
      </c>
      <c r="T4" s="22" t="s">
        <v>40</v>
      </c>
      <c r="U4" s="22" t="s">
        <v>40</v>
      </c>
      <c r="V4" s="22" t="s">
        <v>40</v>
      </c>
      <c r="W4" s="22" t="s">
        <v>40</v>
      </c>
      <c r="X4" s="22"/>
    </row>
    <row r="5" s="57" customFormat="1" ht="57" spans="1:24">
      <c r="A5" s="22">
        <v>3</v>
      </c>
      <c r="B5" s="22" t="s">
        <v>40</v>
      </c>
      <c r="C5" s="24"/>
      <c r="D5" s="88" t="s">
        <v>322</v>
      </c>
      <c r="E5" s="22" t="s">
        <v>323</v>
      </c>
      <c r="F5" s="22" t="s">
        <v>324</v>
      </c>
      <c r="G5" s="24"/>
      <c r="H5" s="24"/>
      <c r="I5" s="43" t="s">
        <v>325</v>
      </c>
      <c r="J5" s="48"/>
      <c r="K5" s="22" t="s">
        <v>326</v>
      </c>
      <c r="L5" s="45">
        <v>42740</v>
      </c>
      <c r="M5" s="45">
        <v>42789</v>
      </c>
      <c r="N5" s="46" t="s">
        <v>317</v>
      </c>
      <c r="O5" s="54">
        <v>2</v>
      </c>
      <c r="P5" s="24"/>
      <c r="Q5" s="24"/>
      <c r="R5" s="24"/>
      <c r="S5" s="22" t="s">
        <v>40</v>
      </c>
      <c r="T5" s="22" t="s">
        <v>40</v>
      </c>
      <c r="U5" s="22" t="s">
        <v>40</v>
      </c>
      <c r="V5" s="22" t="s">
        <v>40</v>
      </c>
      <c r="W5" s="22" t="s">
        <v>40</v>
      </c>
      <c r="X5" s="22"/>
    </row>
    <row r="6" s="57" customFormat="1" ht="57" spans="1:24">
      <c r="A6" s="22">
        <v>4</v>
      </c>
      <c r="B6" s="22" t="s">
        <v>40</v>
      </c>
      <c r="C6" s="24"/>
      <c r="D6" s="89"/>
      <c r="E6" s="22" t="s">
        <v>327</v>
      </c>
      <c r="F6" s="22" t="s">
        <v>328</v>
      </c>
      <c r="G6" s="24"/>
      <c r="H6" s="24"/>
      <c r="I6" s="43" t="s">
        <v>329</v>
      </c>
      <c r="J6" s="48"/>
      <c r="K6" s="22" t="s">
        <v>330</v>
      </c>
      <c r="L6" s="45">
        <v>42740</v>
      </c>
      <c r="M6" s="45">
        <v>42789</v>
      </c>
      <c r="N6" s="46" t="s">
        <v>317</v>
      </c>
      <c r="O6" s="54">
        <v>1</v>
      </c>
      <c r="P6" s="24"/>
      <c r="Q6" s="24"/>
      <c r="R6" s="24"/>
      <c r="S6" s="22" t="s">
        <v>40</v>
      </c>
      <c r="T6" s="22" t="s">
        <v>40</v>
      </c>
      <c r="U6" s="22" t="s">
        <v>40</v>
      </c>
      <c r="V6" s="22" t="s">
        <v>40</v>
      </c>
      <c r="W6" s="22" t="s">
        <v>40</v>
      </c>
      <c r="X6" s="22"/>
    </row>
    <row r="7" s="57" customFormat="1" ht="57" spans="1:24">
      <c r="A7" s="22">
        <v>5</v>
      </c>
      <c r="B7" s="22" t="s">
        <v>40</v>
      </c>
      <c r="C7" s="24"/>
      <c r="D7" s="90"/>
      <c r="E7" s="22" t="s">
        <v>331</v>
      </c>
      <c r="F7" s="22" t="s">
        <v>332</v>
      </c>
      <c r="G7" s="24"/>
      <c r="H7" s="24"/>
      <c r="I7" s="43" t="s">
        <v>333</v>
      </c>
      <c r="J7" s="48"/>
      <c r="K7" s="22" t="s">
        <v>334</v>
      </c>
      <c r="L7" s="45">
        <v>42740</v>
      </c>
      <c r="M7" s="45">
        <v>42789</v>
      </c>
      <c r="N7" s="46" t="s">
        <v>317</v>
      </c>
      <c r="O7" s="54">
        <v>1</v>
      </c>
      <c r="P7" s="24"/>
      <c r="Q7" s="24"/>
      <c r="R7" s="24"/>
      <c r="S7" s="22" t="s">
        <v>40</v>
      </c>
      <c r="T7" s="22" t="s">
        <v>40</v>
      </c>
      <c r="U7" s="22" t="s">
        <v>40</v>
      </c>
      <c r="V7" s="22" t="s">
        <v>40</v>
      </c>
      <c r="W7" s="22" t="s">
        <v>40</v>
      </c>
      <c r="X7" s="22"/>
    </row>
    <row r="8" s="57" customFormat="1" ht="57" spans="1:24">
      <c r="A8" s="22">
        <v>6</v>
      </c>
      <c r="B8" s="22" t="s">
        <v>40</v>
      </c>
      <c r="C8" s="24"/>
      <c r="D8" s="88" t="s">
        <v>335</v>
      </c>
      <c r="E8" s="22" t="s">
        <v>327</v>
      </c>
      <c r="F8" s="22" t="s">
        <v>328</v>
      </c>
      <c r="G8" s="24"/>
      <c r="H8" s="24"/>
      <c r="I8" s="43" t="s">
        <v>336</v>
      </c>
      <c r="J8" s="48"/>
      <c r="K8" s="22" t="s">
        <v>337</v>
      </c>
      <c r="L8" s="45">
        <v>42831</v>
      </c>
      <c r="M8" s="45">
        <v>42860</v>
      </c>
      <c r="N8" s="46" t="s">
        <v>317</v>
      </c>
      <c r="O8" s="54">
        <v>2</v>
      </c>
      <c r="P8" s="24"/>
      <c r="Q8" s="24"/>
      <c r="R8" s="24"/>
      <c r="S8" s="22" t="s">
        <v>40</v>
      </c>
      <c r="T8" s="22" t="s">
        <v>40</v>
      </c>
      <c r="U8" s="22" t="s">
        <v>40</v>
      </c>
      <c r="V8" s="22" t="s">
        <v>40</v>
      </c>
      <c r="W8" s="22" t="s">
        <v>40</v>
      </c>
      <c r="X8" s="22"/>
    </row>
    <row r="9" s="57" customFormat="1" ht="57" spans="1:24">
      <c r="A9" s="22">
        <v>7</v>
      </c>
      <c r="B9" s="22" t="s">
        <v>40</v>
      </c>
      <c r="C9" s="24"/>
      <c r="D9" s="89"/>
      <c r="E9" s="22" t="s">
        <v>331</v>
      </c>
      <c r="F9" s="22" t="s">
        <v>332</v>
      </c>
      <c r="G9" s="24"/>
      <c r="H9" s="24"/>
      <c r="I9" s="43" t="s">
        <v>338</v>
      </c>
      <c r="J9" s="48"/>
      <c r="K9" s="22" t="s">
        <v>339</v>
      </c>
      <c r="L9" s="45">
        <v>42831</v>
      </c>
      <c r="M9" s="45">
        <v>42860</v>
      </c>
      <c r="N9" s="46" t="s">
        <v>317</v>
      </c>
      <c r="O9" s="54">
        <v>3</v>
      </c>
      <c r="P9" s="24"/>
      <c r="Q9" s="24"/>
      <c r="R9" s="24"/>
      <c r="S9" s="22" t="s">
        <v>40</v>
      </c>
      <c r="T9" s="22" t="s">
        <v>40</v>
      </c>
      <c r="U9" s="22" t="s">
        <v>40</v>
      </c>
      <c r="V9" s="22" t="s">
        <v>40</v>
      </c>
      <c r="W9" s="22" t="s">
        <v>40</v>
      </c>
      <c r="X9" s="22"/>
    </row>
    <row r="10" s="57" customFormat="1" ht="57" spans="1:24">
      <c r="A10" s="22">
        <v>8</v>
      </c>
      <c r="B10" s="22" t="s">
        <v>40</v>
      </c>
      <c r="C10" s="24"/>
      <c r="D10" s="89"/>
      <c r="E10" s="22" t="s">
        <v>340</v>
      </c>
      <c r="F10" s="22" t="s">
        <v>341</v>
      </c>
      <c r="G10" s="24"/>
      <c r="H10" s="24"/>
      <c r="I10" s="43" t="s">
        <v>342</v>
      </c>
      <c r="J10" s="48"/>
      <c r="K10" s="22" t="s">
        <v>343</v>
      </c>
      <c r="L10" s="45">
        <v>42831</v>
      </c>
      <c r="M10" s="45">
        <v>42860</v>
      </c>
      <c r="N10" s="46" t="s">
        <v>317</v>
      </c>
      <c r="O10" s="54">
        <v>1</v>
      </c>
      <c r="P10" s="24"/>
      <c r="Q10" s="24"/>
      <c r="R10" s="24"/>
      <c r="S10" s="22" t="s">
        <v>40</v>
      </c>
      <c r="T10" s="22" t="s">
        <v>40</v>
      </c>
      <c r="U10" s="22" t="s">
        <v>40</v>
      </c>
      <c r="V10" s="22" t="s">
        <v>40</v>
      </c>
      <c r="W10" s="22" t="s">
        <v>40</v>
      </c>
      <c r="X10" s="22"/>
    </row>
    <row r="11" s="57" customFormat="1" ht="57" spans="1:24">
      <c r="A11" s="22">
        <v>9</v>
      </c>
      <c r="B11" s="22" t="s">
        <v>40</v>
      </c>
      <c r="C11" s="24"/>
      <c r="D11" s="90"/>
      <c r="E11" s="22" t="s">
        <v>344</v>
      </c>
      <c r="F11" s="22" t="s">
        <v>324</v>
      </c>
      <c r="G11" s="24"/>
      <c r="H11" s="24"/>
      <c r="I11" s="43" t="s">
        <v>345</v>
      </c>
      <c r="J11" s="48"/>
      <c r="K11" s="22" t="s">
        <v>346</v>
      </c>
      <c r="L11" s="45">
        <v>42831</v>
      </c>
      <c r="M11" s="45">
        <v>42860</v>
      </c>
      <c r="N11" s="46" t="s">
        <v>317</v>
      </c>
      <c r="O11" s="54">
        <v>3</v>
      </c>
      <c r="P11" s="24"/>
      <c r="Q11" s="24"/>
      <c r="R11" s="24"/>
      <c r="S11" s="22" t="s">
        <v>40</v>
      </c>
      <c r="T11" s="22" t="s">
        <v>40</v>
      </c>
      <c r="U11" s="22" t="s">
        <v>40</v>
      </c>
      <c r="V11" s="22" t="s">
        <v>40</v>
      </c>
      <c r="W11" s="22" t="s">
        <v>40</v>
      </c>
      <c r="X11" s="22"/>
    </row>
    <row r="12" s="57" customFormat="1" ht="57" spans="1:24">
      <c r="A12" s="22">
        <v>10</v>
      </c>
      <c r="B12" s="22" t="s">
        <v>40</v>
      </c>
      <c r="C12" s="24"/>
      <c r="D12" s="87" t="s">
        <v>347</v>
      </c>
      <c r="E12" s="22" t="s">
        <v>348</v>
      </c>
      <c r="F12" s="22" t="s">
        <v>332</v>
      </c>
      <c r="G12" s="24"/>
      <c r="H12" s="24"/>
      <c r="I12" s="55" t="s">
        <v>349</v>
      </c>
      <c r="J12" s="48"/>
      <c r="K12" s="22" t="s">
        <v>350</v>
      </c>
      <c r="L12" s="45">
        <v>42989</v>
      </c>
      <c r="M12" s="45">
        <v>43020</v>
      </c>
      <c r="N12" s="46" t="s">
        <v>317</v>
      </c>
      <c r="O12" s="54">
        <v>1</v>
      </c>
      <c r="P12" s="24"/>
      <c r="Q12" s="24"/>
      <c r="R12" s="24"/>
      <c r="S12" s="22" t="s">
        <v>40</v>
      </c>
      <c r="T12" s="22" t="s">
        <v>40</v>
      </c>
      <c r="U12" s="22" t="s">
        <v>40</v>
      </c>
      <c r="V12" s="22" t="s">
        <v>40</v>
      </c>
      <c r="W12" s="22" t="s">
        <v>40</v>
      </c>
      <c r="X12" s="22"/>
    </row>
    <row r="13" s="57" customFormat="1" ht="57" spans="1:24">
      <c r="A13" s="22">
        <v>11</v>
      </c>
      <c r="B13" s="22" t="s">
        <v>40</v>
      </c>
      <c r="C13" s="24"/>
      <c r="D13" s="87" t="s">
        <v>351</v>
      </c>
      <c r="E13" s="22" t="s">
        <v>352</v>
      </c>
      <c r="F13" s="22" t="s">
        <v>332</v>
      </c>
      <c r="G13" s="24"/>
      <c r="H13" s="24"/>
      <c r="I13" s="43" t="s">
        <v>353</v>
      </c>
      <c r="J13" s="48"/>
      <c r="K13" s="22" t="s">
        <v>354</v>
      </c>
      <c r="L13" s="45">
        <v>43033</v>
      </c>
      <c r="M13" s="45">
        <v>43056</v>
      </c>
      <c r="N13" s="46" t="s">
        <v>317</v>
      </c>
      <c r="O13" s="54">
        <v>5</v>
      </c>
      <c r="P13" s="24"/>
      <c r="Q13" s="24"/>
      <c r="R13" s="24"/>
      <c r="S13" s="22" t="s">
        <v>40</v>
      </c>
      <c r="T13" s="22" t="s">
        <v>40</v>
      </c>
      <c r="U13" s="22" t="s">
        <v>40</v>
      </c>
      <c r="V13" s="22" t="s">
        <v>40</v>
      </c>
      <c r="W13" s="22" t="s">
        <v>40</v>
      </c>
      <c r="X13" s="22"/>
    </row>
    <row r="14" s="57" customFormat="1" ht="71.25" spans="1:24">
      <c r="A14" s="22">
        <v>12</v>
      </c>
      <c r="B14" s="22" t="s">
        <v>40</v>
      </c>
      <c r="C14" s="24"/>
      <c r="D14" s="87" t="s">
        <v>355</v>
      </c>
      <c r="E14" s="22" t="s">
        <v>348</v>
      </c>
      <c r="F14" s="22" t="s">
        <v>332</v>
      </c>
      <c r="G14" s="24"/>
      <c r="H14" s="24"/>
      <c r="I14" s="43" t="s">
        <v>356</v>
      </c>
      <c r="J14" s="48"/>
      <c r="K14" s="22" t="s">
        <v>357</v>
      </c>
      <c r="L14" s="45">
        <v>43018</v>
      </c>
      <c r="M14" s="45">
        <v>43056</v>
      </c>
      <c r="N14" s="46" t="s">
        <v>317</v>
      </c>
      <c r="O14" s="54">
        <v>6.5</v>
      </c>
      <c r="P14" s="24"/>
      <c r="Q14" s="24"/>
      <c r="R14" s="24"/>
      <c r="S14" s="22" t="s">
        <v>40</v>
      </c>
      <c r="T14" s="22" t="s">
        <v>40</v>
      </c>
      <c r="U14" s="22" t="s">
        <v>40</v>
      </c>
      <c r="V14" s="22" t="s">
        <v>40</v>
      </c>
      <c r="W14" s="22" t="s">
        <v>40</v>
      </c>
      <c r="X14" s="22"/>
    </row>
    <row r="15" s="57" customFormat="1" ht="57" spans="1:24">
      <c r="A15" s="22">
        <v>13</v>
      </c>
      <c r="B15" s="22" t="s">
        <v>40</v>
      </c>
      <c r="C15" s="24"/>
      <c r="D15" s="87" t="s">
        <v>358</v>
      </c>
      <c r="E15" s="22" t="s">
        <v>359</v>
      </c>
      <c r="F15" s="22" t="s">
        <v>332</v>
      </c>
      <c r="G15" s="24"/>
      <c r="H15" s="24"/>
      <c r="I15" s="43" t="s">
        <v>360</v>
      </c>
      <c r="J15" s="48"/>
      <c r="K15" s="22" t="s">
        <v>361</v>
      </c>
      <c r="L15" s="45">
        <v>43034</v>
      </c>
      <c r="M15" s="45">
        <v>43084</v>
      </c>
      <c r="N15" s="46" t="s">
        <v>317</v>
      </c>
      <c r="O15" s="54">
        <v>5</v>
      </c>
      <c r="P15" s="24"/>
      <c r="Q15" s="24"/>
      <c r="R15" s="24"/>
      <c r="S15" s="22" t="s">
        <v>40</v>
      </c>
      <c r="T15" s="22" t="s">
        <v>40</v>
      </c>
      <c r="U15" s="22" t="s">
        <v>40</v>
      </c>
      <c r="V15" s="22" t="s">
        <v>40</v>
      </c>
      <c r="W15" s="22" t="s">
        <v>40</v>
      </c>
      <c r="X15" s="22"/>
    </row>
    <row r="16" s="57" customFormat="1" ht="114" spans="1:25">
      <c r="A16" s="22">
        <v>1</v>
      </c>
      <c r="B16" s="22" t="s">
        <v>40</v>
      </c>
      <c r="C16" s="24"/>
      <c r="D16" s="87" t="s">
        <v>362</v>
      </c>
      <c r="E16" s="22" t="s">
        <v>363</v>
      </c>
      <c r="F16" s="22" t="s">
        <v>324</v>
      </c>
      <c r="G16" s="24"/>
      <c r="H16" s="24"/>
      <c r="I16" s="43" t="s">
        <v>364</v>
      </c>
      <c r="J16" s="48"/>
      <c r="K16" s="22" t="s">
        <v>365</v>
      </c>
      <c r="L16" s="45">
        <v>43088</v>
      </c>
      <c r="M16" s="45">
        <v>43124</v>
      </c>
      <c r="N16" s="46" t="s">
        <v>317</v>
      </c>
      <c r="O16" s="54">
        <v>3</v>
      </c>
      <c r="P16" s="44">
        <v>43131</v>
      </c>
      <c r="Q16" s="50"/>
      <c r="R16" s="22" t="s">
        <v>366</v>
      </c>
      <c r="S16" s="22" t="s">
        <v>40</v>
      </c>
      <c r="T16" s="22" t="s">
        <v>40</v>
      </c>
      <c r="U16" s="22" t="s">
        <v>40</v>
      </c>
      <c r="V16" s="22" t="s">
        <v>40</v>
      </c>
      <c r="W16" s="22" t="s">
        <v>40</v>
      </c>
      <c r="X16" s="44"/>
      <c r="Y16" s="95"/>
    </row>
    <row r="17" s="57" customFormat="1" ht="99.75" spans="1:25">
      <c r="A17" s="22">
        <v>2</v>
      </c>
      <c r="B17" s="22" t="s">
        <v>40</v>
      </c>
      <c r="C17" s="24"/>
      <c r="D17" s="87"/>
      <c r="E17" s="22" t="s">
        <v>367</v>
      </c>
      <c r="F17" s="22" t="s">
        <v>332</v>
      </c>
      <c r="G17" s="24"/>
      <c r="H17" s="24"/>
      <c r="I17" s="43" t="s">
        <v>368</v>
      </c>
      <c r="J17" s="48"/>
      <c r="K17" s="22" t="s">
        <v>369</v>
      </c>
      <c r="L17" s="45">
        <v>43088</v>
      </c>
      <c r="M17" s="45">
        <v>43124</v>
      </c>
      <c r="N17" s="46" t="s">
        <v>317</v>
      </c>
      <c r="O17" s="54">
        <v>3</v>
      </c>
      <c r="P17" s="44">
        <v>43131</v>
      </c>
      <c r="Q17" s="50"/>
      <c r="R17" s="22" t="s">
        <v>366</v>
      </c>
      <c r="S17" s="22" t="s">
        <v>40</v>
      </c>
      <c r="T17" s="22" t="s">
        <v>40</v>
      </c>
      <c r="U17" s="22" t="s">
        <v>40</v>
      </c>
      <c r="V17" s="22" t="s">
        <v>40</v>
      </c>
      <c r="W17" s="22" t="s">
        <v>40</v>
      </c>
      <c r="X17" s="44"/>
      <c r="Y17" s="95"/>
    </row>
    <row r="18" s="57" customFormat="1" ht="142.5" spans="1:25">
      <c r="A18" s="22">
        <v>3</v>
      </c>
      <c r="B18" s="22" t="s">
        <v>40</v>
      </c>
      <c r="C18" s="24"/>
      <c r="D18" s="87"/>
      <c r="E18" s="22" t="s">
        <v>370</v>
      </c>
      <c r="F18" s="22" t="s">
        <v>341</v>
      </c>
      <c r="G18" s="24"/>
      <c r="H18" s="24"/>
      <c r="I18" s="43" t="s">
        <v>371</v>
      </c>
      <c r="J18" s="48"/>
      <c r="K18" s="22" t="s">
        <v>372</v>
      </c>
      <c r="L18" s="45">
        <v>43088</v>
      </c>
      <c r="M18" s="45">
        <v>43124</v>
      </c>
      <c r="N18" s="46" t="s">
        <v>317</v>
      </c>
      <c r="O18" s="54">
        <v>1</v>
      </c>
      <c r="P18" s="44">
        <v>43131</v>
      </c>
      <c r="Q18" s="50"/>
      <c r="R18" s="22" t="s">
        <v>366</v>
      </c>
      <c r="S18" s="22" t="s">
        <v>40</v>
      </c>
      <c r="T18" s="22" t="s">
        <v>40</v>
      </c>
      <c r="U18" s="22" t="s">
        <v>40</v>
      </c>
      <c r="V18" s="22" t="s">
        <v>40</v>
      </c>
      <c r="W18" s="22" t="s">
        <v>40</v>
      </c>
      <c r="X18" s="44" t="s">
        <v>373</v>
      </c>
      <c r="Y18" s="95"/>
    </row>
    <row r="19" s="57" customFormat="1" ht="114" spans="1:25">
      <c r="A19" s="22">
        <v>4</v>
      </c>
      <c r="B19" s="22" t="s">
        <v>40</v>
      </c>
      <c r="C19" s="24"/>
      <c r="D19" s="28" t="s">
        <v>374</v>
      </c>
      <c r="E19" s="22" t="s">
        <v>375</v>
      </c>
      <c r="F19" s="22" t="s">
        <v>324</v>
      </c>
      <c r="G19" s="24"/>
      <c r="H19" s="24"/>
      <c r="I19" s="43" t="s">
        <v>376</v>
      </c>
      <c r="J19" s="48"/>
      <c r="K19" s="22" t="s">
        <v>377</v>
      </c>
      <c r="L19" s="45">
        <v>43095</v>
      </c>
      <c r="M19" s="45">
        <v>43118</v>
      </c>
      <c r="N19" s="46" t="s">
        <v>317</v>
      </c>
      <c r="O19" s="54">
        <v>3</v>
      </c>
      <c r="P19" s="44">
        <v>43129</v>
      </c>
      <c r="Q19" s="50"/>
      <c r="R19" s="22" t="s">
        <v>366</v>
      </c>
      <c r="S19" s="22" t="s">
        <v>40</v>
      </c>
      <c r="T19" s="22" t="s">
        <v>40</v>
      </c>
      <c r="U19" s="22" t="s">
        <v>40</v>
      </c>
      <c r="V19" s="22" t="s">
        <v>40</v>
      </c>
      <c r="W19" s="22" t="s">
        <v>40</v>
      </c>
      <c r="X19" s="44"/>
      <c r="Y19" s="95"/>
    </row>
    <row r="20" s="57" customFormat="1" ht="71.25" spans="1:25">
      <c r="A20" s="22">
        <v>5</v>
      </c>
      <c r="B20" s="22" t="s">
        <v>40</v>
      </c>
      <c r="C20" s="24"/>
      <c r="D20" s="28"/>
      <c r="E20" s="22" t="s">
        <v>378</v>
      </c>
      <c r="F20" s="22" t="s">
        <v>341</v>
      </c>
      <c r="G20" s="24"/>
      <c r="H20" s="24"/>
      <c r="I20" s="43" t="s">
        <v>379</v>
      </c>
      <c r="J20" s="48"/>
      <c r="K20" s="22" t="s">
        <v>380</v>
      </c>
      <c r="L20" s="45">
        <v>43095</v>
      </c>
      <c r="M20" s="45">
        <v>43118</v>
      </c>
      <c r="N20" s="46" t="s">
        <v>317</v>
      </c>
      <c r="O20" s="54">
        <v>1</v>
      </c>
      <c r="P20" s="44">
        <v>43129</v>
      </c>
      <c r="Q20" s="50"/>
      <c r="R20" s="22" t="s">
        <v>366</v>
      </c>
      <c r="S20" s="22" t="s">
        <v>40</v>
      </c>
      <c r="T20" s="22" t="s">
        <v>40</v>
      </c>
      <c r="U20" s="22" t="s">
        <v>40</v>
      </c>
      <c r="V20" s="22" t="s">
        <v>40</v>
      </c>
      <c r="W20" s="22" t="s">
        <v>40</v>
      </c>
      <c r="X20" s="44"/>
      <c r="Y20" s="95"/>
    </row>
    <row r="21" s="57" customFormat="1" ht="99.75" spans="1:25">
      <c r="A21" s="22">
        <v>6</v>
      </c>
      <c r="B21" s="22" t="s">
        <v>40</v>
      </c>
      <c r="C21" s="24"/>
      <c r="D21" s="28"/>
      <c r="E21" s="22" t="s">
        <v>381</v>
      </c>
      <c r="F21" s="22" t="s">
        <v>328</v>
      </c>
      <c r="G21" s="24"/>
      <c r="H21" s="24"/>
      <c r="I21" s="43" t="s">
        <v>382</v>
      </c>
      <c r="J21" s="48"/>
      <c r="K21" s="22" t="s">
        <v>383</v>
      </c>
      <c r="L21" s="45">
        <v>43095</v>
      </c>
      <c r="M21" s="45">
        <v>43118</v>
      </c>
      <c r="N21" s="46" t="s">
        <v>317</v>
      </c>
      <c r="O21" s="54">
        <v>3</v>
      </c>
      <c r="P21" s="44">
        <v>43129</v>
      </c>
      <c r="Q21" s="50"/>
      <c r="R21" s="22" t="s">
        <v>366</v>
      </c>
      <c r="S21" s="22" t="s">
        <v>40</v>
      </c>
      <c r="T21" s="22" t="s">
        <v>40</v>
      </c>
      <c r="U21" s="22" t="s">
        <v>40</v>
      </c>
      <c r="V21" s="22" t="s">
        <v>40</v>
      </c>
      <c r="W21" s="22" t="s">
        <v>40</v>
      </c>
      <c r="X21" s="44"/>
      <c r="Y21" s="95"/>
    </row>
    <row r="22" s="57" customFormat="1" ht="71.25" spans="1:25">
      <c r="A22" s="22">
        <v>7</v>
      </c>
      <c r="B22" s="22" t="s">
        <v>40</v>
      </c>
      <c r="C22" s="22" t="s">
        <v>384</v>
      </c>
      <c r="D22" s="28" t="s">
        <v>385</v>
      </c>
      <c r="E22" s="22" t="s">
        <v>386</v>
      </c>
      <c r="F22" s="22" t="s">
        <v>324</v>
      </c>
      <c r="G22" s="128" t="s">
        <v>387</v>
      </c>
      <c r="H22" s="22" t="s">
        <v>388</v>
      </c>
      <c r="I22" s="43" t="s">
        <v>389</v>
      </c>
      <c r="J22" s="43" t="s">
        <v>390</v>
      </c>
      <c r="K22" s="22" t="s">
        <v>391</v>
      </c>
      <c r="L22" s="45">
        <v>43132</v>
      </c>
      <c r="M22" s="45">
        <v>43175</v>
      </c>
      <c r="N22" s="46" t="s">
        <v>317</v>
      </c>
      <c r="O22" s="54">
        <v>1</v>
      </c>
      <c r="P22" s="44">
        <v>43182</v>
      </c>
      <c r="Q22" s="50"/>
      <c r="R22" s="22" t="s">
        <v>392</v>
      </c>
      <c r="S22" s="24"/>
      <c r="T22" s="22" t="s">
        <v>40</v>
      </c>
      <c r="U22" s="22" t="s">
        <v>393</v>
      </c>
      <c r="V22" s="22" t="s">
        <v>40</v>
      </c>
      <c r="W22" s="22" t="s">
        <v>40</v>
      </c>
      <c r="X22" s="44"/>
      <c r="Y22" s="95"/>
    </row>
    <row r="23" s="57" customFormat="1" ht="57" spans="1:25">
      <c r="A23" s="22">
        <v>8</v>
      </c>
      <c r="B23" s="22" t="s">
        <v>40</v>
      </c>
      <c r="C23" s="22" t="s">
        <v>394</v>
      </c>
      <c r="D23" s="28"/>
      <c r="E23" s="21" t="s">
        <v>395</v>
      </c>
      <c r="F23" s="22" t="s">
        <v>341</v>
      </c>
      <c r="G23" s="128" t="s">
        <v>396</v>
      </c>
      <c r="H23" s="22" t="s">
        <v>397</v>
      </c>
      <c r="I23" s="43" t="s">
        <v>398</v>
      </c>
      <c r="J23" s="43" t="s">
        <v>399</v>
      </c>
      <c r="K23" s="22" t="s">
        <v>400</v>
      </c>
      <c r="L23" s="45">
        <v>43132</v>
      </c>
      <c r="M23" s="45">
        <v>43167</v>
      </c>
      <c r="N23" s="46" t="s">
        <v>317</v>
      </c>
      <c r="O23" s="54">
        <v>1</v>
      </c>
      <c r="P23" s="44">
        <v>43182</v>
      </c>
      <c r="Q23" s="50"/>
      <c r="R23" s="22" t="s">
        <v>392</v>
      </c>
      <c r="S23" s="24"/>
      <c r="T23" s="22" t="s">
        <v>40</v>
      </c>
      <c r="U23" s="22" t="s">
        <v>393</v>
      </c>
      <c r="V23" s="22" t="s">
        <v>40</v>
      </c>
      <c r="W23" s="22" t="s">
        <v>40</v>
      </c>
      <c r="X23" s="44"/>
      <c r="Y23" s="95"/>
    </row>
    <row r="24" s="57" customFormat="1" ht="99.75" spans="1:25">
      <c r="A24" s="22">
        <v>9</v>
      </c>
      <c r="B24" s="22" t="s">
        <v>40</v>
      </c>
      <c r="C24" s="22" t="s">
        <v>401</v>
      </c>
      <c r="D24" s="28"/>
      <c r="E24" s="22" t="s">
        <v>402</v>
      </c>
      <c r="F24" s="22" t="s">
        <v>332</v>
      </c>
      <c r="G24" s="128" t="s">
        <v>403</v>
      </c>
      <c r="H24" s="22" t="s">
        <v>404</v>
      </c>
      <c r="I24" s="43" t="s">
        <v>405</v>
      </c>
      <c r="J24" s="43" t="s">
        <v>406</v>
      </c>
      <c r="K24" s="22" t="s">
        <v>407</v>
      </c>
      <c r="L24" s="45">
        <v>43132</v>
      </c>
      <c r="M24" s="45">
        <v>43167</v>
      </c>
      <c r="N24" s="46" t="s">
        <v>317</v>
      </c>
      <c r="O24" s="54">
        <v>1</v>
      </c>
      <c r="P24" s="44">
        <v>43182</v>
      </c>
      <c r="Q24" s="50"/>
      <c r="R24" s="22" t="s">
        <v>392</v>
      </c>
      <c r="S24" s="24"/>
      <c r="T24" s="22" t="s">
        <v>40</v>
      </c>
      <c r="U24" s="22" t="s">
        <v>393</v>
      </c>
      <c r="V24" s="22" t="s">
        <v>40</v>
      </c>
      <c r="W24" s="22" t="s">
        <v>40</v>
      </c>
      <c r="X24" s="44"/>
      <c r="Y24" s="95"/>
    </row>
    <row r="25" s="57" customFormat="1" ht="85.5" spans="1:25">
      <c r="A25" s="22">
        <v>10</v>
      </c>
      <c r="B25" s="22" t="s">
        <v>40</v>
      </c>
      <c r="C25" s="22" t="s">
        <v>408</v>
      </c>
      <c r="D25" s="87" t="s">
        <v>409</v>
      </c>
      <c r="E25" s="22" t="s">
        <v>410</v>
      </c>
      <c r="F25" s="22" t="s">
        <v>332</v>
      </c>
      <c r="G25" s="128" t="s">
        <v>411</v>
      </c>
      <c r="H25" s="22" t="s">
        <v>412</v>
      </c>
      <c r="I25" s="43" t="s">
        <v>413</v>
      </c>
      <c r="J25" s="43" t="s">
        <v>414</v>
      </c>
      <c r="K25" s="22" t="s">
        <v>415</v>
      </c>
      <c r="L25" s="45">
        <v>43179</v>
      </c>
      <c r="M25" s="45">
        <v>43202</v>
      </c>
      <c r="N25" s="46" t="s">
        <v>317</v>
      </c>
      <c r="O25" s="54">
        <v>5</v>
      </c>
      <c r="P25" s="44">
        <v>43214</v>
      </c>
      <c r="Q25" s="50"/>
      <c r="R25" s="22" t="s">
        <v>392</v>
      </c>
      <c r="S25" s="24"/>
      <c r="T25" s="22" t="s">
        <v>40</v>
      </c>
      <c r="U25" s="22" t="s">
        <v>393</v>
      </c>
      <c r="V25" s="22" t="s">
        <v>40</v>
      </c>
      <c r="W25" s="22" t="s">
        <v>40</v>
      </c>
      <c r="X25" s="44" t="s">
        <v>416</v>
      </c>
      <c r="Y25" s="95"/>
    </row>
    <row r="26" s="57" customFormat="1" ht="99.75" spans="1:25">
      <c r="A26" s="22">
        <v>11</v>
      </c>
      <c r="B26" s="22" t="s">
        <v>40</v>
      </c>
      <c r="C26" s="22" t="s">
        <v>417</v>
      </c>
      <c r="D26" s="28" t="s">
        <v>418</v>
      </c>
      <c r="E26" s="22" t="s">
        <v>402</v>
      </c>
      <c r="F26" s="22" t="s">
        <v>332</v>
      </c>
      <c r="G26" s="128" t="s">
        <v>403</v>
      </c>
      <c r="H26" s="22" t="s">
        <v>419</v>
      </c>
      <c r="I26" s="43" t="s">
        <v>420</v>
      </c>
      <c r="J26" s="43" t="s">
        <v>421</v>
      </c>
      <c r="K26" s="22" t="s">
        <v>422</v>
      </c>
      <c r="L26" s="45">
        <v>43273</v>
      </c>
      <c r="M26" s="45">
        <v>43293</v>
      </c>
      <c r="N26" s="46" t="s">
        <v>317</v>
      </c>
      <c r="O26" s="54">
        <v>3</v>
      </c>
      <c r="P26" s="44">
        <v>43314</v>
      </c>
      <c r="Q26" s="50"/>
      <c r="R26" s="22" t="s">
        <v>392</v>
      </c>
      <c r="S26" s="24"/>
      <c r="T26" s="22" t="s">
        <v>40</v>
      </c>
      <c r="U26" s="22" t="s">
        <v>393</v>
      </c>
      <c r="V26" s="22" t="s">
        <v>40</v>
      </c>
      <c r="W26" s="22" t="s">
        <v>40</v>
      </c>
      <c r="X26" s="44"/>
      <c r="Y26" s="95"/>
    </row>
    <row r="27" s="57" customFormat="1" ht="99.75" spans="1:25">
      <c r="A27" s="22">
        <v>12</v>
      </c>
      <c r="B27" s="22" t="s">
        <v>40</v>
      </c>
      <c r="C27" s="22" t="s">
        <v>423</v>
      </c>
      <c r="D27" s="28"/>
      <c r="E27" s="22" t="s">
        <v>424</v>
      </c>
      <c r="F27" s="22" t="s">
        <v>425</v>
      </c>
      <c r="G27" s="128" t="s">
        <v>426</v>
      </c>
      <c r="H27" s="22" t="s">
        <v>427</v>
      </c>
      <c r="I27" s="43" t="s">
        <v>420</v>
      </c>
      <c r="J27" s="43" t="s">
        <v>428</v>
      </c>
      <c r="K27" s="22" t="s">
        <v>429</v>
      </c>
      <c r="L27" s="45">
        <v>43273</v>
      </c>
      <c r="M27" s="45">
        <v>43293</v>
      </c>
      <c r="N27" s="46" t="s">
        <v>317</v>
      </c>
      <c r="O27" s="54">
        <v>0.5</v>
      </c>
      <c r="P27" s="44">
        <v>43314</v>
      </c>
      <c r="Q27" s="50"/>
      <c r="R27" s="22" t="s">
        <v>392</v>
      </c>
      <c r="S27" s="24"/>
      <c r="T27" s="22" t="s">
        <v>40</v>
      </c>
      <c r="U27" s="22" t="s">
        <v>393</v>
      </c>
      <c r="V27" s="22" t="s">
        <v>40</v>
      </c>
      <c r="W27" s="22" t="s">
        <v>40</v>
      </c>
      <c r="X27" s="44"/>
      <c r="Y27" s="95"/>
    </row>
    <row r="28" s="57" customFormat="1" ht="99.75" spans="1:25">
      <c r="A28" s="22">
        <v>13</v>
      </c>
      <c r="B28" s="22" t="s">
        <v>40</v>
      </c>
      <c r="C28" s="22" t="s">
        <v>430</v>
      </c>
      <c r="D28" s="28"/>
      <c r="E28" s="22" t="s">
        <v>431</v>
      </c>
      <c r="F28" s="22" t="s">
        <v>432</v>
      </c>
      <c r="G28" s="128" t="s">
        <v>433</v>
      </c>
      <c r="H28" s="22" t="s">
        <v>434</v>
      </c>
      <c r="I28" s="43" t="s">
        <v>420</v>
      </c>
      <c r="J28" s="43" t="s">
        <v>435</v>
      </c>
      <c r="K28" s="22" t="s">
        <v>436</v>
      </c>
      <c r="L28" s="45">
        <v>43273</v>
      </c>
      <c r="M28" s="45">
        <v>43293</v>
      </c>
      <c r="N28" s="46" t="s">
        <v>317</v>
      </c>
      <c r="O28" s="54">
        <v>0.5</v>
      </c>
      <c r="P28" s="44">
        <v>43314</v>
      </c>
      <c r="Q28" s="50"/>
      <c r="R28" s="22" t="s">
        <v>392</v>
      </c>
      <c r="S28" s="24"/>
      <c r="T28" s="22" t="s">
        <v>40</v>
      </c>
      <c r="U28" s="22" t="s">
        <v>393</v>
      </c>
      <c r="V28" s="22" t="s">
        <v>40</v>
      </c>
      <c r="W28" s="22" t="s">
        <v>40</v>
      </c>
      <c r="X28" s="44"/>
      <c r="Y28" s="95"/>
    </row>
    <row r="29" s="57" customFormat="1" ht="128.25" spans="1:25">
      <c r="A29" s="22">
        <v>14</v>
      </c>
      <c r="B29" s="22" t="s">
        <v>40</v>
      </c>
      <c r="C29" s="22" t="s">
        <v>437</v>
      </c>
      <c r="D29" s="28" t="s">
        <v>438</v>
      </c>
      <c r="E29" s="22" t="s">
        <v>439</v>
      </c>
      <c r="F29" s="22" t="s">
        <v>332</v>
      </c>
      <c r="G29" s="128" t="s">
        <v>440</v>
      </c>
      <c r="H29" s="22" t="s">
        <v>441</v>
      </c>
      <c r="I29" s="43" t="s">
        <v>442</v>
      </c>
      <c r="J29" s="43" t="s">
        <v>443</v>
      </c>
      <c r="K29" s="22" t="s">
        <v>444</v>
      </c>
      <c r="L29" s="45">
        <v>43322</v>
      </c>
      <c r="M29" s="45">
        <v>43335</v>
      </c>
      <c r="N29" s="46" t="s">
        <v>317</v>
      </c>
      <c r="O29" s="54">
        <v>2.9999</v>
      </c>
      <c r="P29" s="44">
        <v>43360</v>
      </c>
      <c r="Q29" s="50"/>
      <c r="R29" s="22" t="s">
        <v>445</v>
      </c>
      <c r="S29" s="24"/>
      <c r="T29" s="22" t="s">
        <v>40</v>
      </c>
      <c r="U29" s="22" t="s">
        <v>393</v>
      </c>
      <c r="V29" s="22" t="s">
        <v>40</v>
      </c>
      <c r="W29" s="22" t="s">
        <v>40</v>
      </c>
      <c r="X29" s="44" t="s">
        <v>446</v>
      </c>
      <c r="Y29" s="95"/>
    </row>
    <row r="30" s="57" customFormat="1" ht="128.25" spans="1:25">
      <c r="A30" s="22">
        <v>15</v>
      </c>
      <c r="B30" s="22" t="s">
        <v>40</v>
      </c>
      <c r="C30" s="22" t="s">
        <v>447</v>
      </c>
      <c r="D30" s="28" t="s">
        <v>448</v>
      </c>
      <c r="E30" s="21" t="s">
        <v>348</v>
      </c>
      <c r="F30" s="22" t="s">
        <v>332</v>
      </c>
      <c r="G30" s="128" t="s">
        <v>208</v>
      </c>
      <c r="H30" s="22" t="s">
        <v>449</v>
      </c>
      <c r="I30" s="55" t="s">
        <v>450</v>
      </c>
      <c r="J30" s="43" t="s">
        <v>451</v>
      </c>
      <c r="K30" s="22" t="s">
        <v>452</v>
      </c>
      <c r="L30" s="45">
        <v>43335</v>
      </c>
      <c r="M30" s="45">
        <v>43355</v>
      </c>
      <c r="N30" s="46" t="s">
        <v>317</v>
      </c>
      <c r="O30" s="54">
        <v>1</v>
      </c>
      <c r="P30" s="44">
        <v>43373</v>
      </c>
      <c r="Q30" s="50"/>
      <c r="R30" s="22" t="s">
        <v>445</v>
      </c>
      <c r="S30" s="24"/>
      <c r="T30" s="22" t="s">
        <v>40</v>
      </c>
      <c r="U30" s="22" t="s">
        <v>393</v>
      </c>
      <c r="V30" s="22" t="s">
        <v>40</v>
      </c>
      <c r="W30" s="22" t="s">
        <v>40</v>
      </c>
      <c r="X30" s="44" t="s">
        <v>453</v>
      </c>
      <c r="Y30" s="95"/>
    </row>
    <row r="31" s="57" customFormat="1" ht="57" spans="1:25">
      <c r="A31" s="22">
        <v>16</v>
      </c>
      <c r="B31" s="22" t="s">
        <v>40</v>
      </c>
      <c r="C31" s="22" t="s">
        <v>454</v>
      </c>
      <c r="D31" s="87" t="s">
        <v>455</v>
      </c>
      <c r="E31" s="22" t="s">
        <v>456</v>
      </c>
      <c r="F31" s="22" t="s">
        <v>324</v>
      </c>
      <c r="G31" s="128" t="s">
        <v>457</v>
      </c>
      <c r="H31" s="22" t="s">
        <v>388</v>
      </c>
      <c r="I31" s="43" t="s">
        <v>458</v>
      </c>
      <c r="J31" s="43" t="s">
        <v>459</v>
      </c>
      <c r="K31" s="44" t="s">
        <v>460</v>
      </c>
      <c r="L31" s="45">
        <v>43321</v>
      </c>
      <c r="M31" s="45">
        <v>43348</v>
      </c>
      <c r="N31" s="46" t="s">
        <v>317</v>
      </c>
      <c r="O31" s="54">
        <v>1</v>
      </c>
      <c r="P31" s="44">
        <v>43370</v>
      </c>
      <c r="Q31" s="50"/>
      <c r="R31" s="22" t="s">
        <v>392</v>
      </c>
      <c r="S31" s="24"/>
      <c r="T31" s="22" t="s">
        <v>40</v>
      </c>
      <c r="U31" s="22" t="s">
        <v>393</v>
      </c>
      <c r="V31" s="22" t="s">
        <v>40</v>
      </c>
      <c r="W31" s="22" t="s">
        <v>40</v>
      </c>
      <c r="X31" s="44"/>
      <c r="Y31" s="95"/>
    </row>
    <row r="32" s="57" customFormat="1" ht="57" spans="1:25">
      <c r="A32" s="22">
        <v>17</v>
      </c>
      <c r="B32" s="22" t="s">
        <v>40</v>
      </c>
      <c r="C32" s="22" t="s">
        <v>461</v>
      </c>
      <c r="D32" s="87"/>
      <c r="E32" s="21" t="s">
        <v>462</v>
      </c>
      <c r="F32" s="22" t="s">
        <v>324</v>
      </c>
      <c r="G32" s="128" t="s">
        <v>463</v>
      </c>
      <c r="H32" s="22" t="s">
        <v>388</v>
      </c>
      <c r="I32" s="43" t="s">
        <v>464</v>
      </c>
      <c r="J32" s="43" t="s">
        <v>465</v>
      </c>
      <c r="K32" s="44" t="s">
        <v>466</v>
      </c>
      <c r="L32" s="45">
        <v>43321</v>
      </c>
      <c r="M32" s="45">
        <v>43348</v>
      </c>
      <c r="N32" s="46" t="s">
        <v>317</v>
      </c>
      <c r="O32" s="54">
        <v>2</v>
      </c>
      <c r="P32" s="44">
        <v>43370</v>
      </c>
      <c r="Q32" s="50"/>
      <c r="R32" s="22" t="s">
        <v>392</v>
      </c>
      <c r="S32" s="24"/>
      <c r="T32" s="22" t="s">
        <v>40</v>
      </c>
      <c r="U32" s="22" t="s">
        <v>393</v>
      </c>
      <c r="V32" s="22" t="s">
        <v>40</v>
      </c>
      <c r="W32" s="22" t="s">
        <v>40</v>
      </c>
      <c r="X32" s="44" t="s">
        <v>416</v>
      </c>
      <c r="Y32" s="95"/>
    </row>
    <row r="33" s="57" customFormat="1" ht="71.25" spans="1:25">
      <c r="A33" s="22">
        <v>18</v>
      </c>
      <c r="B33" s="22" t="s">
        <v>40</v>
      </c>
      <c r="C33" s="22" t="s">
        <v>467</v>
      </c>
      <c r="D33" s="87"/>
      <c r="E33" s="21" t="s">
        <v>381</v>
      </c>
      <c r="F33" s="22" t="s">
        <v>328</v>
      </c>
      <c r="G33" s="128" t="s">
        <v>468</v>
      </c>
      <c r="H33" s="22" t="s">
        <v>469</v>
      </c>
      <c r="I33" s="43" t="s">
        <v>470</v>
      </c>
      <c r="J33" s="43" t="s">
        <v>471</v>
      </c>
      <c r="K33" s="44" t="s">
        <v>472</v>
      </c>
      <c r="L33" s="45">
        <v>43321</v>
      </c>
      <c r="M33" s="45">
        <v>43348</v>
      </c>
      <c r="N33" s="46" t="s">
        <v>317</v>
      </c>
      <c r="O33" s="54">
        <v>1</v>
      </c>
      <c r="P33" s="44">
        <v>43370</v>
      </c>
      <c r="Q33" s="50"/>
      <c r="R33" s="22" t="s">
        <v>392</v>
      </c>
      <c r="S33" s="24"/>
      <c r="T33" s="22" t="s">
        <v>40</v>
      </c>
      <c r="U33" s="22" t="s">
        <v>393</v>
      </c>
      <c r="V33" s="22" t="s">
        <v>40</v>
      </c>
      <c r="W33" s="22" t="s">
        <v>40</v>
      </c>
      <c r="X33" s="44"/>
      <c r="Y33" s="95"/>
    </row>
    <row r="34" s="57" customFormat="1" ht="57" spans="1:25">
      <c r="A34" s="22">
        <v>19</v>
      </c>
      <c r="B34" s="22" t="s">
        <v>40</v>
      </c>
      <c r="C34" s="22" t="s">
        <v>473</v>
      </c>
      <c r="D34" s="87"/>
      <c r="E34" s="21" t="s">
        <v>378</v>
      </c>
      <c r="F34" s="22" t="s">
        <v>341</v>
      </c>
      <c r="G34" s="128" t="s">
        <v>474</v>
      </c>
      <c r="H34" s="22" t="s">
        <v>397</v>
      </c>
      <c r="I34" s="43" t="s">
        <v>475</v>
      </c>
      <c r="J34" s="43" t="s">
        <v>476</v>
      </c>
      <c r="K34" s="44" t="s">
        <v>477</v>
      </c>
      <c r="L34" s="45">
        <v>43321</v>
      </c>
      <c r="M34" s="45">
        <v>43348</v>
      </c>
      <c r="N34" s="46" t="s">
        <v>317</v>
      </c>
      <c r="O34" s="54">
        <v>1</v>
      </c>
      <c r="P34" s="44">
        <v>43370</v>
      </c>
      <c r="Q34" s="50"/>
      <c r="R34" s="22" t="s">
        <v>392</v>
      </c>
      <c r="S34" s="24"/>
      <c r="T34" s="22" t="s">
        <v>40</v>
      </c>
      <c r="U34" s="22" t="s">
        <v>393</v>
      </c>
      <c r="V34" s="22" t="s">
        <v>40</v>
      </c>
      <c r="W34" s="22" t="s">
        <v>40</v>
      </c>
      <c r="X34" s="44" t="s">
        <v>478</v>
      </c>
      <c r="Y34" s="95"/>
    </row>
    <row r="35" s="57" customFormat="1" ht="71.25" spans="1:25">
      <c r="A35" s="22">
        <v>20</v>
      </c>
      <c r="B35" s="22" t="s">
        <v>40</v>
      </c>
      <c r="C35" s="22" t="s">
        <v>479</v>
      </c>
      <c r="D35" s="28" t="s">
        <v>480</v>
      </c>
      <c r="E35" s="22" t="s">
        <v>481</v>
      </c>
      <c r="F35" s="22" t="s">
        <v>332</v>
      </c>
      <c r="G35" s="128" t="s">
        <v>482</v>
      </c>
      <c r="H35" s="22" t="s">
        <v>483</v>
      </c>
      <c r="I35" s="55" t="s">
        <v>484</v>
      </c>
      <c r="J35" s="43" t="s">
        <v>485</v>
      </c>
      <c r="K35" s="44" t="s">
        <v>486</v>
      </c>
      <c r="L35" s="45">
        <v>43273</v>
      </c>
      <c r="M35" s="45">
        <v>43304</v>
      </c>
      <c r="N35" s="46" t="s">
        <v>317</v>
      </c>
      <c r="O35" s="54">
        <v>10</v>
      </c>
      <c r="P35" s="44">
        <v>43306</v>
      </c>
      <c r="Q35" s="50"/>
      <c r="R35" s="22" t="s">
        <v>487</v>
      </c>
      <c r="S35" s="24"/>
      <c r="T35" s="22" t="s">
        <v>40</v>
      </c>
      <c r="U35" s="22" t="s">
        <v>393</v>
      </c>
      <c r="V35" s="22" t="s">
        <v>40</v>
      </c>
      <c r="W35" s="22" t="s">
        <v>40</v>
      </c>
      <c r="X35" s="44"/>
      <c r="Y35" s="95"/>
    </row>
    <row r="36" s="57" customFormat="1" ht="71.25" spans="1:25">
      <c r="A36" s="22">
        <v>21</v>
      </c>
      <c r="B36" s="22" t="s">
        <v>40</v>
      </c>
      <c r="C36" s="22" t="s">
        <v>454</v>
      </c>
      <c r="D36" s="28" t="s">
        <v>488</v>
      </c>
      <c r="E36" s="22" t="s">
        <v>456</v>
      </c>
      <c r="F36" s="22" t="s">
        <v>324</v>
      </c>
      <c r="G36" s="128" t="s">
        <v>457</v>
      </c>
      <c r="H36" s="22" t="s">
        <v>388</v>
      </c>
      <c r="I36" s="43" t="s">
        <v>489</v>
      </c>
      <c r="J36" s="43" t="s">
        <v>490</v>
      </c>
      <c r="K36" s="22" t="s">
        <v>491</v>
      </c>
      <c r="L36" s="45">
        <v>43311</v>
      </c>
      <c r="M36" s="45">
        <v>43332</v>
      </c>
      <c r="N36" s="46" t="s">
        <v>317</v>
      </c>
      <c r="O36" s="54">
        <v>2</v>
      </c>
      <c r="P36" s="44">
        <v>43360</v>
      </c>
      <c r="Q36" s="50"/>
      <c r="R36" s="22" t="s">
        <v>487</v>
      </c>
      <c r="S36" s="24"/>
      <c r="T36" s="22" t="s">
        <v>40</v>
      </c>
      <c r="U36" s="22" t="s">
        <v>393</v>
      </c>
      <c r="V36" s="22" t="s">
        <v>40</v>
      </c>
      <c r="W36" s="22" t="s">
        <v>40</v>
      </c>
      <c r="X36" s="44"/>
      <c r="Y36" s="95"/>
    </row>
    <row r="37" s="57" customFormat="1" ht="57" spans="1:25">
      <c r="A37" s="22">
        <v>22</v>
      </c>
      <c r="B37" s="22" t="s">
        <v>40</v>
      </c>
      <c r="C37" s="22" t="s">
        <v>492</v>
      </c>
      <c r="D37" s="28"/>
      <c r="E37" s="22" t="s">
        <v>378</v>
      </c>
      <c r="F37" s="22" t="s">
        <v>341</v>
      </c>
      <c r="G37" s="128" t="s">
        <v>474</v>
      </c>
      <c r="H37" s="22" t="s">
        <v>397</v>
      </c>
      <c r="I37" s="43" t="s">
        <v>493</v>
      </c>
      <c r="J37" s="43" t="s">
        <v>494</v>
      </c>
      <c r="K37" s="22" t="s">
        <v>495</v>
      </c>
      <c r="L37" s="45">
        <v>43311</v>
      </c>
      <c r="M37" s="45">
        <v>43332</v>
      </c>
      <c r="N37" s="46" t="s">
        <v>317</v>
      </c>
      <c r="O37" s="54">
        <v>1</v>
      </c>
      <c r="P37" s="44">
        <v>43360</v>
      </c>
      <c r="Q37" s="50"/>
      <c r="R37" s="22" t="s">
        <v>487</v>
      </c>
      <c r="S37" s="24"/>
      <c r="T37" s="22" t="s">
        <v>40</v>
      </c>
      <c r="U37" s="22" t="s">
        <v>393</v>
      </c>
      <c r="V37" s="22" t="s">
        <v>40</v>
      </c>
      <c r="W37" s="22" t="s">
        <v>40</v>
      </c>
      <c r="X37" s="44" t="s">
        <v>416</v>
      </c>
      <c r="Y37" s="95"/>
    </row>
    <row r="38" s="57" customFormat="1" ht="85.5" spans="1:25">
      <c r="A38" s="22">
        <v>23</v>
      </c>
      <c r="B38" s="22" t="s">
        <v>40</v>
      </c>
      <c r="C38" s="22" t="s">
        <v>467</v>
      </c>
      <c r="D38" s="28"/>
      <c r="E38" s="22" t="s">
        <v>381</v>
      </c>
      <c r="F38" s="22" t="s">
        <v>328</v>
      </c>
      <c r="G38" s="128" t="s">
        <v>468</v>
      </c>
      <c r="H38" s="22" t="s">
        <v>469</v>
      </c>
      <c r="I38" s="43" t="s">
        <v>496</v>
      </c>
      <c r="J38" s="43" t="s">
        <v>497</v>
      </c>
      <c r="K38" s="22" t="s">
        <v>498</v>
      </c>
      <c r="L38" s="45">
        <v>43313</v>
      </c>
      <c r="M38" s="45">
        <v>43332</v>
      </c>
      <c r="N38" s="46" t="s">
        <v>317</v>
      </c>
      <c r="O38" s="54">
        <v>1</v>
      </c>
      <c r="P38" s="44">
        <v>43360</v>
      </c>
      <c r="Q38" s="50"/>
      <c r="R38" s="22" t="s">
        <v>487</v>
      </c>
      <c r="S38" s="24"/>
      <c r="T38" s="22" t="s">
        <v>40</v>
      </c>
      <c r="U38" s="22" t="s">
        <v>393</v>
      </c>
      <c r="V38" s="22" t="s">
        <v>40</v>
      </c>
      <c r="W38" s="22" t="s">
        <v>40</v>
      </c>
      <c r="X38" s="44"/>
      <c r="Y38" s="95"/>
    </row>
    <row r="39" s="57" customFormat="1" ht="71.25" spans="1:25">
      <c r="A39" s="22">
        <v>24</v>
      </c>
      <c r="B39" s="22" t="s">
        <v>40</v>
      </c>
      <c r="C39" s="22" t="s">
        <v>499</v>
      </c>
      <c r="D39" s="28"/>
      <c r="E39" s="22" t="s">
        <v>500</v>
      </c>
      <c r="F39" s="22" t="s">
        <v>324</v>
      </c>
      <c r="G39" s="128" t="s">
        <v>501</v>
      </c>
      <c r="H39" s="22" t="s">
        <v>388</v>
      </c>
      <c r="I39" s="43" t="s">
        <v>502</v>
      </c>
      <c r="J39" s="43" t="s">
        <v>503</v>
      </c>
      <c r="K39" s="22" t="s">
        <v>504</v>
      </c>
      <c r="L39" s="45">
        <v>43313</v>
      </c>
      <c r="M39" s="45">
        <v>43332</v>
      </c>
      <c r="N39" s="46" t="s">
        <v>317</v>
      </c>
      <c r="O39" s="54">
        <v>3</v>
      </c>
      <c r="P39" s="44">
        <v>43360</v>
      </c>
      <c r="Q39" s="50"/>
      <c r="R39" s="22" t="s">
        <v>487</v>
      </c>
      <c r="S39" s="24"/>
      <c r="T39" s="22" t="s">
        <v>40</v>
      </c>
      <c r="U39" s="22" t="s">
        <v>393</v>
      </c>
      <c r="V39" s="22" t="s">
        <v>40</v>
      </c>
      <c r="W39" s="22" t="s">
        <v>40</v>
      </c>
      <c r="X39" s="44" t="s">
        <v>416</v>
      </c>
      <c r="Y39" s="95"/>
    </row>
    <row r="40" s="57" customFormat="1" ht="57" spans="1:25">
      <c r="A40" s="22">
        <v>25</v>
      </c>
      <c r="B40" s="22" t="s">
        <v>40</v>
      </c>
      <c r="C40" s="22" t="s">
        <v>505</v>
      </c>
      <c r="D40" s="87" t="s">
        <v>506</v>
      </c>
      <c r="E40" s="22" t="s">
        <v>507</v>
      </c>
      <c r="F40" s="22" t="s">
        <v>324</v>
      </c>
      <c r="G40" s="128" t="s">
        <v>508</v>
      </c>
      <c r="H40" s="22" t="s">
        <v>388</v>
      </c>
      <c r="I40" s="43" t="s">
        <v>509</v>
      </c>
      <c r="J40" s="43" t="s">
        <v>510</v>
      </c>
      <c r="K40" s="22" t="s">
        <v>511</v>
      </c>
      <c r="L40" s="45">
        <v>43368</v>
      </c>
      <c r="M40" s="45">
        <v>43399</v>
      </c>
      <c r="N40" s="46" t="s">
        <v>317</v>
      </c>
      <c r="O40" s="54">
        <v>1</v>
      </c>
      <c r="P40" s="44">
        <v>43419</v>
      </c>
      <c r="Q40" s="50"/>
      <c r="R40" s="22" t="s">
        <v>392</v>
      </c>
      <c r="S40" s="24"/>
      <c r="T40" s="22" t="s">
        <v>40</v>
      </c>
      <c r="U40" s="22" t="s">
        <v>393</v>
      </c>
      <c r="V40" s="22" t="s">
        <v>40</v>
      </c>
      <c r="W40" s="22" t="s">
        <v>40</v>
      </c>
      <c r="X40" s="44" t="s">
        <v>416</v>
      </c>
      <c r="Y40" s="95"/>
    </row>
    <row r="41" s="57" customFormat="1" ht="57" spans="1:25">
      <c r="A41" s="22">
        <v>26</v>
      </c>
      <c r="B41" s="22" t="s">
        <v>40</v>
      </c>
      <c r="C41" s="22" t="s">
        <v>512</v>
      </c>
      <c r="D41" s="87"/>
      <c r="E41" s="22" t="s">
        <v>513</v>
      </c>
      <c r="F41" s="22" t="s">
        <v>324</v>
      </c>
      <c r="G41" s="128" t="s">
        <v>514</v>
      </c>
      <c r="H41" s="22" t="s">
        <v>388</v>
      </c>
      <c r="I41" s="43" t="s">
        <v>515</v>
      </c>
      <c r="J41" s="43" t="s">
        <v>516</v>
      </c>
      <c r="K41" s="22" t="s">
        <v>517</v>
      </c>
      <c r="L41" s="45">
        <v>43368</v>
      </c>
      <c r="M41" s="45">
        <v>43399</v>
      </c>
      <c r="N41" s="46" t="s">
        <v>317</v>
      </c>
      <c r="O41" s="54">
        <v>3</v>
      </c>
      <c r="P41" s="44">
        <v>43419</v>
      </c>
      <c r="Q41" s="50"/>
      <c r="R41" s="22" t="s">
        <v>392</v>
      </c>
      <c r="S41" s="24"/>
      <c r="T41" s="22" t="s">
        <v>40</v>
      </c>
      <c r="U41" s="22" t="s">
        <v>393</v>
      </c>
      <c r="V41" s="22" t="s">
        <v>40</v>
      </c>
      <c r="W41" s="22" t="s">
        <v>40</v>
      </c>
      <c r="X41" s="44" t="s">
        <v>416</v>
      </c>
      <c r="Y41" s="95"/>
    </row>
    <row r="42" s="57" customFormat="1" ht="57" spans="1:25">
      <c r="A42" s="22">
        <v>27</v>
      </c>
      <c r="B42" s="22" t="s">
        <v>40</v>
      </c>
      <c r="C42" s="22" t="s">
        <v>473</v>
      </c>
      <c r="D42" s="87"/>
      <c r="E42" s="22" t="s">
        <v>378</v>
      </c>
      <c r="F42" s="22" t="s">
        <v>341</v>
      </c>
      <c r="G42" s="128" t="s">
        <v>474</v>
      </c>
      <c r="H42" s="22" t="s">
        <v>397</v>
      </c>
      <c r="I42" s="43" t="s">
        <v>518</v>
      </c>
      <c r="J42" s="43" t="s">
        <v>519</v>
      </c>
      <c r="K42" s="22" t="s">
        <v>520</v>
      </c>
      <c r="L42" s="45">
        <v>43368</v>
      </c>
      <c r="M42" s="45">
        <v>43399</v>
      </c>
      <c r="N42" s="46" t="s">
        <v>317</v>
      </c>
      <c r="O42" s="54">
        <v>1</v>
      </c>
      <c r="P42" s="44">
        <v>43419</v>
      </c>
      <c r="Q42" s="50"/>
      <c r="R42" s="22" t="s">
        <v>392</v>
      </c>
      <c r="S42" s="24"/>
      <c r="T42" s="22" t="s">
        <v>40</v>
      </c>
      <c r="U42" s="22" t="s">
        <v>393</v>
      </c>
      <c r="V42" s="22" t="s">
        <v>40</v>
      </c>
      <c r="W42" s="22" t="s">
        <v>40</v>
      </c>
      <c r="X42" s="44" t="s">
        <v>416</v>
      </c>
      <c r="Y42" s="95"/>
    </row>
    <row r="43" s="57" customFormat="1" ht="71.25" spans="1:25">
      <c r="A43" s="22">
        <v>28</v>
      </c>
      <c r="B43" s="22" t="s">
        <v>40</v>
      </c>
      <c r="C43" s="22" t="s">
        <v>521</v>
      </c>
      <c r="D43" s="87"/>
      <c r="E43" s="22" t="s">
        <v>522</v>
      </c>
      <c r="F43" s="22" t="s">
        <v>328</v>
      </c>
      <c r="G43" s="128" t="s">
        <v>523</v>
      </c>
      <c r="H43" s="22" t="s">
        <v>469</v>
      </c>
      <c r="I43" s="43" t="s">
        <v>524</v>
      </c>
      <c r="J43" s="43" t="s">
        <v>525</v>
      </c>
      <c r="K43" s="22" t="s">
        <v>526</v>
      </c>
      <c r="L43" s="45">
        <v>43368</v>
      </c>
      <c r="M43" s="45">
        <v>43399</v>
      </c>
      <c r="N43" s="46" t="s">
        <v>317</v>
      </c>
      <c r="O43" s="54">
        <v>2</v>
      </c>
      <c r="P43" s="44">
        <v>43419</v>
      </c>
      <c r="Q43" s="50"/>
      <c r="R43" s="22" t="s">
        <v>392</v>
      </c>
      <c r="S43" s="24"/>
      <c r="T43" s="22" t="s">
        <v>40</v>
      </c>
      <c r="U43" s="22" t="s">
        <v>393</v>
      </c>
      <c r="V43" s="22" t="s">
        <v>40</v>
      </c>
      <c r="W43" s="22" t="s">
        <v>40</v>
      </c>
      <c r="X43" s="44" t="s">
        <v>416</v>
      </c>
      <c r="Y43" s="95"/>
    </row>
    <row r="44" s="57" customFormat="1" ht="57" spans="1:25">
      <c r="A44" s="22">
        <v>29</v>
      </c>
      <c r="B44" s="22" t="s">
        <v>40</v>
      </c>
      <c r="C44" s="22" t="s">
        <v>527</v>
      </c>
      <c r="D44" s="87"/>
      <c r="E44" s="22" t="s">
        <v>528</v>
      </c>
      <c r="F44" s="22" t="s">
        <v>332</v>
      </c>
      <c r="G44" s="128" t="s">
        <v>529</v>
      </c>
      <c r="H44" s="22" t="s">
        <v>530</v>
      </c>
      <c r="I44" s="43" t="s">
        <v>531</v>
      </c>
      <c r="J44" s="43" t="s">
        <v>532</v>
      </c>
      <c r="K44" s="22" t="s">
        <v>533</v>
      </c>
      <c r="L44" s="45">
        <v>43368</v>
      </c>
      <c r="M44" s="45">
        <v>43399</v>
      </c>
      <c r="N44" s="46" t="s">
        <v>317</v>
      </c>
      <c r="O44" s="54">
        <v>3</v>
      </c>
      <c r="P44" s="44">
        <v>43419</v>
      </c>
      <c r="Q44" s="50"/>
      <c r="R44" s="22" t="s">
        <v>392</v>
      </c>
      <c r="S44" s="24"/>
      <c r="T44" s="22" t="s">
        <v>40</v>
      </c>
      <c r="U44" s="22" t="s">
        <v>393</v>
      </c>
      <c r="V44" s="22" t="s">
        <v>40</v>
      </c>
      <c r="W44" s="22" t="s">
        <v>40</v>
      </c>
      <c r="X44" s="44" t="s">
        <v>416</v>
      </c>
      <c r="Y44" s="95"/>
    </row>
    <row r="45" s="84" customFormat="1" ht="57" spans="1:40">
      <c r="A45" s="18">
        <v>1</v>
      </c>
      <c r="B45" s="22" t="s">
        <v>40</v>
      </c>
      <c r="C45" s="21" t="s">
        <v>534</v>
      </c>
      <c r="D45" s="28" t="s">
        <v>455</v>
      </c>
      <c r="E45" s="21" t="s">
        <v>456</v>
      </c>
      <c r="F45" s="18" t="s">
        <v>332</v>
      </c>
      <c r="G45" s="128" t="s">
        <v>457</v>
      </c>
      <c r="H45" s="22" t="s">
        <v>535</v>
      </c>
      <c r="I45" s="92" t="s">
        <v>536</v>
      </c>
      <c r="J45" s="43" t="s">
        <v>537</v>
      </c>
      <c r="K45" s="22" t="s">
        <v>538</v>
      </c>
      <c r="L45" s="93">
        <v>43466</v>
      </c>
      <c r="M45" s="93">
        <v>43490</v>
      </c>
      <c r="N45" s="46" t="s">
        <v>317</v>
      </c>
      <c r="O45" s="47">
        <v>1</v>
      </c>
      <c r="P45" s="94">
        <v>43510</v>
      </c>
      <c r="Q45" s="94" t="s">
        <v>539</v>
      </c>
      <c r="R45" s="22" t="s">
        <v>487</v>
      </c>
      <c r="S45" s="18" t="s">
        <v>540</v>
      </c>
      <c r="T45" s="22" t="s">
        <v>40</v>
      </c>
      <c r="U45" s="22" t="s">
        <v>393</v>
      </c>
      <c r="V45" s="22" t="s">
        <v>40</v>
      </c>
      <c r="W45" s="22" t="s">
        <v>40</v>
      </c>
      <c r="X45" s="94" t="s">
        <v>541</v>
      </c>
      <c r="Y45" s="32"/>
      <c r="AN45" s="80"/>
    </row>
    <row r="46" s="84" customFormat="1" ht="71.25" spans="1:40">
      <c r="A46" s="18">
        <v>2</v>
      </c>
      <c r="B46" s="22" t="s">
        <v>40</v>
      </c>
      <c r="C46" s="18" t="s">
        <v>542</v>
      </c>
      <c r="D46" s="28" t="s">
        <v>543</v>
      </c>
      <c r="E46" s="18" t="s">
        <v>544</v>
      </c>
      <c r="F46" s="18" t="s">
        <v>328</v>
      </c>
      <c r="G46" s="128" t="s">
        <v>545</v>
      </c>
      <c r="H46" s="22" t="s">
        <v>546</v>
      </c>
      <c r="I46" s="92" t="s">
        <v>547</v>
      </c>
      <c r="J46" s="43" t="s">
        <v>548</v>
      </c>
      <c r="K46" s="22" t="s">
        <v>549</v>
      </c>
      <c r="L46" s="93">
        <v>43553</v>
      </c>
      <c r="M46" s="93">
        <v>43563</v>
      </c>
      <c r="N46" s="46" t="s">
        <v>550</v>
      </c>
      <c r="O46" s="47">
        <v>1</v>
      </c>
      <c r="P46" s="94">
        <v>43614</v>
      </c>
      <c r="Q46" s="94" t="s">
        <v>551</v>
      </c>
      <c r="R46" s="22" t="s">
        <v>487</v>
      </c>
      <c r="S46" s="18" t="s">
        <v>552</v>
      </c>
      <c r="T46" s="22" t="s">
        <v>40</v>
      </c>
      <c r="U46" s="22" t="s">
        <v>393</v>
      </c>
      <c r="V46" s="22" t="s">
        <v>40</v>
      </c>
      <c r="W46" s="22" t="s">
        <v>40</v>
      </c>
      <c r="X46" s="94" t="s">
        <v>541</v>
      </c>
      <c r="Y46" s="32"/>
      <c r="AN46" s="80"/>
    </row>
    <row r="47" s="84" customFormat="1" ht="71.25" spans="1:40">
      <c r="A47" s="18">
        <v>3</v>
      </c>
      <c r="B47" s="22" t="s">
        <v>40</v>
      </c>
      <c r="C47" s="18" t="s">
        <v>553</v>
      </c>
      <c r="D47" s="28" t="s">
        <v>554</v>
      </c>
      <c r="E47" s="18" t="s">
        <v>555</v>
      </c>
      <c r="F47" s="22" t="s">
        <v>425</v>
      </c>
      <c r="G47" s="128" t="s">
        <v>556</v>
      </c>
      <c r="H47" s="22" t="s">
        <v>557</v>
      </c>
      <c r="I47" s="92" t="s">
        <v>558</v>
      </c>
      <c r="J47" s="43" t="s">
        <v>559</v>
      </c>
      <c r="K47" s="22" t="s">
        <v>560</v>
      </c>
      <c r="L47" s="93">
        <v>43595</v>
      </c>
      <c r="M47" s="93">
        <v>43616</v>
      </c>
      <c r="N47" s="46" t="s">
        <v>317</v>
      </c>
      <c r="O47" s="47">
        <v>0.5</v>
      </c>
      <c r="P47" s="94">
        <v>43627</v>
      </c>
      <c r="Q47" s="94" t="s">
        <v>561</v>
      </c>
      <c r="R47" s="22" t="s">
        <v>445</v>
      </c>
      <c r="S47" s="18" t="s">
        <v>552</v>
      </c>
      <c r="T47" s="22" t="s">
        <v>40</v>
      </c>
      <c r="U47" s="22" t="s">
        <v>393</v>
      </c>
      <c r="V47" s="22" t="s">
        <v>40</v>
      </c>
      <c r="W47" s="22" t="s">
        <v>40</v>
      </c>
      <c r="X47" s="94" t="s">
        <v>541</v>
      </c>
      <c r="Y47" s="32"/>
      <c r="AN47" s="80"/>
    </row>
    <row r="48" s="84" customFormat="1" ht="57" spans="1:40">
      <c r="A48" s="18">
        <v>4</v>
      </c>
      <c r="B48" s="22" t="s">
        <v>40</v>
      </c>
      <c r="C48" s="18" t="s">
        <v>562</v>
      </c>
      <c r="D48" s="91" t="s">
        <v>563</v>
      </c>
      <c r="E48" s="18" t="s">
        <v>564</v>
      </c>
      <c r="F48" s="18" t="s">
        <v>332</v>
      </c>
      <c r="G48" s="128" t="s">
        <v>565</v>
      </c>
      <c r="H48" s="22" t="s">
        <v>566</v>
      </c>
      <c r="I48" s="92" t="s">
        <v>567</v>
      </c>
      <c r="J48" s="43" t="s">
        <v>568</v>
      </c>
      <c r="K48" s="22" t="s">
        <v>569</v>
      </c>
      <c r="L48" s="93">
        <v>43640</v>
      </c>
      <c r="M48" s="93">
        <v>43677</v>
      </c>
      <c r="N48" s="46" t="s">
        <v>317</v>
      </c>
      <c r="O48" s="47">
        <v>2.5</v>
      </c>
      <c r="P48" s="94">
        <v>43699</v>
      </c>
      <c r="Q48" s="94" t="s">
        <v>570</v>
      </c>
      <c r="R48" s="22" t="s">
        <v>487</v>
      </c>
      <c r="S48" s="18" t="s">
        <v>552</v>
      </c>
      <c r="T48" s="22" t="s">
        <v>40</v>
      </c>
      <c r="U48" s="18" t="s">
        <v>571</v>
      </c>
      <c r="V48" s="22" t="s">
        <v>40</v>
      </c>
      <c r="W48" s="22" t="s">
        <v>40</v>
      </c>
      <c r="X48" s="94"/>
      <c r="Y48" s="32"/>
      <c r="AN48" s="80"/>
    </row>
    <row r="49" s="84" customFormat="1" ht="85.5" spans="1:40">
      <c r="A49" s="18">
        <v>5</v>
      </c>
      <c r="B49" s="22" t="s">
        <v>40</v>
      </c>
      <c r="C49" s="18" t="s">
        <v>572</v>
      </c>
      <c r="D49" s="91" t="s">
        <v>573</v>
      </c>
      <c r="E49" s="21" t="s">
        <v>574</v>
      </c>
      <c r="F49" s="18" t="s">
        <v>332</v>
      </c>
      <c r="G49" s="128" t="s">
        <v>575</v>
      </c>
      <c r="H49" s="22" t="s">
        <v>576</v>
      </c>
      <c r="I49" s="92" t="s">
        <v>577</v>
      </c>
      <c r="J49" s="43" t="s">
        <v>578</v>
      </c>
      <c r="K49" s="22" t="s">
        <v>579</v>
      </c>
      <c r="L49" s="93">
        <v>43647</v>
      </c>
      <c r="M49" s="93">
        <v>43676</v>
      </c>
      <c r="N49" s="46" t="s">
        <v>317</v>
      </c>
      <c r="O49" s="47">
        <v>3</v>
      </c>
      <c r="P49" s="94">
        <v>43685</v>
      </c>
      <c r="Q49" s="94" t="s">
        <v>580</v>
      </c>
      <c r="R49" s="22" t="s">
        <v>392</v>
      </c>
      <c r="S49" s="18" t="s">
        <v>552</v>
      </c>
      <c r="T49" s="22" t="s">
        <v>40</v>
      </c>
      <c r="U49" s="18" t="s">
        <v>571</v>
      </c>
      <c r="V49" s="22" t="s">
        <v>40</v>
      </c>
      <c r="W49" s="22" t="s">
        <v>40</v>
      </c>
      <c r="X49" s="94" t="s">
        <v>581</v>
      </c>
      <c r="Y49" s="32"/>
      <c r="AN49" s="80"/>
    </row>
    <row r="50" s="84" customFormat="1" ht="85.5" spans="1:40">
      <c r="A50" s="18">
        <v>6</v>
      </c>
      <c r="B50" s="22" t="s">
        <v>40</v>
      </c>
      <c r="C50" s="18" t="s">
        <v>582</v>
      </c>
      <c r="D50" s="91"/>
      <c r="E50" s="18" t="s">
        <v>583</v>
      </c>
      <c r="F50" s="22" t="s">
        <v>425</v>
      </c>
      <c r="G50" s="128" t="s">
        <v>584</v>
      </c>
      <c r="H50" s="22" t="s">
        <v>576</v>
      </c>
      <c r="I50" s="92" t="s">
        <v>585</v>
      </c>
      <c r="J50" s="43" t="s">
        <v>586</v>
      </c>
      <c r="K50" s="22" t="s">
        <v>587</v>
      </c>
      <c r="L50" s="93">
        <v>43647</v>
      </c>
      <c r="M50" s="93">
        <v>43676</v>
      </c>
      <c r="N50" s="46" t="s">
        <v>317</v>
      </c>
      <c r="O50" s="47">
        <v>0.5</v>
      </c>
      <c r="P50" s="94">
        <v>43685</v>
      </c>
      <c r="Q50" s="94" t="s">
        <v>588</v>
      </c>
      <c r="R50" s="22" t="s">
        <v>392</v>
      </c>
      <c r="S50" s="18" t="s">
        <v>552</v>
      </c>
      <c r="T50" s="22" t="s">
        <v>40</v>
      </c>
      <c r="U50" s="18" t="s">
        <v>571</v>
      </c>
      <c r="V50" s="22" t="s">
        <v>40</v>
      </c>
      <c r="W50" s="22" t="s">
        <v>40</v>
      </c>
      <c r="X50" s="94" t="s">
        <v>581</v>
      </c>
      <c r="Y50" s="32"/>
      <c r="AN50" s="80"/>
    </row>
    <row r="51" s="84" customFormat="1" ht="85.5" spans="1:40">
      <c r="A51" s="18">
        <v>7</v>
      </c>
      <c r="B51" s="22" t="s">
        <v>40</v>
      </c>
      <c r="C51" s="18" t="s">
        <v>589</v>
      </c>
      <c r="D51" s="91"/>
      <c r="E51" s="18" t="s">
        <v>590</v>
      </c>
      <c r="F51" s="18" t="s">
        <v>432</v>
      </c>
      <c r="G51" s="128" t="s">
        <v>591</v>
      </c>
      <c r="H51" s="22" t="s">
        <v>576</v>
      </c>
      <c r="I51" s="92" t="s">
        <v>592</v>
      </c>
      <c r="J51" s="43" t="s">
        <v>593</v>
      </c>
      <c r="K51" s="22" t="s">
        <v>594</v>
      </c>
      <c r="L51" s="93">
        <v>43647</v>
      </c>
      <c r="M51" s="93">
        <v>43676</v>
      </c>
      <c r="N51" s="46" t="s">
        <v>317</v>
      </c>
      <c r="O51" s="47">
        <v>0.5</v>
      </c>
      <c r="P51" s="94">
        <v>43685</v>
      </c>
      <c r="Q51" s="94" t="s">
        <v>595</v>
      </c>
      <c r="R51" s="22" t="s">
        <v>392</v>
      </c>
      <c r="S51" s="18" t="s">
        <v>552</v>
      </c>
      <c r="T51" s="22" t="s">
        <v>40</v>
      </c>
      <c r="U51" s="18" t="s">
        <v>571</v>
      </c>
      <c r="V51" s="22" t="s">
        <v>40</v>
      </c>
      <c r="W51" s="22" t="s">
        <v>40</v>
      </c>
      <c r="X51" s="94"/>
      <c r="Y51" s="32"/>
      <c r="AN51" s="80"/>
    </row>
    <row r="52" s="84" customFormat="1" ht="57" spans="1:40">
      <c r="A52" s="18">
        <v>8</v>
      </c>
      <c r="B52" s="22" t="s">
        <v>40</v>
      </c>
      <c r="C52" s="21" t="s">
        <v>596</v>
      </c>
      <c r="D52" s="28" t="s">
        <v>597</v>
      </c>
      <c r="E52" s="21" t="s">
        <v>598</v>
      </c>
      <c r="F52" s="18" t="s">
        <v>332</v>
      </c>
      <c r="G52" s="128" t="s">
        <v>599</v>
      </c>
      <c r="H52" s="22" t="s">
        <v>600</v>
      </c>
      <c r="I52" s="55" t="s">
        <v>601</v>
      </c>
      <c r="J52" s="43" t="s">
        <v>602</v>
      </c>
      <c r="K52" s="22" t="s">
        <v>603</v>
      </c>
      <c r="L52" s="93">
        <v>43685</v>
      </c>
      <c r="M52" s="93">
        <v>43717</v>
      </c>
      <c r="N52" s="46" t="s">
        <v>317</v>
      </c>
      <c r="O52" s="47">
        <v>10</v>
      </c>
      <c r="P52" s="94">
        <v>43735</v>
      </c>
      <c r="Q52" s="94" t="s">
        <v>604</v>
      </c>
      <c r="R52" s="22" t="s">
        <v>392</v>
      </c>
      <c r="S52" s="18" t="s">
        <v>552</v>
      </c>
      <c r="T52" s="22" t="s">
        <v>40</v>
      </c>
      <c r="U52" s="18" t="s">
        <v>571</v>
      </c>
      <c r="V52" s="44" t="s">
        <v>605</v>
      </c>
      <c r="W52" s="24"/>
      <c r="X52" s="94"/>
      <c r="Y52" s="32"/>
      <c r="AN52" s="80"/>
    </row>
    <row r="53" s="84" customFormat="1" ht="71.25" spans="1:40">
      <c r="A53" s="18">
        <v>9</v>
      </c>
      <c r="B53" s="22" t="s">
        <v>40</v>
      </c>
      <c r="C53" s="18" t="s">
        <v>606</v>
      </c>
      <c r="D53" s="91" t="s">
        <v>607</v>
      </c>
      <c r="E53" s="18" t="s">
        <v>608</v>
      </c>
      <c r="F53" s="18" t="s">
        <v>332</v>
      </c>
      <c r="G53" s="128" t="s">
        <v>609</v>
      </c>
      <c r="H53" s="22" t="s">
        <v>610</v>
      </c>
      <c r="I53" s="92" t="s">
        <v>611</v>
      </c>
      <c r="J53" s="43" t="s">
        <v>612</v>
      </c>
      <c r="K53" s="22" t="s">
        <v>613</v>
      </c>
      <c r="L53" s="93">
        <v>43692</v>
      </c>
      <c r="M53" s="93">
        <v>43717</v>
      </c>
      <c r="N53" s="46" t="s">
        <v>317</v>
      </c>
      <c r="O53" s="47">
        <v>3</v>
      </c>
      <c r="P53" s="94">
        <v>43735</v>
      </c>
      <c r="Q53" s="94" t="s">
        <v>614</v>
      </c>
      <c r="R53" s="22" t="s">
        <v>392</v>
      </c>
      <c r="S53" s="18" t="s">
        <v>552</v>
      </c>
      <c r="T53" s="22" t="s">
        <v>40</v>
      </c>
      <c r="U53" s="18" t="s">
        <v>571</v>
      </c>
      <c r="V53" s="44" t="s">
        <v>605</v>
      </c>
      <c r="W53" s="24"/>
      <c r="X53" s="44" t="s">
        <v>615</v>
      </c>
      <c r="Y53" s="32"/>
      <c r="Z53" s="96"/>
      <c r="AN53" s="80"/>
    </row>
    <row r="54" s="84" customFormat="1" ht="57" spans="1:40">
      <c r="A54" s="18">
        <v>10</v>
      </c>
      <c r="B54" s="22" t="s">
        <v>40</v>
      </c>
      <c r="C54" s="18" t="s">
        <v>616</v>
      </c>
      <c r="D54" s="91"/>
      <c r="E54" s="18" t="s">
        <v>617</v>
      </c>
      <c r="F54" s="22" t="s">
        <v>425</v>
      </c>
      <c r="G54" s="128" t="s">
        <v>618</v>
      </c>
      <c r="H54" s="22" t="s">
        <v>610</v>
      </c>
      <c r="I54" s="92" t="s">
        <v>619</v>
      </c>
      <c r="J54" s="43" t="s">
        <v>620</v>
      </c>
      <c r="K54" s="22" t="s">
        <v>621</v>
      </c>
      <c r="L54" s="93">
        <v>43692</v>
      </c>
      <c r="M54" s="93">
        <v>43717</v>
      </c>
      <c r="N54" s="46" t="s">
        <v>317</v>
      </c>
      <c r="O54" s="47">
        <v>0.5</v>
      </c>
      <c r="P54" s="94">
        <v>43735</v>
      </c>
      <c r="Q54" s="94" t="s">
        <v>622</v>
      </c>
      <c r="R54" s="22" t="s">
        <v>392</v>
      </c>
      <c r="S54" s="18" t="s">
        <v>552</v>
      </c>
      <c r="T54" s="22" t="s">
        <v>40</v>
      </c>
      <c r="U54" s="18" t="s">
        <v>571</v>
      </c>
      <c r="V54" s="44" t="s">
        <v>605</v>
      </c>
      <c r="W54" s="24"/>
      <c r="X54" s="44" t="s">
        <v>615</v>
      </c>
      <c r="Y54" s="32"/>
      <c r="Z54" s="96"/>
      <c r="AN54" s="80"/>
    </row>
    <row r="55" s="84" customFormat="1" ht="71.25" spans="1:40">
      <c r="A55" s="18">
        <v>11</v>
      </c>
      <c r="B55" s="22" t="s">
        <v>40</v>
      </c>
      <c r="C55" s="18" t="s">
        <v>623</v>
      </c>
      <c r="D55" s="91"/>
      <c r="E55" s="18" t="s">
        <v>624</v>
      </c>
      <c r="F55" s="18" t="s">
        <v>432</v>
      </c>
      <c r="G55" s="128" t="s">
        <v>625</v>
      </c>
      <c r="H55" s="22" t="s">
        <v>610</v>
      </c>
      <c r="I55" s="92" t="s">
        <v>626</v>
      </c>
      <c r="J55" s="43" t="s">
        <v>627</v>
      </c>
      <c r="K55" s="22" t="s">
        <v>628</v>
      </c>
      <c r="L55" s="93">
        <v>43692</v>
      </c>
      <c r="M55" s="93">
        <v>43717</v>
      </c>
      <c r="N55" s="46" t="s">
        <v>317</v>
      </c>
      <c r="O55" s="47">
        <v>0.5</v>
      </c>
      <c r="P55" s="94">
        <v>43735</v>
      </c>
      <c r="Q55" s="94" t="s">
        <v>629</v>
      </c>
      <c r="R55" s="22" t="s">
        <v>392</v>
      </c>
      <c r="S55" s="18" t="s">
        <v>552</v>
      </c>
      <c r="T55" s="22" t="s">
        <v>40</v>
      </c>
      <c r="U55" s="18" t="s">
        <v>571</v>
      </c>
      <c r="V55" s="44" t="s">
        <v>605</v>
      </c>
      <c r="W55" s="24"/>
      <c r="X55" s="94"/>
      <c r="Y55" s="32"/>
      <c r="AN55" s="80"/>
    </row>
    <row r="56" s="84" customFormat="1" ht="114" spans="1:40">
      <c r="A56" s="18">
        <v>12</v>
      </c>
      <c r="B56" s="22" t="s">
        <v>40</v>
      </c>
      <c r="C56" s="18" t="s">
        <v>630</v>
      </c>
      <c r="D56" s="91" t="s">
        <v>631</v>
      </c>
      <c r="E56" s="18" t="s">
        <v>632</v>
      </c>
      <c r="F56" s="18" t="s">
        <v>332</v>
      </c>
      <c r="G56" s="128" t="s">
        <v>633</v>
      </c>
      <c r="H56" s="22" t="s">
        <v>634</v>
      </c>
      <c r="I56" s="92" t="s">
        <v>635</v>
      </c>
      <c r="J56" s="43" t="s">
        <v>636</v>
      </c>
      <c r="K56" s="22" t="s">
        <v>637</v>
      </c>
      <c r="L56" s="93">
        <v>43707</v>
      </c>
      <c r="M56" s="93">
        <v>43731</v>
      </c>
      <c r="N56" s="46" t="s">
        <v>317</v>
      </c>
      <c r="O56" s="47">
        <v>3</v>
      </c>
      <c r="P56" s="94">
        <v>43752</v>
      </c>
      <c r="Q56" s="94" t="s">
        <v>638</v>
      </c>
      <c r="R56" s="22" t="s">
        <v>445</v>
      </c>
      <c r="S56" s="18" t="s">
        <v>552</v>
      </c>
      <c r="T56" s="22" t="s">
        <v>40</v>
      </c>
      <c r="U56" s="18" t="s">
        <v>571</v>
      </c>
      <c r="V56" s="44" t="s">
        <v>605</v>
      </c>
      <c r="W56" s="24"/>
      <c r="X56" s="94" t="s">
        <v>639</v>
      </c>
      <c r="Y56" s="32"/>
      <c r="AN56" s="80"/>
    </row>
    <row r="57" s="84" customFormat="1" ht="114" spans="1:40">
      <c r="A57" s="18">
        <v>13</v>
      </c>
      <c r="B57" s="22" t="s">
        <v>40</v>
      </c>
      <c r="C57" s="18" t="s">
        <v>640</v>
      </c>
      <c r="D57" s="91"/>
      <c r="E57" s="18" t="s">
        <v>641</v>
      </c>
      <c r="F57" s="22" t="s">
        <v>425</v>
      </c>
      <c r="G57" s="128" t="s">
        <v>642</v>
      </c>
      <c r="H57" s="22" t="s">
        <v>643</v>
      </c>
      <c r="I57" s="92" t="s">
        <v>644</v>
      </c>
      <c r="J57" s="43" t="s">
        <v>645</v>
      </c>
      <c r="K57" s="22" t="s">
        <v>646</v>
      </c>
      <c r="L57" s="93">
        <v>43707</v>
      </c>
      <c r="M57" s="93">
        <v>43731</v>
      </c>
      <c r="N57" s="46" t="s">
        <v>317</v>
      </c>
      <c r="O57" s="47">
        <v>0.5</v>
      </c>
      <c r="P57" s="94">
        <v>43752</v>
      </c>
      <c r="Q57" s="94" t="s">
        <v>647</v>
      </c>
      <c r="R57" s="22" t="s">
        <v>445</v>
      </c>
      <c r="S57" s="18" t="s">
        <v>552</v>
      </c>
      <c r="T57" s="22" t="s">
        <v>40</v>
      </c>
      <c r="U57" s="18" t="s">
        <v>571</v>
      </c>
      <c r="V57" s="44" t="s">
        <v>605</v>
      </c>
      <c r="W57" s="24"/>
      <c r="X57" s="94" t="s">
        <v>648</v>
      </c>
      <c r="Y57" s="32"/>
      <c r="AN57" s="80"/>
    </row>
    <row r="58" s="84" customFormat="1" ht="114" spans="1:40">
      <c r="A58" s="18">
        <v>14</v>
      </c>
      <c r="B58" s="22" t="s">
        <v>40</v>
      </c>
      <c r="C58" s="18" t="s">
        <v>649</v>
      </c>
      <c r="D58" s="91"/>
      <c r="E58" s="18" t="s">
        <v>650</v>
      </c>
      <c r="F58" s="18" t="s">
        <v>432</v>
      </c>
      <c r="G58" s="128" t="s">
        <v>651</v>
      </c>
      <c r="H58" s="22" t="s">
        <v>652</v>
      </c>
      <c r="I58" s="92" t="s">
        <v>653</v>
      </c>
      <c r="J58" s="43" t="s">
        <v>654</v>
      </c>
      <c r="K58" s="22" t="s">
        <v>655</v>
      </c>
      <c r="L58" s="93">
        <v>43707</v>
      </c>
      <c r="M58" s="93">
        <v>43731</v>
      </c>
      <c r="N58" s="46" t="s">
        <v>317</v>
      </c>
      <c r="O58" s="47">
        <v>0.5</v>
      </c>
      <c r="P58" s="94">
        <v>43752</v>
      </c>
      <c r="Q58" s="94" t="s">
        <v>656</v>
      </c>
      <c r="R58" s="22" t="s">
        <v>445</v>
      </c>
      <c r="S58" s="18" t="s">
        <v>552</v>
      </c>
      <c r="T58" s="22" t="s">
        <v>40</v>
      </c>
      <c r="U58" s="18" t="s">
        <v>571</v>
      </c>
      <c r="V58" s="44" t="s">
        <v>605</v>
      </c>
      <c r="W58" s="24"/>
      <c r="X58" s="94" t="s">
        <v>648</v>
      </c>
      <c r="Y58" s="32"/>
      <c r="AN58" s="80"/>
    </row>
    <row r="59" s="84" customFormat="1" ht="71.25" spans="1:40">
      <c r="A59" s="18">
        <v>15</v>
      </c>
      <c r="B59" s="22" t="s">
        <v>40</v>
      </c>
      <c r="C59" s="18" t="s">
        <v>657</v>
      </c>
      <c r="D59" s="28" t="s">
        <v>658</v>
      </c>
      <c r="E59" s="21" t="s">
        <v>659</v>
      </c>
      <c r="F59" s="22" t="s">
        <v>324</v>
      </c>
      <c r="G59" s="128" t="s">
        <v>660</v>
      </c>
      <c r="H59" s="22" t="s">
        <v>610</v>
      </c>
      <c r="I59" s="43" t="s">
        <v>661</v>
      </c>
      <c r="J59" s="43" t="s">
        <v>662</v>
      </c>
      <c r="K59" s="22" t="s">
        <v>663</v>
      </c>
      <c r="L59" s="45">
        <v>43713</v>
      </c>
      <c r="M59" s="45">
        <v>43747</v>
      </c>
      <c r="N59" s="46" t="s">
        <v>317</v>
      </c>
      <c r="O59" s="47">
        <v>3</v>
      </c>
      <c r="P59" s="44">
        <v>43732</v>
      </c>
      <c r="Q59" s="94" t="s">
        <v>664</v>
      </c>
      <c r="R59" s="22" t="s">
        <v>487</v>
      </c>
      <c r="S59" s="18" t="s">
        <v>552</v>
      </c>
      <c r="T59" s="22" t="s">
        <v>40</v>
      </c>
      <c r="U59" s="18" t="s">
        <v>571</v>
      </c>
      <c r="V59" s="44" t="s">
        <v>605</v>
      </c>
      <c r="W59" s="24"/>
      <c r="X59" s="44" t="s">
        <v>648</v>
      </c>
      <c r="Y59" s="32"/>
      <c r="AN59" s="80"/>
    </row>
    <row r="60" s="84" customFormat="1" ht="71.25" spans="1:40">
      <c r="A60" s="18">
        <v>16</v>
      </c>
      <c r="B60" s="22" t="s">
        <v>40</v>
      </c>
      <c r="C60" s="18" t="s">
        <v>665</v>
      </c>
      <c r="D60" s="28"/>
      <c r="E60" s="22" t="s">
        <v>666</v>
      </c>
      <c r="F60" s="22" t="s">
        <v>667</v>
      </c>
      <c r="G60" s="128" t="s">
        <v>668</v>
      </c>
      <c r="H60" s="22" t="s">
        <v>610</v>
      </c>
      <c r="I60" s="43" t="s">
        <v>669</v>
      </c>
      <c r="J60" s="43" t="s">
        <v>670</v>
      </c>
      <c r="K60" s="22" t="s">
        <v>671</v>
      </c>
      <c r="L60" s="45">
        <v>43713</v>
      </c>
      <c r="M60" s="45">
        <v>43747</v>
      </c>
      <c r="N60" s="46" t="s">
        <v>317</v>
      </c>
      <c r="O60" s="47">
        <v>0.5</v>
      </c>
      <c r="P60" s="44">
        <v>43732</v>
      </c>
      <c r="Q60" s="94" t="s">
        <v>672</v>
      </c>
      <c r="R60" s="22" t="s">
        <v>487</v>
      </c>
      <c r="S60" s="18" t="s">
        <v>552</v>
      </c>
      <c r="T60" s="22" t="s">
        <v>40</v>
      </c>
      <c r="U60" s="18" t="s">
        <v>571</v>
      </c>
      <c r="V60" s="44" t="s">
        <v>605</v>
      </c>
      <c r="W60" s="24"/>
      <c r="X60" s="44" t="s">
        <v>648</v>
      </c>
      <c r="Y60" s="32"/>
      <c r="AN60" s="81"/>
    </row>
    <row r="61" s="84" customFormat="1" ht="71.25" spans="1:40">
      <c r="A61" s="18">
        <v>17</v>
      </c>
      <c r="B61" s="22" t="s">
        <v>40</v>
      </c>
      <c r="C61" s="18" t="s">
        <v>673</v>
      </c>
      <c r="D61" s="28"/>
      <c r="E61" s="21" t="s">
        <v>674</v>
      </c>
      <c r="F61" s="18" t="s">
        <v>675</v>
      </c>
      <c r="G61" s="128" t="s">
        <v>676</v>
      </c>
      <c r="H61" s="22" t="s">
        <v>610</v>
      </c>
      <c r="I61" s="43" t="s">
        <v>677</v>
      </c>
      <c r="J61" s="43" t="s">
        <v>678</v>
      </c>
      <c r="K61" s="22" t="s">
        <v>679</v>
      </c>
      <c r="L61" s="45">
        <v>43713</v>
      </c>
      <c r="M61" s="45">
        <v>43747</v>
      </c>
      <c r="N61" s="46" t="s">
        <v>317</v>
      </c>
      <c r="O61" s="47">
        <v>0.5</v>
      </c>
      <c r="P61" s="44">
        <v>43732</v>
      </c>
      <c r="Q61" s="94" t="s">
        <v>680</v>
      </c>
      <c r="R61" s="22" t="s">
        <v>487</v>
      </c>
      <c r="S61" s="18" t="s">
        <v>552</v>
      </c>
      <c r="T61" s="22" t="s">
        <v>40</v>
      </c>
      <c r="U61" s="18" t="s">
        <v>571</v>
      </c>
      <c r="V61" s="44" t="s">
        <v>605</v>
      </c>
      <c r="W61" s="24"/>
      <c r="X61" s="44" t="s">
        <v>615</v>
      </c>
      <c r="Y61" s="32"/>
      <c r="Z61" s="96"/>
      <c r="AN61" s="81"/>
    </row>
    <row r="62" s="84" customFormat="1" ht="57" spans="1:40">
      <c r="A62" s="18">
        <v>18</v>
      </c>
      <c r="B62" s="22" t="s">
        <v>40</v>
      </c>
      <c r="C62" s="21" t="s">
        <v>681</v>
      </c>
      <c r="D62" s="28" t="s">
        <v>682</v>
      </c>
      <c r="E62" s="21" t="s">
        <v>683</v>
      </c>
      <c r="F62" s="22" t="s">
        <v>324</v>
      </c>
      <c r="G62" s="128" t="s">
        <v>684</v>
      </c>
      <c r="H62" s="22" t="s">
        <v>685</v>
      </c>
      <c r="I62" s="43" t="s">
        <v>686</v>
      </c>
      <c r="J62" s="43" t="s">
        <v>687</v>
      </c>
      <c r="K62" s="22" t="s">
        <v>688</v>
      </c>
      <c r="L62" s="45">
        <v>43763</v>
      </c>
      <c r="M62" s="45">
        <v>43801</v>
      </c>
      <c r="N62" s="46" t="s">
        <v>317</v>
      </c>
      <c r="O62" s="47">
        <v>2</v>
      </c>
      <c r="P62" s="44">
        <v>43809</v>
      </c>
      <c r="Q62" s="94" t="s">
        <v>689</v>
      </c>
      <c r="R62" s="22" t="s">
        <v>392</v>
      </c>
      <c r="S62" s="18" t="s">
        <v>552</v>
      </c>
      <c r="T62" s="22" t="s">
        <v>40</v>
      </c>
      <c r="U62" s="18" t="s">
        <v>571</v>
      </c>
      <c r="V62" s="44" t="s">
        <v>605</v>
      </c>
      <c r="W62" s="24"/>
      <c r="X62" s="44" t="s">
        <v>690</v>
      </c>
      <c r="Y62" s="32"/>
      <c r="Z62" s="96"/>
      <c r="AN62" s="81"/>
    </row>
    <row r="63" s="84" customFormat="1" ht="71.25" spans="1:40">
      <c r="A63" s="18">
        <v>19</v>
      </c>
      <c r="B63" s="22" t="s">
        <v>40</v>
      </c>
      <c r="C63" s="21" t="s">
        <v>691</v>
      </c>
      <c r="D63" s="28" t="s">
        <v>692</v>
      </c>
      <c r="E63" s="21" t="s">
        <v>46</v>
      </c>
      <c r="F63" s="22" t="s">
        <v>332</v>
      </c>
      <c r="G63" s="128" t="s">
        <v>47</v>
      </c>
      <c r="H63" s="22" t="s">
        <v>693</v>
      </c>
      <c r="I63" s="43" t="s">
        <v>694</v>
      </c>
      <c r="J63" s="43" t="s">
        <v>695</v>
      </c>
      <c r="K63" s="22" t="s">
        <v>696</v>
      </c>
      <c r="L63" s="45">
        <v>43762</v>
      </c>
      <c r="M63" s="45">
        <v>43781</v>
      </c>
      <c r="N63" s="46" t="s">
        <v>317</v>
      </c>
      <c r="O63" s="47">
        <v>1</v>
      </c>
      <c r="P63" s="44">
        <v>43804</v>
      </c>
      <c r="Q63" s="94" t="s">
        <v>697</v>
      </c>
      <c r="R63" s="22" t="s">
        <v>445</v>
      </c>
      <c r="S63" s="18" t="s">
        <v>552</v>
      </c>
      <c r="T63" s="22" t="s">
        <v>40</v>
      </c>
      <c r="U63" s="18" t="s">
        <v>571</v>
      </c>
      <c r="V63" s="44" t="s">
        <v>605</v>
      </c>
      <c r="W63" s="24"/>
      <c r="X63" s="44" t="s">
        <v>690</v>
      </c>
      <c r="Y63" s="32"/>
      <c r="Z63" s="96"/>
      <c r="AN63" s="80"/>
    </row>
    <row r="64" s="84" customFormat="1" ht="71.25" spans="1:40">
      <c r="A64" s="18">
        <v>20</v>
      </c>
      <c r="B64" s="22" t="s">
        <v>40</v>
      </c>
      <c r="C64" s="21" t="s">
        <v>698</v>
      </c>
      <c r="D64" s="28"/>
      <c r="E64" s="21" t="s">
        <v>46</v>
      </c>
      <c r="F64" s="22" t="s">
        <v>332</v>
      </c>
      <c r="G64" s="128" t="s">
        <v>47</v>
      </c>
      <c r="H64" s="22" t="s">
        <v>699</v>
      </c>
      <c r="I64" s="43" t="s">
        <v>700</v>
      </c>
      <c r="J64" s="43" t="s">
        <v>701</v>
      </c>
      <c r="K64" s="22" t="s">
        <v>702</v>
      </c>
      <c r="L64" s="45">
        <v>43762</v>
      </c>
      <c r="M64" s="45">
        <v>43781</v>
      </c>
      <c r="N64" s="46" t="s">
        <v>317</v>
      </c>
      <c r="O64" s="47">
        <v>2</v>
      </c>
      <c r="P64" s="44">
        <v>43804</v>
      </c>
      <c r="Q64" s="94" t="s">
        <v>703</v>
      </c>
      <c r="R64" s="22" t="s">
        <v>445</v>
      </c>
      <c r="S64" s="18" t="s">
        <v>552</v>
      </c>
      <c r="T64" s="22" t="s">
        <v>40</v>
      </c>
      <c r="U64" s="18" t="s">
        <v>571</v>
      </c>
      <c r="V64" s="44" t="s">
        <v>605</v>
      </c>
      <c r="W64" s="24"/>
      <c r="X64" s="44" t="s">
        <v>690</v>
      </c>
      <c r="Y64" s="32"/>
      <c r="Z64" s="96"/>
      <c r="AN64" s="80"/>
    </row>
    <row r="65" s="84" customFormat="1" ht="57" spans="1:40">
      <c r="A65" s="18">
        <v>21</v>
      </c>
      <c r="B65" s="22" t="s">
        <v>40</v>
      </c>
      <c r="C65" s="21" t="s">
        <v>704</v>
      </c>
      <c r="D65" s="28" t="s">
        <v>705</v>
      </c>
      <c r="E65" s="21" t="s">
        <v>706</v>
      </c>
      <c r="F65" s="22" t="s">
        <v>332</v>
      </c>
      <c r="G65" s="128" t="s">
        <v>707</v>
      </c>
      <c r="H65" s="22" t="s">
        <v>708</v>
      </c>
      <c r="I65" s="98" t="s">
        <v>709</v>
      </c>
      <c r="J65" s="43" t="s">
        <v>710</v>
      </c>
      <c r="K65" s="22" t="s">
        <v>711</v>
      </c>
      <c r="L65" s="45">
        <v>43763</v>
      </c>
      <c r="M65" s="45">
        <v>43789</v>
      </c>
      <c r="N65" s="46" t="s">
        <v>317</v>
      </c>
      <c r="O65" s="47">
        <v>0.5</v>
      </c>
      <c r="P65" s="44">
        <v>43819</v>
      </c>
      <c r="Q65" s="94" t="s">
        <v>712</v>
      </c>
      <c r="R65" s="22" t="s">
        <v>487</v>
      </c>
      <c r="S65" s="18" t="s">
        <v>552</v>
      </c>
      <c r="T65" s="22" t="s">
        <v>40</v>
      </c>
      <c r="U65" s="18" t="s">
        <v>571</v>
      </c>
      <c r="V65" s="44" t="s">
        <v>605</v>
      </c>
      <c r="W65" s="24"/>
      <c r="X65" s="44" t="s">
        <v>690</v>
      </c>
      <c r="Y65" s="32"/>
      <c r="Z65" s="96"/>
      <c r="AN65" s="81"/>
    </row>
    <row r="66" s="84" customFormat="1" ht="71.25" spans="1:40">
      <c r="A66" s="18">
        <v>1</v>
      </c>
      <c r="B66" s="94" t="s">
        <v>713</v>
      </c>
      <c r="C66" s="18" t="s">
        <v>714</v>
      </c>
      <c r="D66" s="28" t="s">
        <v>715</v>
      </c>
      <c r="E66" s="21" t="s">
        <v>716</v>
      </c>
      <c r="F66" s="22" t="s">
        <v>667</v>
      </c>
      <c r="G66" s="128" t="s">
        <v>717</v>
      </c>
      <c r="H66" s="22" t="s">
        <v>718</v>
      </c>
      <c r="I66" s="43" t="s">
        <v>719</v>
      </c>
      <c r="J66" s="43" t="s">
        <v>720</v>
      </c>
      <c r="K66" s="44" t="s">
        <v>721</v>
      </c>
      <c r="L66" s="45">
        <v>43796</v>
      </c>
      <c r="M66" s="45">
        <v>43833</v>
      </c>
      <c r="N66" s="46" t="s">
        <v>317</v>
      </c>
      <c r="O66" s="47">
        <v>0.5</v>
      </c>
      <c r="P66" s="44">
        <v>43845</v>
      </c>
      <c r="Q66" s="46" t="s">
        <v>722</v>
      </c>
      <c r="R66" s="22" t="s">
        <v>445</v>
      </c>
      <c r="S66" s="69">
        <v>43837</v>
      </c>
      <c r="T66" s="69">
        <v>43892</v>
      </c>
      <c r="U66" s="18" t="s">
        <v>571</v>
      </c>
      <c r="V66" s="44" t="s">
        <v>605</v>
      </c>
      <c r="W66" s="69">
        <v>44036</v>
      </c>
      <c r="X66" s="44" t="s">
        <v>690</v>
      </c>
      <c r="Y66" s="32"/>
      <c r="Z66" s="84" t="s">
        <v>723</v>
      </c>
      <c r="AA66" s="84" t="s">
        <v>724</v>
      </c>
      <c r="AB66" s="84" t="s">
        <v>724</v>
      </c>
      <c r="AD66" s="84" t="s">
        <v>724</v>
      </c>
      <c r="AN66" s="80"/>
    </row>
    <row r="67" s="84" customFormat="1" ht="57" spans="1:40">
      <c r="A67" s="18">
        <v>2</v>
      </c>
      <c r="B67" s="94" t="s">
        <v>725</v>
      </c>
      <c r="C67" s="21" t="s">
        <v>726</v>
      </c>
      <c r="D67" s="28" t="s">
        <v>727</v>
      </c>
      <c r="E67" s="21" t="s">
        <v>728</v>
      </c>
      <c r="F67" s="22" t="s">
        <v>324</v>
      </c>
      <c r="G67" s="128" t="s">
        <v>729</v>
      </c>
      <c r="H67" s="22" t="s">
        <v>699</v>
      </c>
      <c r="I67" s="43" t="s">
        <v>730</v>
      </c>
      <c r="J67" s="43" t="s">
        <v>731</v>
      </c>
      <c r="K67" s="44" t="s">
        <v>732</v>
      </c>
      <c r="L67" s="45">
        <v>43813</v>
      </c>
      <c r="M67" s="45">
        <v>43833</v>
      </c>
      <c r="N67" s="46" t="s">
        <v>317</v>
      </c>
      <c r="O67" s="47">
        <v>2</v>
      </c>
      <c r="P67" s="44">
        <v>43845</v>
      </c>
      <c r="Q67" s="46" t="s">
        <v>733</v>
      </c>
      <c r="R67" s="22" t="s">
        <v>445</v>
      </c>
      <c r="S67" s="69">
        <v>43837</v>
      </c>
      <c r="T67" s="69">
        <v>43892</v>
      </c>
      <c r="U67" s="18" t="s">
        <v>571</v>
      </c>
      <c r="V67" s="44" t="s">
        <v>605</v>
      </c>
      <c r="W67" s="69">
        <v>44036</v>
      </c>
      <c r="X67" s="44" t="s">
        <v>690</v>
      </c>
      <c r="Y67" s="32"/>
      <c r="Z67" s="84" t="s">
        <v>723</v>
      </c>
      <c r="AA67" s="84" t="s">
        <v>724</v>
      </c>
      <c r="AB67" s="84" t="s">
        <v>724</v>
      </c>
      <c r="AD67" s="84" t="s">
        <v>724</v>
      </c>
      <c r="AN67" s="80"/>
    </row>
    <row r="68" s="84" customFormat="1" ht="57" spans="1:40">
      <c r="A68" s="18">
        <v>3</v>
      </c>
      <c r="B68" s="94" t="s">
        <v>734</v>
      </c>
      <c r="C68" s="18" t="s">
        <v>735</v>
      </c>
      <c r="D68" s="91" t="s">
        <v>736</v>
      </c>
      <c r="E68" s="18" t="s">
        <v>737</v>
      </c>
      <c r="F68" s="18" t="s">
        <v>332</v>
      </c>
      <c r="G68" s="128" t="s">
        <v>738</v>
      </c>
      <c r="H68" s="22" t="s">
        <v>739</v>
      </c>
      <c r="I68" s="55" t="s">
        <v>740</v>
      </c>
      <c r="J68" s="43" t="s">
        <v>741</v>
      </c>
      <c r="K68" s="44" t="s">
        <v>742</v>
      </c>
      <c r="L68" s="45">
        <v>43830</v>
      </c>
      <c r="M68" s="93">
        <v>43846</v>
      </c>
      <c r="N68" s="46" t="s">
        <v>317</v>
      </c>
      <c r="O68" s="47">
        <v>2</v>
      </c>
      <c r="P68" s="94">
        <v>43851</v>
      </c>
      <c r="Q68" s="46" t="s">
        <v>743</v>
      </c>
      <c r="R68" s="22" t="s">
        <v>445</v>
      </c>
      <c r="S68" s="69">
        <v>43847</v>
      </c>
      <c r="T68" s="69">
        <v>43892</v>
      </c>
      <c r="U68" s="18" t="s">
        <v>571</v>
      </c>
      <c r="V68" s="44" t="s">
        <v>605</v>
      </c>
      <c r="W68" s="69" t="s">
        <v>744</v>
      </c>
      <c r="X68" s="44" t="s">
        <v>690</v>
      </c>
      <c r="Y68" s="32"/>
      <c r="Z68" s="84" t="s">
        <v>723</v>
      </c>
      <c r="AA68" s="84" t="s">
        <v>724</v>
      </c>
      <c r="AB68" s="84" t="s">
        <v>724</v>
      </c>
      <c r="AD68" s="84" t="s">
        <v>724</v>
      </c>
      <c r="AN68" s="80"/>
    </row>
    <row r="69" s="84" customFormat="1" ht="71.25" spans="1:40">
      <c r="A69" s="18">
        <v>4</v>
      </c>
      <c r="B69" s="94" t="s">
        <v>745</v>
      </c>
      <c r="C69" s="18" t="str">
        <f t="shared" ref="C69:C71" si="0">_xlfn.CONCAT(E69,H69,"行政处罚案")</f>
        <v>深圳市深安企业有限公司未按照规定组织危大工程验收行政处罚案</v>
      </c>
      <c r="D69" s="91" t="s">
        <v>746</v>
      </c>
      <c r="E69" s="21" t="s">
        <v>574</v>
      </c>
      <c r="F69" s="18" t="s">
        <v>332</v>
      </c>
      <c r="G69" s="128" t="s">
        <v>575</v>
      </c>
      <c r="H69" s="22" t="s">
        <v>747</v>
      </c>
      <c r="I69" s="92" t="s">
        <v>748</v>
      </c>
      <c r="J69" s="43" t="s">
        <v>749</v>
      </c>
      <c r="K69" s="44" t="s">
        <v>750</v>
      </c>
      <c r="L69" s="93">
        <v>43970</v>
      </c>
      <c r="M69" s="93">
        <v>44005</v>
      </c>
      <c r="N69" s="46" t="s">
        <v>317</v>
      </c>
      <c r="O69" s="47">
        <v>3</v>
      </c>
      <c r="P69" s="94">
        <v>44018</v>
      </c>
      <c r="Q69" s="46" t="s">
        <v>751</v>
      </c>
      <c r="R69" s="22" t="s">
        <v>392</v>
      </c>
      <c r="S69" s="69">
        <v>44010</v>
      </c>
      <c r="T69" s="69">
        <v>44019</v>
      </c>
      <c r="U69" s="18" t="s">
        <v>571</v>
      </c>
      <c r="V69" s="44" t="s">
        <v>605</v>
      </c>
      <c r="W69" s="69">
        <v>44032</v>
      </c>
      <c r="X69" s="94"/>
      <c r="Y69" s="32"/>
      <c r="Z69" s="84" t="s">
        <v>723</v>
      </c>
      <c r="AA69" s="84" t="s">
        <v>724</v>
      </c>
      <c r="AB69" s="84" t="s">
        <v>724</v>
      </c>
      <c r="AD69" s="84" t="s">
        <v>724</v>
      </c>
      <c r="AN69" s="80"/>
    </row>
    <row r="70" s="84" customFormat="1" ht="71.25" spans="1:40">
      <c r="A70" s="18">
        <v>5</v>
      </c>
      <c r="B70" s="94" t="s">
        <v>752</v>
      </c>
      <c r="C70" s="18" t="str">
        <f t="shared" si="0"/>
        <v>林明涛未按照规定组织危大工程验收行政处罚案</v>
      </c>
      <c r="D70" s="91"/>
      <c r="E70" s="18" t="s">
        <v>753</v>
      </c>
      <c r="F70" s="18" t="s">
        <v>425</v>
      </c>
      <c r="G70" s="128" t="s">
        <v>754</v>
      </c>
      <c r="H70" s="22" t="s">
        <v>747</v>
      </c>
      <c r="I70" s="92" t="s">
        <v>755</v>
      </c>
      <c r="J70" s="43" t="s">
        <v>756</v>
      </c>
      <c r="K70" s="44" t="s">
        <v>757</v>
      </c>
      <c r="L70" s="93">
        <v>43970</v>
      </c>
      <c r="M70" s="93">
        <v>44005</v>
      </c>
      <c r="N70" s="46" t="s">
        <v>317</v>
      </c>
      <c r="O70" s="47">
        <v>0.5</v>
      </c>
      <c r="P70" s="94">
        <v>44018</v>
      </c>
      <c r="Q70" s="46" t="s">
        <v>758</v>
      </c>
      <c r="R70" s="22" t="s">
        <v>392</v>
      </c>
      <c r="S70" s="69">
        <v>44010</v>
      </c>
      <c r="T70" s="69">
        <v>44019</v>
      </c>
      <c r="U70" s="18" t="s">
        <v>571</v>
      </c>
      <c r="V70" s="44" t="s">
        <v>605</v>
      </c>
      <c r="W70" s="69">
        <v>44032</v>
      </c>
      <c r="X70" s="94"/>
      <c r="Y70" s="32"/>
      <c r="Z70" s="84" t="s">
        <v>723</v>
      </c>
      <c r="AA70" s="84" t="s">
        <v>724</v>
      </c>
      <c r="AB70" s="84" t="s">
        <v>724</v>
      </c>
      <c r="AD70" s="84" t="s">
        <v>724</v>
      </c>
      <c r="AN70" s="80"/>
    </row>
    <row r="71" s="84" customFormat="1" ht="71.25" spans="1:40">
      <c r="A71" s="18">
        <v>6</v>
      </c>
      <c r="B71" s="94" t="s">
        <v>759</v>
      </c>
      <c r="C71" s="18" t="str">
        <f t="shared" si="0"/>
        <v>王烨炜未按照规定组织危大工程验收行政处罚案</v>
      </c>
      <c r="D71" s="91"/>
      <c r="E71" s="18" t="s">
        <v>760</v>
      </c>
      <c r="F71" s="18" t="s">
        <v>432</v>
      </c>
      <c r="G71" s="128" t="s">
        <v>761</v>
      </c>
      <c r="H71" s="22" t="s">
        <v>747</v>
      </c>
      <c r="I71" s="92" t="s">
        <v>762</v>
      </c>
      <c r="J71" s="43" t="s">
        <v>763</v>
      </c>
      <c r="K71" s="44" t="s">
        <v>764</v>
      </c>
      <c r="L71" s="93">
        <v>43970</v>
      </c>
      <c r="M71" s="93">
        <v>44005</v>
      </c>
      <c r="N71" s="46" t="s">
        <v>317</v>
      </c>
      <c r="O71" s="47">
        <v>0.5</v>
      </c>
      <c r="P71" s="94">
        <v>44018</v>
      </c>
      <c r="Q71" s="46" t="s">
        <v>765</v>
      </c>
      <c r="R71" s="22" t="s">
        <v>392</v>
      </c>
      <c r="S71" s="69">
        <v>44010</v>
      </c>
      <c r="T71" s="69">
        <v>44019</v>
      </c>
      <c r="U71" s="18" t="s">
        <v>571</v>
      </c>
      <c r="V71" s="44" t="s">
        <v>605</v>
      </c>
      <c r="W71" s="69">
        <v>44032</v>
      </c>
      <c r="X71" s="94"/>
      <c r="Y71" s="32"/>
      <c r="Z71" s="84" t="s">
        <v>723</v>
      </c>
      <c r="AA71" s="84" t="s">
        <v>724</v>
      </c>
      <c r="AB71" s="84" t="s">
        <v>724</v>
      </c>
      <c r="AD71" s="84" t="s">
        <v>724</v>
      </c>
      <c r="AN71" s="80"/>
    </row>
    <row r="72" s="84" customFormat="1" ht="85.5" spans="1:40">
      <c r="A72" s="18">
        <v>7</v>
      </c>
      <c r="B72" s="94" t="s">
        <v>766</v>
      </c>
      <c r="C72" s="18" t="s">
        <v>767</v>
      </c>
      <c r="D72" s="28" t="s">
        <v>768</v>
      </c>
      <c r="E72" s="21" t="s">
        <v>769</v>
      </c>
      <c r="F72" s="18" t="s">
        <v>770</v>
      </c>
      <c r="G72" s="128" t="s">
        <v>771</v>
      </c>
      <c r="H72" s="22" t="s">
        <v>772</v>
      </c>
      <c r="I72" s="92" t="s">
        <v>773</v>
      </c>
      <c r="J72" s="43" t="s">
        <v>774</v>
      </c>
      <c r="K72" s="44" t="s">
        <v>775</v>
      </c>
      <c r="L72" s="93">
        <v>43972</v>
      </c>
      <c r="M72" s="93">
        <v>44020</v>
      </c>
      <c r="N72" s="46" t="s">
        <v>317</v>
      </c>
      <c r="O72" s="47">
        <v>0.3</v>
      </c>
      <c r="P72" s="94">
        <v>44032</v>
      </c>
      <c r="Q72" s="46" t="s">
        <v>776</v>
      </c>
      <c r="R72" s="22" t="s">
        <v>487</v>
      </c>
      <c r="S72" s="69">
        <v>44027</v>
      </c>
      <c r="T72" s="69">
        <v>44027</v>
      </c>
      <c r="U72" s="18" t="s">
        <v>571</v>
      </c>
      <c r="V72" s="69" t="s">
        <v>777</v>
      </c>
      <c r="W72" s="69">
        <v>44032</v>
      </c>
      <c r="X72" s="94"/>
      <c r="Y72" s="32"/>
      <c r="Z72" s="84" t="s">
        <v>723</v>
      </c>
      <c r="AA72" s="84" t="s">
        <v>724</v>
      </c>
      <c r="AB72" s="84" t="s">
        <v>724</v>
      </c>
      <c r="AD72" s="84" t="s">
        <v>724</v>
      </c>
      <c r="AN72" s="80"/>
    </row>
    <row r="73" s="84" customFormat="1" ht="99.75" spans="1:40">
      <c r="A73" s="18">
        <v>8</v>
      </c>
      <c r="B73" s="73" t="s">
        <v>778</v>
      </c>
      <c r="C73" s="24" t="s">
        <v>779</v>
      </c>
      <c r="D73" s="97" t="s">
        <v>780</v>
      </c>
      <c r="E73" s="24" t="s">
        <v>781</v>
      </c>
      <c r="F73" s="24" t="s">
        <v>782</v>
      </c>
      <c r="G73" s="131" t="s">
        <v>783</v>
      </c>
      <c r="H73" s="24" t="s">
        <v>784</v>
      </c>
      <c r="I73" s="48" t="s">
        <v>785</v>
      </c>
      <c r="J73" s="48" t="s">
        <v>786</v>
      </c>
      <c r="K73" s="50" t="s">
        <v>787</v>
      </c>
      <c r="L73" s="49">
        <v>43978</v>
      </c>
      <c r="M73" s="49">
        <v>44014</v>
      </c>
      <c r="N73" s="51" t="s">
        <v>317</v>
      </c>
      <c r="O73" s="52">
        <v>0.3</v>
      </c>
      <c r="P73" s="50"/>
      <c r="Q73" s="51" t="s">
        <v>788</v>
      </c>
      <c r="R73" s="24" t="s">
        <v>445</v>
      </c>
      <c r="S73" s="73" t="s">
        <v>778</v>
      </c>
      <c r="T73" s="73" t="s">
        <v>778</v>
      </c>
      <c r="U73" s="73" t="s">
        <v>778</v>
      </c>
      <c r="V73" s="73" t="s">
        <v>778</v>
      </c>
      <c r="W73" s="70" t="s">
        <v>789</v>
      </c>
      <c r="X73" s="50"/>
      <c r="Y73" s="32"/>
      <c r="Z73" s="84" t="s">
        <v>723</v>
      </c>
      <c r="AA73" s="84" t="s">
        <v>724</v>
      </c>
      <c r="AB73" s="84" t="s">
        <v>724</v>
      </c>
      <c r="AD73" s="84" t="s">
        <v>724</v>
      </c>
      <c r="AN73" s="81"/>
    </row>
    <row r="74" s="84" customFormat="1" ht="57" spans="1:40">
      <c r="A74" s="18">
        <v>9</v>
      </c>
      <c r="B74" s="94" t="s">
        <v>790</v>
      </c>
      <c r="C74" s="18" t="str">
        <f t="shared" ref="C74:C76" si="1">_xlfn.CONCAT(E74,H74,"行政处罚案")</f>
        <v>远洋国际建设有限公司未按照规定组织危大工程验收行政处罚案</v>
      </c>
      <c r="D74" s="91" t="s">
        <v>791</v>
      </c>
      <c r="E74" s="18" t="s">
        <v>792</v>
      </c>
      <c r="F74" s="18" t="s">
        <v>332</v>
      </c>
      <c r="G74" s="129" t="s">
        <v>793</v>
      </c>
      <c r="H74" s="18" t="s">
        <v>747</v>
      </c>
      <c r="I74" s="92" t="s">
        <v>794</v>
      </c>
      <c r="J74" s="43" t="s">
        <v>795</v>
      </c>
      <c r="K74" s="22" t="s">
        <v>796</v>
      </c>
      <c r="L74" s="93">
        <v>44026</v>
      </c>
      <c r="M74" s="93">
        <v>44056</v>
      </c>
      <c r="N74" s="46" t="s">
        <v>317</v>
      </c>
      <c r="O74" s="47">
        <v>3</v>
      </c>
      <c r="P74" s="94">
        <v>44085</v>
      </c>
      <c r="Q74" s="132" t="s">
        <v>797</v>
      </c>
      <c r="R74" s="22" t="s">
        <v>392</v>
      </c>
      <c r="S74" s="69">
        <v>44060</v>
      </c>
      <c r="T74" s="69">
        <f t="shared" ref="T74:T76" si="2">+$M74+5</f>
        <v>44061</v>
      </c>
      <c r="U74" s="69" t="s">
        <v>42</v>
      </c>
      <c r="V74" s="69" t="s">
        <v>798</v>
      </c>
      <c r="W74" s="69">
        <v>44062</v>
      </c>
      <c r="X74" s="44"/>
      <c r="Y74" s="32"/>
      <c r="Z74" s="84" t="s">
        <v>723</v>
      </c>
      <c r="AA74" s="84" t="s">
        <v>724</v>
      </c>
      <c r="AB74" s="84" t="s">
        <v>724</v>
      </c>
      <c r="AD74" s="84" t="s">
        <v>724</v>
      </c>
      <c r="AN74" s="133" t="s">
        <v>799</v>
      </c>
    </row>
    <row r="75" s="84" customFormat="1" ht="57" spans="1:40">
      <c r="A75" s="18">
        <v>10</v>
      </c>
      <c r="B75" s="94" t="s">
        <v>800</v>
      </c>
      <c r="C75" s="18" t="str">
        <f t="shared" si="1"/>
        <v>黄灵俊未按照规定组织危大工程验收行政处罚案</v>
      </c>
      <c r="D75" s="91"/>
      <c r="E75" s="18" t="s">
        <v>801</v>
      </c>
      <c r="F75" s="18" t="s">
        <v>425</v>
      </c>
      <c r="G75" s="129" t="s">
        <v>802</v>
      </c>
      <c r="H75" s="18" t="s">
        <v>747</v>
      </c>
      <c r="I75" s="92" t="s">
        <v>803</v>
      </c>
      <c r="J75" s="43" t="s">
        <v>804</v>
      </c>
      <c r="K75" s="22" t="s">
        <v>805</v>
      </c>
      <c r="L75" s="93">
        <v>44026</v>
      </c>
      <c r="M75" s="93">
        <v>44056</v>
      </c>
      <c r="N75" s="46" t="s">
        <v>317</v>
      </c>
      <c r="O75" s="47">
        <v>0.5</v>
      </c>
      <c r="P75" s="94">
        <v>44085</v>
      </c>
      <c r="Q75" s="132" t="s">
        <v>806</v>
      </c>
      <c r="R75" s="22" t="s">
        <v>392</v>
      </c>
      <c r="S75" s="69">
        <v>44060</v>
      </c>
      <c r="T75" s="69">
        <f t="shared" si="2"/>
        <v>44061</v>
      </c>
      <c r="U75" s="69" t="s">
        <v>42</v>
      </c>
      <c r="V75" s="69" t="s">
        <v>605</v>
      </c>
      <c r="W75" s="69">
        <v>44062</v>
      </c>
      <c r="X75" s="94"/>
      <c r="Y75" s="32"/>
      <c r="Z75" s="84" t="s">
        <v>723</v>
      </c>
      <c r="AA75" s="84" t="s">
        <v>724</v>
      </c>
      <c r="AB75" s="84" t="s">
        <v>724</v>
      </c>
      <c r="AD75" s="84" t="s">
        <v>724</v>
      </c>
      <c r="AN75" s="133" t="s">
        <v>807</v>
      </c>
    </row>
    <row r="76" s="84" customFormat="1" ht="57" spans="1:40">
      <c r="A76" s="18">
        <v>11</v>
      </c>
      <c r="B76" s="94" t="s">
        <v>808</v>
      </c>
      <c r="C76" s="18" t="str">
        <f t="shared" si="1"/>
        <v>姜海建未按照规定组织危大工程验收行政处罚案</v>
      </c>
      <c r="D76" s="91"/>
      <c r="E76" s="18" t="s">
        <v>809</v>
      </c>
      <c r="F76" s="18" t="s">
        <v>432</v>
      </c>
      <c r="G76" s="129" t="s">
        <v>810</v>
      </c>
      <c r="H76" s="18" t="s">
        <v>747</v>
      </c>
      <c r="I76" s="92" t="s">
        <v>811</v>
      </c>
      <c r="J76" s="43" t="s">
        <v>812</v>
      </c>
      <c r="K76" s="22" t="s">
        <v>813</v>
      </c>
      <c r="L76" s="93">
        <v>44026</v>
      </c>
      <c r="M76" s="93">
        <v>44056</v>
      </c>
      <c r="N76" s="46" t="s">
        <v>317</v>
      </c>
      <c r="O76" s="47">
        <v>0.5</v>
      </c>
      <c r="P76" s="94">
        <v>44085</v>
      </c>
      <c r="Q76" s="132" t="s">
        <v>814</v>
      </c>
      <c r="R76" s="22" t="s">
        <v>392</v>
      </c>
      <c r="S76" s="69">
        <v>44060</v>
      </c>
      <c r="T76" s="69">
        <f t="shared" si="2"/>
        <v>44061</v>
      </c>
      <c r="U76" s="69" t="s">
        <v>42</v>
      </c>
      <c r="V76" s="69" t="s">
        <v>605</v>
      </c>
      <c r="W76" s="69">
        <v>44062</v>
      </c>
      <c r="X76" s="94"/>
      <c r="Y76" s="32"/>
      <c r="Z76" s="84" t="s">
        <v>723</v>
      </c>
      <c r="AA76" s="84" t="s">
        <v>724</v>
      </c>
      <c r="AB76" s="84" t="s">
        <v>724</v>
      </c>
      <c r="AD76" s="84" t="s">
        <v>724</v>
      </c>
      <c r="AN76" s="133" t="s">
        <v>815</v>
      </c>
    </row>
    <row r="77" s="84" customFormat="1" ht="71.25" spans="1:40">
      <c r="A77" s="18">
        <v>12</v>
      </c>
      <c r="B77" s="18" t="s">
        <v>816</v>
      </c>
      <c r="C77" s="18" t="s">
        <v>817</v>
      </c>
      <c r="D77" s="91" t="s">
        <v>692</v>
      </c>
      <c r="E77" s="18" t="s">
        <v>818</v>
      </c>
      <c r="F77" s="18" t="s">
        <v>770</v>
      </c>
      <c r="G77" s="129" t="s">
        <v>819</v>
      </c>
      <c r="H77" s="18" t="s">
        <v>820</v>
      </c>
      <c r="I77" s="92" t="s">
        <v>821</v>
      </c>
      <c r="J77" s="43" t="s">
        <v>786</v>
      </c>
      <c r="K77" s="22" t="s">
        <v>822</v>
      </c>
      <c r="L77" s="93">
        <v>44048</v>
      </c>
      <c r="M77" s="93">
        <v>44101</v>
      </c>
      <c r="N77" s="46" t="s">
        <v>317</v>
      </c>
      <c r="O77" s="47">
        <v>0.3</v>
      </c>
      <c r="P77" s="94">
        <v>44125</v>
      </c>
      <c r="Q77" s="132" t="s">
        <v>823</v>
      </c>
      <c r="R77" s="22" t="s">
        <v>445</v>
      </c>
      <c r="S77" s="69">
        <v>44103</v>
      </c>
      <c r="T77" s="69">
        <v>44103</v>
      </c>
      <c r="U77" s="69" t="s">
        <v>42</v>
      </c>
      <c r="V77" s="69">
        <v>44103</v>
      </c>
      <c r="W77" s="69">
        <v>44103</v>
      </c>
      <c r="X77" s="94"/>
      <c r="Y77" s="32"/>
      <c r="Z77" s="84" t="s">
        <v>723</v>
      </c>
      <c r="AA77" s="84" t="s">
        <v>724</v>
      </c>
      <c r="AB77" s="84" t="s">
        <v>724</v>
      </c>
      <c r="AD77" s="84" t="s">
        <v>724</v>
      </c>
      <c r="AN77" s="133" t="s">
        <v>824</v>
      </c>
    </row>
    <row r="78" s="84" customFormat="1" ht="71.25" spans="1:40">
      <c r="A78" s="18">
        <v>13</v>
      </c>
      <c r="B78" s="18" t="s">
        <v>825</v>
      </c>
      <c r="C78" s="18" t="s">
        <v>826</v>
      </c>
      <c r="D78" s="91" t="s">
        <v>827</v>
      </c>
      <c r="E78" s="18" t="s">
        <v>828</v>
      </c>
      <c r="F78" s="18" t="s">
        <v>332</v>
      </c>
      <c r="G78" s="129" t="s">
        <v>829</v>
      </c>
      <c r="H78" s="18" t="s">
        <v>826</v>
      </c>
      <c r="I78" s="92" t="s">
        <v>830</v>
      </c>
      <c r="J78" s="43" t="s">
        <v>831</v>
      </c>
      <c r="K78" s="22" t="s">
        <v>832</v>
      </c>
      <c r="L78" s="45">
        <v>44117</v>
      </c>
      <c r="M78" s="93">
        <v>44144</v>
      </c>
      <c r="N78" s="46" t="s">
        <v>317</v>
      </c>
      <c r="O78" s="47">
        <v>2</v>
      </c>
      <c r="P78" s="50"/>
      <c r="Q78" s="94"/>
      <c r="R78" s="22" t="s">
        <v>487</v>
      </c>
      <c r="S78" s="69">
        <v>44148</v>
      </c>
      <c r="T78" s="69">
        <v>44148</v>
      </c>
      <c r="U78" s="69" t="s">
        <v>42</v>
      </c>
      <c r="V78" s="69">
        <v>44151</v>
      </c>
      <c r="W78" s="69">
        <v>44151</v>
      </c>
      <c r="X78" s="44"/>
      <c r="Y78" s="32"/>
      <c r="Z78" s="84" t="s">
        <v>723</v>
      </c>
      <c r="AA78" s="84" t="s">
        <v>724</v>
      </c>
      <c r="AB78" s="84" t="s">
        <v>724</v>
      </c>
      <c r="AD78" s="84" t="s">
        <v>724</v>
      </c>
      <c r="AN78" s="133" t="s">
        <v>833</v>
      </c>
    </row>
    <row r="79" s="84" customFormat="1" ht="71.25" spans="1:40">
      <c r="A79" s="18">
        <v>14</v>
      </c>
      <c r="B79" s="18" t="s">
        <v>825</v>
      </c>
      <c r="C79" s="18" t="s">
        <v>834</v>
      </c>
      <c r="D79" s="91"/>
      <c r="E79" s="21" t="s">
        <v>835</v>
      </c>
      <c r="F79" s="18" t="s">
        <v>425</v>
      </c>
      <c r="G79" s="128" t="s">
        <v>836</v>
      </c>
      <c r="H79" s="18" t="s">
        <v>837</v>
      </c>
      <c r="I79" s="92" t="s">
        <v>838</v>
      </c>
      <c r="J79" s="43" t="s">
        <v>839</v>
      </c>
      <c r="K79" s="22" t="s">
        <v>840</v>
      </c>
      <c r="L79" s="45">
        <v>44117</v>
      </c>
      <c r="M79" s="93">
        <v>44144</v>
      </c>
      <c r="N79" s="46" t="s">
        <v>317</v>
      </c>
      <c r="O79" s="47">
        <v>0.3</v>
      </c>
      <c r="P79" s="50"/>
      <c r="Q79" s="94"/>
      <c r="R79" s="22" t="s">
        <v>487</v>
      </c>
      <c r="S79" s="69">
        <v>44148</v>
      </c>
      <c r="T79" s="69">
        <v>44148</v>
      </c>
      <c r="U79" s="69" t="s">
        <v>42</v>
      </c>
      <c r="V79" s="69">
        <v>44151</v>
      </c>
      <c r="W79" s="69">
        <v>44151</v>
      </c>
      <c r="X79" s="44"/>
      <c r="Y79" s="32"/>
      <c r="Z79" s="84" t="s">
        <v>723</v>
      </c>
      <c r="AA79" s="84" t="s">
        <v>724</v>
      </c>
      <c r="AB79" s="84" t="s">
        <v>724</v>
      </c>
      <c r="AD79" s="84" t="s">
        <v>724</v>
      </c>
      <c r="AN79" s="133" t="s">
        <v>841</v>
      </c>
    </row>
    <row r="80" s="84" customFormat="1" ht="71.25" spans="1:40">
      <c r="A80" s="18">
        <v>15</v>
      </c>
      <c r="B80" s="18" t="s">
        <v>825</v>
      </c>
      <c r="C80" s="18" t="s">
        <v>842</v>
      </c>
      <c r="D80" s="91"/>
      <c r="E80" s="22" t="s">
        <v>843</v>
      </c>
      <c r="F80" s="18" t="s">
        <v>432</v>
      </c>
      <c r="G80" s="129" t="s">
        <v>844</v>
      </c>
      <c r="H80" s="18" t="s">
        <v>845</v>
      </c>
      <c r="I80" s="92" t="s">
        <v>846</v>
      </c>
      <c r="J80" s="43" t="s">
        <v>847</v>
      </c>
      <c r="K80" s="22" t="s">
        <v>848</v>
      </c>
      <c r="L80" s="45">
        <v>44117</v>
      </c>
      <c r="M80" s="93">
        <v>44144</v>
      </c>
      <c r="N80" s="46" t="s">
        <v>317</v>
      </c>
      <c r="O80" s="47">
        <v>0.3</v>
      </c>
      <c r="P80" s="50"/>
      <c r="Q80" s="94"/>
      <c r="R80" s="22" t="s">
        <v>487</v>
      </c>
      <c r="S80" s="69">
        <v>44148</v>
      </c>
      <c r="T80" s="69">
        <v>44148</v>
      </c>
      <c r="U80" s="69" t="s">
        <v>42</v>
      </c>
      <c r="V80" s="69">
        <v>44151</v>
      </c>
      <c r="W80" s="69">
        <v>44151</v>
      </c>
      <c r="X80" s="44"/>
      <c r="Y80" s="32"/>
      <c r="Z80" s="84" t="s">
        <v>723</v>
      </c>
      <c r="AA80" s="84" t="s">
        <v>724</v>
      </c>
      <c r="AB80" s="84" t="s">
        <v>724</v>
      </c>
      <c r="AD80" s="84" t="s">
        <v>724</v>
      </c>
      <c r="AN80" s="133" t="s">
        <v>849</v>
      </c>
    </row>
    <row r="81" s="32" customFormat="1" ht="57" spans="1:40">
      <c r="A81" s="18" t="s">
        <v>850</v>
      </c>
      <c r="B81" s="19">
        <v>20203000007</v>
      </c>
      <c r="C81" s="18" t="s">
        <v>718</v>
      </c>
      <c r="D81" s="91" t="s">
        <v>851</v>
      </c>
      <c r="E81" s="21" t="s">
        <v>852</v>
      </c>
      <c r="F81" s="18" t="s">
        <v>853</v>
      </c>
      <c r="G81" s="129" t="s">
        <v>854</v>
      </c>
      <c r="H81" s="18" t="s">
        <v>718</v>
      </c>
      <c r="I81" s="43" t="s">
        <v>855</v>
      </c>
      <c r="J81" s="43" t="s">
        <v>856</v>
      </c>
      <c r="K81" s="22" t="s">
        <v>857</v>
      </c>
      <c r="L81" s="45">
        <v>44183</v>
      </c>
      <c r="M81" s="45">
        <v>44257</v>
      </c>
      <c r="N81" s="46" t="s">
        <v>317</v>
      </c>
      <c r="O81" s="47">
        <v>0.4999</v>
      </c>
      <c r="P81" s="44">
        <v>44264</v>
      </c>
      <c r="Q81" s="134" t="s">
        <v>858</v>
      </c>
      <c r="R81" s="22" t="s">
        <v>445</v>
      </c>
      <c r="S81" s="69">
        <v>44259</v>
      </c>
      <c r="T81" s="69">
        <v>44260</v>
      </c>
      <c r="U81" s="69" t="s">
        <v>42</v>
      </c>
      <c r="V81" s="69">
        <v>44259</v>
      </c>
      <c r="W81" s="69">
        <v>44259</v>
      </c>
      <c r="X81" s="44" t="s">
        <v>859</v>
      </c>
      <c r="Z81" s="84" t="s">
        <v>723</v>
      </c>
      <c r="AA81" s="84" t="s">
        <v>724</v>
      </c>
      <c r="AB81" s="84" t="s">
        <v>724</v>
      </c>
      <c r="AC81" s="84"/>
      <c r="AD81" s="84" t="s">
        <v>724</v>
      </c>
      <c r="AN81" s="133" t="s">
        <v>860</v>
      </c>
    </row>
    <row r="82" s="32" customFormat="1" ht="99.75" spans="1:40">
      <c r="A82" s="18" t="s">
        <v>850</v>
      </c>
      <c r="B82" s="19">
        <v>20203000009</v>
      </c>
      <c r="C82" s="18" t="s">
        <v>817</v>
      </c>
      <c r="D82" s="28" t="s">
        <v>861</v>
      </c>
      <c r="E82" s="21" t="s">
        <v>862</v>
      </c>
      <c r="F82" s="18" t="s">
        <v>770</v>
      </c>
      <c r="G82" s="128" t="s">
        <v>863</v>
      </c>
      <c r="H82" s="22" t="s">
        <v>817</v>
      </c>
      <c r="I82" s="43" t="s">
        <v>864</v>
      </c>
      <c r="J82" s="43" t="s">
        <v>865</v>
      </c>
      <c r="K82" s="22" t="s">
        <v>866</v>
      </c>
      <c r="L82" s="45">
        <v>44190</v>
      </c>
      <c r="M82" s="45">
        <v>44257</v>
      </c>
      <c r="N82" s="46" t="s">
        <v>317</v>
      </c>
      <c r="O82" s="47">
        <v>0.3</v>
      </c>
      <c r="P82" s="44">
        <v>44264</v>
      </c>
      <c r="Q82" s="94"/>
      <c r="R82" s="22" t="s">
        <v>445</v>
      </c>
      <c r="S82" s="69">
        <v>44259</v>
      </c>
      <c r="T82" s="69">
        <v>44260</v>
      </c>
      <c r="U82" s="69" t="s">
        <v>42</v>
      </c>
      <c r="V82" s="69">
        <v>44259</v>
      </c>
      <c r="W82" s="69">
        <v>44259</v>
      </c>
      <c r="X82" s="44" t="s">
        <v>859</v>
      </c>
      <c r="Z82" s="84" t="s">
        <v>723</v>
      </c>
      <c r="AA82" s="84" t="s">
        <v>724</v>
      </c>
      <c r="AB82" s="84" t="s">
        <v>724</v>
      </c>
      <c r="AC82" s="84"/>
      <c r="AD82" s="84" t="s">
        <v>724</v>
      </c>
      <c r="AN82" s="133" t="s">
        <v>867</v>
      </c>
    </row>
    <row r="83" s="32" customFormat="1" ht="99.75" spans="1:40">
      <c r="A83" s="18">
        <v>1</v>
      </c>
      <c r="B83" s="19">
        <v>20213000011</v>
      </c>
      <c r="C83" s="18" t="s">
        <v>868</v>
      </c>
      <c r="D83" s="28" t="s">
        <v>869</v>
      </c>
      <c r="E83" s="21" t="s">
        <v>870</v>
      </c>
      <c r="F83" s="22" t="s">
        <v>324</v>
      </c>
      <c r="G83" s="128" t="s">
        <v>871</v>
      </c>
      <c r="H83" s="22" t="s">
        <v>610</v>
      </c>
      <c r="I83" s="43" t="s">
        <v>872</v>
      </c>
      <c r="J83" s="43" t="s">
        <v>873</v>
      </c>
      <c r="K83" s="22" t="s">
        <v>874</v>
      </c>
      <c r="L83" s="45">
        <v>44277</v>
      </c>
      <c r="M83" s="45">
        <v>44328</v>
      </c>
      <c r="N83" s="46" t="s">
        <v>317</v>
      </c>
      <c r="O83" s="47">
        <v>1.5</v>
      </c>
      <c r="P83" s="44">
        <v>44340</v>
      </c>
      <c r="Q83" s="94"/>
      <c r="R83" s="22" t="s">
        <v>875</v>
      </c>
      <c r="S83" s="69">
        <v>44329</v>
      </c>
      <c r="T83" s="69">
        <v>44330</v>
      </c>
      <c r="U83" s="69" t="s">
        <v>42</v>
      </c>
      <c r="V83" s="69">
        <v>44336</v>
      </c>
      <c r="W83" s="69">
        <v>44330</v>
      </c>
      <c r="X83" s="44" t="s">
        <v>876</v>
      </c>
      <c r="Z83" s="84" t="s">
        <v>723</v>
      </c>
      <c r="AA83" s="84" t="s">
        <v>724</v>
      </c>
      <c r="AB83" s="84" t="s">
        <v>724</v>
      </c>
      <c r="AC83" s="84"/>
      <c r="AD83" s="84" t="s">
        <v>724</v>
      </c>
      <c r="AN83" s="133" t="s">
        <v>877</v>
      </c>
    </row>
    <row r="84" s="32" customFormat="1" ht="114" spans="1:40">
      <c r="A84" s="18">
        <v>2</v>
      </c>
      <c r="B84" s="19">
        <v>20213000012</v>
      </c>
      <c r="C84" s="18" t="s">
        <v>868</v>
      </c>
      <c r="D84" s="28"/>
      <c r="E84" s="21" t="s">
        <v>878</v>
      </c>
      <c r="F84" s="18" t="s">
        <v>667</v>
      </c>
      <c r="G84" s="128" t="s">
        <v>879</v>
      </c>
      <c r="H84" s="22" t="s">
        <v>610</v>
      </c>
      <c r="I84" s="43" t="s">
        <v>880</v>
      </c>
      <c r="J84" s="43" t="s">
        <v>881</v>
      </c>
      <c r="K84" s="22" t="s">
        <v>882</v>
      </c>
      <c r="L84" s="45">
        <v>44277</v>
      </c>
      <c r="M84" s="45">
        <v>44328</v>
      </c>
      <c r="N84" s="46" t="s">
        <v>317</v>
      </c>
      <c r="O84" s="47">
        <v>0.25</v>
      </c>
      <c r="P84" s="44">
        <v>44340</v>
      </c>
      <c r="Q84" s="94"/>
      <c r="R84" s="22" t="s">
        <v>875</v>
      </c>
      <c r="S84" s="69">
        <v>44329</v>
      </c>
      <c r="T84" s="69">
        <v>44330</v>
      </c>
      <c r="U84" s="69" t="s">
        <v>42</v>
      </c>
      <c r="V84" s="69">
        <v>44336</v>
      </c>
      <c r="W84" s="69">
        <v>44330</v>
      </c>
      <c r="X84" s="44" t="s">
        <v>883</v>
      </c>
      <c r="Z84" s="84" t="s">
        <v>723</v>
      </c>
      <c r="AA84" s="84" t="s">
        <v>724</v>
      </c>
      <c r="AB84" s="84" t="s">
        <v>724</v>
      </c>
      <c r="AC84" s="84"/>
      <c r="AD84" s="84" t="s">
        <v>724</v>
      </c>
      <c r="AN84" s="133" t="s">
        <v>884</v>
      </c>
    </row>
    <row r="85" s="32" customFormat="1" ht="114" spans="1:40">
      <c r="A85" s="18">
        <v>3</v>
      </c>
      <c r="B85" s="19">
        <v>20213000013</v>
      </c>
      <c r="C85" s="18" t="str">
        <f>_xlfn.CONCAT(E85,H85,"行政处罚案")</f>
        <v>黄国林未按规定建立危大工程安全管理档案行政处罚案</v>
      </c>
      <c r="D85" s="28"/>
      <c r="E85" s="21" t="s">
        <v>885</v>
      </c>
      <c r="F85" s="18" t="s">
        <v>675</v>
      </c>
      <c r="G85" s="128" t="s">
        <v>886</v>
      </c>
      <c r="H85" s="22" t="s">
        <v>610</v>
      </c>
      <c r="I85" s="98" t="s">
        <v>887</v>
      </c>
      <c r="J85" s="43" t="s">
        <v>888</v>
      </c>
      <c r="K85" s="22" t="s">
        <v>889</v>
      </c>
      <c r="L85" s="45">
        <v>44277</v>
      </c>
      <c r="M85" s="45">
        <v>44328</v>
      </c>
      <c r="N85" s="46" t="s">
        <v>317</v>
      </c>
      <c r="O85" s="47">
        <v>0.25</v>
      </c>
      <c r="P85" s="44">
        <v>44340</v>
      </c>
      <c r="Q85" s="94"/>
      <c r="R85" s="22" t="s">
        <v>875</v>
      </c>
      <c r="S85" s="69">
        <v>44329</v>
      </c>
      <c r="T85" s="69">
        <v>44330</v>
      </c>
      <c r="U85" s="69" t="s">
        <v>42</v>
      </c>
      <c r="V85" s="69">
        <v>44336</v>
      </c>
      <c r="W85" s="69">
        <v>44330</v>
      </c>
      <c r="X85" s="44" t="s">
        <v>883</v>
      </c>
      <c r="Z85" s="84" t="s">
        <v>723</v>
      </c>
      <c r="AA85" s="84" t="s">
        <v>724</v>
      </c>
      <c r="AB85" s="84" t="s">
        <v>724</v>
      </c>
      <c r="AC85" s="84"/>
      <c r="AD85" s="84" t="s">
        <v>724</v>
      </c>
      <c r="AN85" s="133" t="s">
        <v>890</v>
      </c>
    </row>
    <row r="86" s="32" customFormat="1" ht="57" spans="1:40">
      <c r="A86" s="18">
        <v>4</v>
      </c>
      <c r="B86" s="19">
        <v>20213000055</v>
      </c>
      <c r="C86" s="18" t="s">
        <v>891</v>
      </c>
      <c r="D86" s="28" t="s">
        <v>892</v>
      </c>
      <c r="E86" s="21" t="s">
        <v>229</v>
      </c>
      <c r="F86" s="22" t="s">
        <v>332</v>
      </c>
      <c r="G86" s="128" t="s">
        <v>230</v>
      </c>
      <c r="H86" s="22" t="s">
        <v>893</v>
      </c>
      <c r="I86" s="55" t="s">
        <v>894</v>
      </c>
      <c r="J86" s="43" t="s">
        <v>895</v>
      </c>
      <c r="K86" s="44" t="s">
        <v>896</v>
      </c>
      <c r="L86" s="45">
        <v>44322</v>
      </c>
      <c r="M86" s="45">
        <v>44376</v>
      </c>
      <c r="N86" s="46" t="s">
        <v>317</v>
      </c>
      <c r="O86" s="47">
        <v>2.5</v>
      </c>
      <c r="P86" s="44">
        <v>44382</v>
      </c>
      <c r="Q86" s="94"/>
      <c r="R86" s="22" t="s">
        <v>445</v>
      </c>
      <c r="S86" s="68">
        <v>44382</v>
      </c>
      <c r="T86" s="68">
        <v>44382</v>
      </c>
      <c r="U86" s="69" t="s">
        <v>42</v>
      </c>
      <c r="V86" s="69">
        <v>44378</v>
      </c>
      <c r="W86" s="69">
        <v>44378</v>
      </c>
      <c r="X86" s="44" t="s">
        <v>897</v>
      </c>
      <c r="Z86" s="84" t="s">
        <v>723</v>
      </c>
      <c r="AA86" s="84" t="s">
        <v>724</v>
      </c>
      <c r="AB86" s="84" t="s">
        <v>724</v>
      </c>
      <c r="AC86" s="84"/>
      <c r="AD86" s="84" t="s">
        <v>724</v>
      </c>
      <c r="AN86" s="133" t="s">
        <v>898</v>
      </c>
    </row>
    <row r="87" s="32" customFormat="1" ht="99.75" spans="1:40">
      <c r="A87" s="18">
        <v>5</v>
      </c>
      <c r="B87" s="19">
        <v>20213000064</v>
      </c>
      <c r="C87" s="18" t="s">
        <v>899</v>
      </c>
      <c r="D87" s="28" t="s">
        <v>900</v>
      </c>
      <c r="E87" s="21" t="s">
        <v>901</v>
      </c>
      <c r="F87" s="22" t="s">
        <v>332</v>
      </c>
      <c r="G87" s="128" t="s">
        <v>902</v>
      </c>
      <c r="H87" s="22" t="s">
        <v>747</v>
      </c>
      <c r="I87" s="43" t="s">
        <v>903</v>
      </c>
      <c r="J87" s="43" t="s">
        <v>904</v>
      </c>
      <c r="K87" s="44" t="s">
        <v>905</v>
      </c>
      <c r="L87" s="45">
        <v>44326</v>
      </c>
      <c r="M87" s="45">
        <v>44376</v>
      </c>
      <c r="N87" s="46" t="s">
        <v>317</v>
      </c>
      <c r="O87" s="47">
        <v>1.6</v>
      </c>
      <c r="P87" s="44">
        <v>44396</v>
      </c>
      <c r="Q87" s="44"/>
      <c r="R87" s="22" t="s">
        <v>392</v>
      </c>
      <c r="S87" s="68">
        <v>44382</v>
      </c>
      <c r="T87" s="68">
        <v>44382</v>
      </c>
      <c r="U87" s="69" t="s">
        <v>42</v>
      </c>
      <c r="V87" s="69">
        <v>44378</v>
      </c>
      <c r="W87" s="69">
        <v>44378</v>
      </c>
      <c r="X87" s="44"/>
      <c r="Y87" s="32" t="s">
        <v>906</v>
      </c>
      <c r="Z87" s="84" t="s">
        <v>723</v>
      </c>
      <c r="AA87" s="84" t="s">
        <v>724</v>
      </c>
      <c r="AB87" s="84" t="s">
        <v>724</v>
      </c>
      <c r="AC87" s="84"/>
      <c r="AD87" s="84" t="s">
        <v>724</v>
      </c>
      <c r="AN87" s="133" t="s">
        <v>907</v>
      </c>
    </row>
    <row r="88" s="32" customFormat="1" ht="99.75" spans="1:40">
      <c r="A88" s="18">
        <v>6</v>
      </c>
      <c r="B88" s="19">
        <v>20213000067</v>
      </c>
      <c r="C88" s="18" t="s">
        <v>908</v>
      </c>
      <c r="D88" s="28"/>
      <c r="E88" s="21" t="s">
        <v>909</v>
      </c>
      <c r="F88" s="22" t="s">
        <v>425</v>
      </c>
      <c r="G88" s="128" t="s">
        <v>910</v>
      </c>
      <c r="H88" s="22" t="s">
        <v>747</v>
      </c>
      <c r="I88" s="43" t="s">
        <v>911</v>
      </c>
      <c r="J88" s="43" t="s">
        <v>912</v>
      </c>
      <c r="K88" s="44" t="s">
        <v>913</v>
      </c>
      <c r="L88" s="45">
        <v>44326</v>
      </c>
      <c r="M88" s="45">
        <v>44376</v>
      </c>
      <c r="N88" s="46" t="s">
        <v>317</v>
      </c>
      <c r="O88" s="47">
        <v>0.25</v>
      </c>
      <c r="P88" s="44">
        <v>44396</v>
      </c>
      <c r="Q88" s="44"/>
      <c r="R88" s="22" t="s">
        <v>392</v>
      </c>
      <c r="S88" s="68">
        <v>44382</v>
      </c>
      <c r="T88" s="68">
        <v>44382</v>
      </c>
      <c r="U88" s="69" t="s">
        <v>42</v>
      </c>
      <c r="V88" s="69">
        <v>44378</v>
      </c>
      <c r="W88" s="69">
        <v>44378</v>
      </c>
      <c r="X88" s="44"/>
      <c r="Y88" s="32" t="s">
        <v>906</v>
      </c>
      <c r="Z88" s="84" t="s">
        <v>723</v>
      </c>
      <c r="AA88" s="84" t="s">
        <v>724</v>
      </c>
      <c r="AB88" s="84" t="s">
        <v>724</v>
      </c>
      <c r="AC88" s="84"/>
      <c r="AD88" s="84" t="s">
        <v>724</v>
      </c>
      <c r="AN88" s="133" t="s">
        <v>914</v>
      </c>
    </row>
    <row r="89" s="32" customFormat="1" ht="99.75" spans="1:40">
      <c r="A89" s="18">
        <v>7</v>
      </c>
      <c r="B89" s="19">
        <v>20213000067</v>
      </c>
      <c r="C89" s="18" t="s">
        <v>915</v>
      </c>
      <c r="D89" s="28"/>
      <c r="E89" s="21" t="s">
        <v>916</v>
      </c>
      <c r="F89" s="22" t="s">
        <v>432</v>
      </c>
      <c r="G89" s="128" t="s">
        <v>917</v>
      </c>
      <c r="H89" s="22" t="s">
        <v>747</v>
      </c>
      <c r="I89" s="43" t="s">
        <v>918</v>
      </c>
      <c r="J89" s="43" t="s">
        <v>919</v>
      </c>
      <c r="K89" s="44" t="s">
        <v>920</v>
      </c>
      <c r="L89" s="45">
        <v>44326</v>
      </c>
      <c r="M89" s="45">
        <v>44376</v>
      </c>
      <c r="N89" s="46" t="s">
        <v>317</v>
      </c>
      <c r="O89" s="47">
        <v>0.25</v>
      </c>
      <c r="P89" s="44">
        <v>44396</v>
      </c>
      <c r="Q89" s="44"/>
      <c r="R89" s="22" t="s">
        <v>392</v>
      </c>
      <c r="S89" s="68">
        <v>44382</v>
      </c>
      <c r="T89" s="68">
        <v>44382</v>
      </c>
      <c r="U89" s="69" t="s">
        <v>42</v>
      </c>
      <c r="V89" s="69">
        <v>44378</v>
      </c>
      <c r="W89" s="69">
        <v>44378</v>
      </c>
      <c r="X89" s="44" t="s">
        <v>921</v>
      </c>
      <c r="Y89" s="32" t="s">
        <v>906</v>
      </c>
      <c r="Z89" s="84" t="s">
        <v>723</v>
      </c>
      <c r="AA89" s="84" t="s">
        <v>724</v>
      </c>
      <c r="AB89" s="84" t="s">
        <v>724</v>
      </c>
      <c r="AC89" s="84"/>
      <c r="AD89" s="84" t="s">
        <v>724</v>
      </c>
      <c r="AN89" s="133" t="s">
        <v>922</v>
      </c>
    </row>
    <row r="90" ht="71.25" spans="1:40">
      <c r="A90" s="18">
        <v>8</v>
      </c>
      <c r="B90" s="19" t="s">
        <v>923</v>
      </c>
      <c r="C90" s="18" t="s">
        <v>924</v>
      </c>
      <c r="D90" s="28" t="s">
        <v>925</v>
      </c>
      <c r="E90" s="21" t="s">
        <v>926</v>
      </c>
      <c r="F90" s="22" t="s">
        <v>332</v>
      </c>
      <c r="G90" s="128" t="s">
        <v>927</v>
      </c>
      <c r="H90" s="22" t="s">
        <v>600</v>
      </c>
      <c r="I90" s="55" t="s">
        <v>928</v>
      </c>
      <c r="J90" s="43" t="s">
        <v>929</v>
      </c>
      <c r="K90" s="44" t="s">
        <v>930</v>
      </c>
      <c r="L90" s="45">
        <v>44350</v>
      </c>
      <c r="M90" s="45">
        <v>44389</v>
      </c>
      <c r="N90" s="46" t="s">
        <v>317</v>
      </c>
      <c r="O90" s="47">
        <v>3</v>
      </c>
      <c r="P90" s="44">
        <v>44400</v>
      </c>
      <c r="Q90" s="44"/>
      <c r="R90" s="22" t="s">
        <v>392</v>
      </c>
      <c r="S90" s="68">
        <v>44391</v>
      </c>
      <c r="T90" s="69">
        <v>44392</v>
      </c>
      <c r="U90" s="69" t="s">
        <v>42</v>
      </c>
      <c r="V90" s="69">
        <v>44391</v>
      </c>
      <c r="W90" s="69">
        <v>44392</v>
      </c>
      <c r="X90" s="44" t="s">
        <v>897</v>
      </c>
      <c r="Z90" s="84" t="s">
        <v>723</v>
      </c>
      <c r="AA90" s="84" t="s">
        <v>724</v>
      </c>
      <c r="AB90" s="84" t="s">
        <v>724</v>
      </c>
      <c r="AC90" s="84"/>
      <c r="AD90" s="84" t="s">
        <v>724</v>
      </c>
      <c r="AE90" s="32"/>
      <c r="AN90" s="133" t="s">
        <v>931</v>
      </c>
    </row>
    <row r="91" ht="71.25" spans="1:40">
      <c r="A91" s="18">
        <v>9</v>
      </c>
      <c r="B91" s="19" t="s">
        <v>932</v>
      </c>
      <c r="C91" s="18" t="s">
        <v>933</v>
      </c>
      <c r="D91" s="28" t="s">
        <v>934</v>
      </c>
      <c r="E91" s="21" t="s">
        <v>935</v>
      </c>
      <c r="F91" s="22" t="s">
        <v>332</v>
      </c>
      <c r="G91" s="128" t="s">
        <v>936</v>
      </c>
      <c r="H91" s="22" t="s">
        <v>893</v>
      </c>
      <c r="I91" s="55" t="s">
        <v>937</v>
      </c>
      <c r="J91" s="43" t="s">
        <v>938</v>
      </c>
      <c r="K91" s="44" t="s">
        <v>939</v>
      </c>
      <c r="L91" s="45">
        <v>44367</v>
      </c>
      <c r="M91" s="45">
        <v>44390</v>
      </c>
      <c r="N91" s="46" t="s">
        <v>317</v>
      </c>
      <c r="O91" s="47">
        <v>2.5</v>
      </c>
      <c r="P91" s="44">
        <v>44404</v>
      </c>
      <c r="Q91" s="44"/>
      <c r="R91" s="22" t="s">
        <v>875</v>
      </c>
      <c r="S91" s="68">
        <v>44390</v>
      </c>
      <c r="T91" s="69">
        <v>44392</v>
      </c>
      <c r="U91" s="69" t="s">
        <v>42</v>
      </c>
      <c r="V91" s="69">
        <v>44391</v>
      </c>
      <c r="W91" s="69">
        <v>44391</v>
      </c>
      <c r="X91" s="44" t="s">
        <v>897</v>
      </c>
      <c r="Y91" s="5" t="s">
        <v>906</v>
      </c>
      <c r="Z91" s="84" t="s">
        <v>723</v>
      </c>
      <c r="AA91" s="84" t="s">
        <v>724</v>
      </c>
      <c r="AB91" s="84" t="s">
        <v>724</v>
      </c>
      <c r="AC91" s="84"/>
      <c r="AD91" s="84" t="s">
        <v>724</v>
      </c>
      <c r="AE91" s="32"/>
      <c r="AN91" s="133" t="s">
        <v>940</v>
      </c>
    </row>
    <row r="92" ht="71.25" spans="1:40">
      <c r="A92" s="18">
        <v>10</v>
      </c>
      <c r="B92" s="19" t="s">
        <v>941</v>
      </c>
      <c r="C92" s="18" t="s">
        <v>942</v>
      </c>
      <c r="D92" s="28" t="s">
        <v>943</v>
      </c>
      <c r="E92" s="21" t="s">
        <v>944</v>
      </c>
      <c r="F92" s="22" t="s">
        <v>332</v>
      </c>
      <c r="G92" s="128" t="s">
        <v>945</v>
      </c>
      <c r="H92" s="22" t="s">
        <v>600</v>
      </c>
      <c r="I92" s="55" t="s">
        <v>946</v>
      </c>
      <c r="J92" s="43" t="s">
        <v>947</v>
      </c>
      <c r="K92" s="44" t="s">
        <v>948</v>
      </c>
      <c r="L92" s="45">
        <v>44367</v>
      </c>
      <c r="M92" s="45">
        <v>44389</v>
      </c>
      <c r="N92" s="46" t="s">
        <v>317</v>
      </c>
      <c r="O92" s="47">
        <v>2.5</v>
      </c>
      <c r="P92" s="44">
        <v>44400</v>
      </c>
      <c r="Q92" s="44"/>
      <c r="R92" s="22" t="s">
        <v>392</v>
      </c>
      <c r="S92" s="68">
        <v>44391</v>
      </c>
      <c r="T92" s="69">
        <v>44392</v>
      </c>
      <c r="U92" s="69" t="s">
        <v>42</v>
      </c>
      <c r="V92" s="69">
        <v>44391</v>
      </c>
      <c r="W92" s="69">
        <v>44392</v>
      </c>
      <c r="X92" s="44"/>
      <c r="Z92" s="84" t="s">
        <v>723</v>
      </c>
      <c r="AA92" s="84" t="s">
        <v>724</v>
      </c>
      <c r="AB92" s="84" t="s">
        <v>724</v>
      </c>
      <c r="AC92" s="84"/>
      <c r="AD92" s="84" t="s">
        <v>724</v>
      </c>
      <c r="AE92" s="32"/>
      <c r="AN92" s="133" t="s">
        <v>949</v>
      </c>
    </row>
    <row r="93" ht="85.5" spans="1:40">
      <c r="A93" s="18">
        <v>11</v>
      </c>
      <c r="B93" s="19" t="s">
        <v>950</v>
      </c>
      <c r="C93" s="18" t="s">
        <v>891</v>
      </c>
      <c r="D93" s="28" t="s">
        <v>951</v>
      </c>
      <c r="E93" s="21" t="s">
        <v>952</v>
      </c>
      <c r="F93" s="22" t="s">
        <v>332</v>
      </c>
      <c r="G93" s="128" t="s">
        <v>953</v>
      </c>
      <c r="H93" s="22" t="s">
        <v>893</v>
      </c>
      <c r="I93" s="55" t="s">
        <v>954</v>
      </c>
      <c r="J93" s="43" t="s">
        <v>955</v>
      </c>
      <c r="K93" s="44" t="s">
        <v>956</v>
      </c>
      <c r="L93" s="45">
        <v>44367</v>
      </c>
      <c r="M93" s="45">
        <v>44391</v>
      </c>
      <c r="N93" s="46" t="s">
        <v>317</v>
      </c>
      <c r="O93" s="47">
        <v>2.5</v>
      </c>
      <c r="P93" s="44">
        <v>44396</v>
      </c>
      <c r="Q93" s="44"/>
      <c r="R93" s="22" t="s">
        <v>445</v>
      </c>
      <c r="S93" s="68">
        <v>44393</v>
      </c>
      <c r="T93" s="69">
        <v>44393</v>
      </c>
      <c r="U93" s="69" t="s">
        <v>42</v>
      </c>
      <c r="V93" s="69">
        <v>44393</v>
      </c>
      <c r="W93" s="69">
        <v>44393</v>
      </c>
      <c r="X93" s="44"/>
      <c r="Z93" s="84" t="s">
        <v>723</v>
      </c>
      <c r="AA93" s="84" t="s">
        <v>724</v>
      </c>
      <c r="AB93" s="84" t="s">
        <v>724</v>
      </c>
      <c r="AC93" s="84"/>
      <c r="AD93" s="84" t="s">
        <v>724</v>
      </c>
      <c r="AE93" s="32"/>
      <c r="AN93" s="133" t="s">
        <v>957</v>
      </c>
    </row>
    <row r="94" ht="71.25" spans="1:40">
      <c r="A94" s="18">
        <v>12</v>
      </c>
      <c r="B94" s="19" t="s">
        <v>958</v>
      </c>
      <c r="C94" s="18" t="s">
        <v>959</v>
      </c>
      <c r="D94" s="28" t="s">
        <v>960</v>
      </c>
      <c r="E94" s="21" t="s">
        <v>961</v>
      </c>
      <c r="F94" s="22" t="s">
        <v>332</v>
      </c>
      <c r="G94" s="128" t="s">
        <v>962</v>
      </c>
      <c r="H94" s="22" t="s">
        <v>893</v>
      </c>
      <c r="I94" s="55" t="s">
        <v>963</v>
      </c>
      <c r="J94" s="43" t="s">
        <v>964</v>
      </c>
      <c r="K94" s="44" t="s">
        <v>965</v>
      </c>
      <c r="L94" s="45">
        <v>44427</v>
      </c>
      <c r="M94" s="45">
        <v>44466</v>
      </c>
      <c r="N94" s="46" t="s">
        <v>317</v>
      </c>
      <c r="O94" s="47">
        <v>5.5</v>
      </c>
      <c r="P94" s="44">
        <v>44488</v>
      </c>
      <c r="Q94" s="44"/>
      <c r="R94" s="22" t="s">
        <v>445</v>
      </c>
      <c r="S94" s="68">
        <v>44467</v>
      </c>
      <c r="T94" s="69">
        <v>44467</v>
      </c>
      <c r="U94" s="69" t="s">
        <v>42</v>
      </c>
      <c r="V94" s="69">
        <v>44467</v>
      </c>
      <c r="W94" s="69">
        <v>44467</v>
      </c>
      <c r="X94" s="44"/>
      <c r="Z94" s="84" t="s">
        <v>723</v>
      </c>
      <c r="AA94" s="84" t="s">
        <v>724</v>
      </c>
      <c r="AB94" s="84" t="s">
        <v>724</v>
      </c>
      <c r="AC94" s="84"/>
      <c r="AD94" s="84" t="s">
        <v>724</v>
      </c>
      <c r="AE94" s="32"/>
      <c r="AN94" s="133" t="s">
        <v>966</v>
      </c>
    </row>
    <row r="95" ht="85.5" customHeight="1" spans="1:40">
      <c r="A95" s="18">
        <v>13</v>
      </c>
      <c r="B95" s="19" t="s">
        <v>967</v>
      </c>
      <c r="C95" s="22" t="s">
        <v>718</v>
      </c>
      <c r="D95" s="28" t="s">
        <v>968</v>
      </c>
      <c r="E95" s="21" t="s">
        <v>969</v>
      </c>
      <c r="F95" s="22" t="s">
        <v>770</v>
      </c>
      <c r="G95" s="128" t="s">
        <v>970</v>
      </c>
      <c r="H95" s="22" t="s">
        <v>718</v>
      </c>
      <c r="I95" s="43" t="s">
        <v>971</v>
      </c>
      <c r="J95" s="43" t="s">
        <v>972</v>
      </c>
      <c r="K95" s="44" t="s">
        <v>973</v>
      </c>
      <c r="L95" s="45">
        <v>44504</v>
      </c>
      <c r="M95" s="45">
        <v>44529</v>
      </c>
      <c r="N95" s="46" t="s">
        <v>317</v>
      </c>
      <c r="O95" s="47">
        <v>0.3</v>
      </c>
      <c r="P95" s="44">
        <v>44546</v>
      </c>
      <c r="Q95" s="44"/>
      <c r="R95" s="22" t="s">
        <v>875</v>
      </c>
      <c r="S95" s="68">
        <v>44530</v>
      </c>
      <c r="T95" s="68">
        <v>44530</v>
      </c>
      <c r="U95" s="69" t="s">
        <v>42</v>
      </c>
      <c r="V95" s="68">
        <v>44530</v>
      </c>
      <c r="W95" s="68">
        <v>44530</v>
      </c>
      <c r="X95" s="44"/>
      <c r="Z95" s="84" t="s">
        <v>723</v>
      </c>
      <c r="AA95" s="84" t="s">
        <v>724</v>
      </c>
      <c r="AB95" s="84" t="s">
        <v>724</v>
      </c>
      <c r="AC95" s="84"/>
      <c r="AD95" s="84" t="s">
        <v>724</v>
      </c>
      <c r="AE95" s="32"/>
      <c r="AN95" s="133" t="s">
        <v>974</v>
      </c>
    </row>
    <row r="96" ht="71.25" spans="1:40">
      <c r="A96" s="18">
        <v>14</v>
      </c>
      <c r="B96" s="19" t="s">
        <v>975</v>
      </c>
      <c r="C96" s="18" t="s">
        <v>976</v>
      </c>
      <c r="D96" s="28" t="s">
        <v>977</v>
      </c>
      <c r="E96" s="21" t="s">
        <v>978</v>
      </c>
      <c r="F96" s="22" t="s">
        <v>332</v>
      </c>
      <c r="G96" s="128" t="s">
        <v>979</v>
      </c>
      <c r="H96" s="22" t="s">
        <v>600</v>
      </c>
      <c r="I96" s="55" t="s">
        <v>980</v>
      </c>
      <c r="J96" s="43" t="s">
        <v>981</v>
      </c>
      <c r="K96" s="44" t="s">
        <v>982</v>
      </c>
      <c r="L96" s="45">
        <v>44539</v>
      </c>
      <c r="M96" s="45">
        <v>44578</v>
      </c>
      <c r="N96" s="46" t="s">
        <v>317</v>
      </c>
      <c r="O96" s="47">
        <v>5.5</v>
      </c>
      <c r="P96" s="44">
        <v>44586</v>
      </c>
      <c r="Q96" s="44"/>
      <c r="R96" s="22" t="s">
        <v>392</v>
      </c>
      <c r="S96" s="68">
        <v>44580</v>
      </c>
      <c r="T96" s="68">
        <v>44580</v>
      </c>
      <c r="U96" s="69" t="s">
        <v>42</v>
      </c>
      <c r="V96" s="69">
        <v>44579</v>
      </c>
      <c r="W96" s="69">
        <v>44579</v>
      </c>
      <c r="X96" s="44" t="s">
        <v>983</v>
      </c>
      <c r="Z96" s="84" t="s">
        <v>723</v>
      </c>
      <c r="AA96" s="84" t="s">
        <v>724</v>
      </c>
      <c r="AB96" s="84" t="s">
        <v>724</v>
      </c>
      <c r="AC96" s="84"/>
      <c r="AD96" s="84" t="s">
        <v>724</v>
      </c>
      <c r="AE96" s="32"/>
      <c r="AM96" s="133" t="s">
        <v>984</v>
      </c>
      <c r="AN96" s="133" t="s">
        <v>985</v>
      </c>
    </row>
    <row r="97" ht="114" spans="1:40">
      <c r="A97" s="18">
        <v>15</v>
      </c>
      <c r="B97" s="19" t="s">
        <v>986</v>
      </c>
      <c r="C97" s="18" t="s">
        <v>817</v>
      </c>
      <c r="D97" s="28" t="s">
        <v>987</v>
      </c>
      <c r="E97" s="21" t="s">
        <v>988</v>
      </c>
      <c r="F97" s="22" t="s">
        <v>770</v>
      </c>
      <c r="G97" s="128" t="s">
        <v>989</v>
      </c>
      <c r="H97" s="22" t="s">
        <v>817</v>
      </c>
      <c r="I97" s="43" t="s">
        <v>990</v>
      </c>
      <c r="J97" s="43" t="s">
        <v>991</v>
      </c>
      <c r="K97" s="44" t="s">
        <v>992</v>
      </c>
      <c r="L97" s="45">
        <v>44532</v>
      </c>
      <c r="M97" s="45">
        <v>44558</v>
      </c>
      <c r="N97" s="46" t="s">
        <v>317</v>
      </c>
      <c r="O97" s="47">
        <v>0.3</v>
      </c>
      <c r="P97" s="44">
        <v>44559</v>
      </c>
      <c r="Q97" s="44"/>
      <c r="R97" s="22" t="s">
        <v>445</v>
      </c>
      <c r="S97" s="68">
        <v>44559</v>
      </c>
      <c r="T97" s="68">
        <v>44559</v>
      </c>
      <c r="U97" s="69" t="s">
        <v>42</v>
      </c>
      <c r="V97" s="69">
        <v>44559</v>
      </c>
      <c r="W97" s="69">
        <v>44559</v>
      </c>
      <c r="X97" s="44"/>
      <c r="Z97" s="84" t="s">
        <v>993</v>
      </c>
      <c r="AA97" s="76" t="s">
        <v>724</v>
      </c>
      <c r="AB97" s="32" t="s">
        <v>994</v>
      </c>
      <c r="AC97" s="32" t="s">
        <v>994</v>
      </c>
      <c r="AD97" s="32" t="s">
        <v>994</v>
      </c>
      <c r="AE97" s="32"/>
      <c r="AN97" s="133" t="s">
        <v>995</v>
      </c>
    </row>
    <row r="98" ht="82.5" customHeight="1" spans="1:40">
      <c r="A98" s="18">
        <v>16</v>
      </c>
      <c r="B98" s="19" t="s">
        <v>996</v>
      </c>
      <c r="C98" s="18" t="s">
        <v>997</v>
      </c>
      <c r="D98" s="20" t="s">
        <v>998</v>
      </c>
      <c r="E98" s="21" t="s">
        <v>999</v>
      </c>
      <c r="F98" s="22" t="s">
        <v>324</v>
      </c>
      <c r="G98" s="128" t="s">
        <v>1000</v>
      </c>
      <c r="H98" s="22" t="s">
        <v>997</v>
      </c>
      <c r="I98" s="43" t="s">
        <v>1001</v>
      </c>
      <c r="J98" s="43" t="s">
        <v>1002</v>
      </c>
      <c r="K98" s="44" t="s">
        <v>1003</v>
      </c>
      <c r="L98" s="45">
        <v>44543</v>
      </c>
      <c r="M98" s="45">
        <v>44574</v>
      </c>
      <c r="N98" s="46" t="s">
        <v>317</v>
      </c>
      <c r="O98" s="47">
        <v>1.2</v>
      </c>
      <c r="P98" s="44">
        <v>44585</v>
      </c>
      <c r="Q98" s="44"/>
      <c r="R98" s="22" t="s">
        <v>445</v>
      </c>
      <c r="S98" s="68">
        <v>44575</v>
      </c>
      <c r="T98" s="68">
        <v>44575</v>
      </c>
      <c r="U98" s="69" t="s">
        <v>42</v>
      </c>
      <c r="V98" s="69">
        <v>44575</v>
      </c>
      <c r="W98" s="69">
        <v>44575</v>
      </c>
      <c r="X98" s="44" t="s">
        <v>983</v>
      </c>
      <c r="Z98" s="84" t="s">
        <v>993</v>
      </c>
      <c r="AA98" s="76" t="s">
        <v>724</v>
      </c>
      <c r="AB98" s="32" t="s">
        <v>994</v>
      </c>
      <c r="AC98" s="32" t="s">
        <v>994</v>
      </c>
      <c r="AD98" s="32" t="s">
        <v>994</v>
      </c>
      <c r="AE98" s="32"/>
      <c r="AN98" s="133" t="s">
        <v>1004</v>
      </c>
    </row>
    <row r="99" ht="71.25" spans="1:40">
      <c r="A99" s="18">
        <v>17</v>
      </c>
      <c r="B99" s="19" t="s">
        <v>1005</v>
      </c>
      <c r="C99" s="18" t="s">
        <v>997</v>
      </c>
      <c r="D99" s="23"/>
      <c r="E99" s="21" t="s">
        <v>1006</v>
      </c>
      <c r="F99" s="22" t="s">
        <v>667</v>
      </c>
      <c r="G99" s="128" t="s">
        <v>1007</v>
      </c>
      <c r="H99" s="22" t="s">
        <v>997</v>
      </c>
      <c r="I99" s="43" t="s">
        <v>1008</v>
      </c>
      <c r="J99" s="43" t="s">
        <v>1009</v>
      </c>
      <c r="K99" s="44" t="s">
        <v>1010</v>
      </c>
      <c r="L99" s="45">
        <v>44543</v>
      </c>
      <c r="M99" s="45">
        <v>44574</v>
      </c>
      <c r="N99" s="46" t="s">
        <v>317</v>
      </c>
      <c r="O99" s="47">
        <v>0.2</v>
      </c>
      <c r="P99" s="44">
        <v>44585</v>
      </c>
      <c r="Q99" s="44"/>
      <c r="R99" s="22" t="s">
        <v>445</v>
      </c>
      <c r="S99" s="68">
        <v>44575</v>
      </c>
      <c r="T99" s="68">
        <v>44575</v>
      </c>
      <c r="U99" s="69" t="s">
        <v>42</v>
      </c>
      <c r="V99" s="69">
        <v>44575</v>
      </c>
      <c r="W99" s="69">
        <v>44575</v>
      </c>
      <c r="X99" s="44" t="s">
        <v>983</v>
      </c>
      <c r="Z99" s="84" t="s">
        <v>993</v>
      </c>
      <c r="AA99" s="76" t="s">
        <v>724</v>
      </c>
      <c r="AB99" s="32" t="s">
        <v>994</v>
      </c>
      <c r="AC99" s="32" t="s">
        <v>994</v>
      </c>
      <c r="AD99" s="32" t="s">
        <v>994</v>
      </c>
      <c r="AE99" s="32"/>
      <c r="AN99" s="133" t="s">
        <v>1011</v>
      </c>
    </row>
    <row r="100" ht="85.5" spans="1:40">
      <c r="A100" s="18">
        <v>18</v>
      </c>
      <c r="B100" s="19" t="s">
        <v>1012</v>
      </c>
      <c r="C100" s="18" t="s">
        <v>1013</v>
      </c>
      <c r="D100" s="28" t="s">
        <v>1014</v>
      </c>
      <c r="E100" s="21" t="s">
        <v>1015</v>
      </c>
      <c r="F100" s="22" t="s">
        <v>332</v>
      </c>
      <c r="G100" s="128" t="s">
        <v>1016</v>
      </c>
      <c r="H100" s="22" t="s">
        <v>600</v>
      </c>
      <c r="I100" s="55" t="s">
        <v>1017</v>
      </c>
      <c r="J100" s="43" t="s">
        <v>1018</v>
      </c>
      <c r="K100" s="44" t="s">
        <v>1019</v>
      </c>
      <c r="L100" s="45">
        <v>44543</v>
      </c>
      <c r="M100" s="45">
        <v>44579</v>
      </c>
      <c r="N100" s="46" t="s">
        <v>317</v>
      </c>
      <c r="O100" s="47">
        <v>9.25</v>
      </c>
      <c r="P100" s="44">
        <v>44586</v>
      </c>
      <c r="Q100" s="44"/>
      <c r="R100" s="22" t="s">
        <v>875</v>
      </c>
      <c r="S100" s="68">
        <v>44580</v>
      </c>
      <c r="T100" s="68">
        <v>44580</v>
      </c>
      <c r="U100" s="69" t="s">
        <v>42</v>
      </c>
      <c r="V100" s="69">
        <v>44579</v>
      </c>
      <c r="W100" s="69">
        <v>44579</v>
      </c>
      <c r="X100" s="44" t="s">
        <v>983</v>
      </c>
      <c r="Z100" s="99" t="s">
        <v>1020</v>
      </c>
      <c r="AA100" s="32" t="s">
        <v>724</v>
      </c>
      <c r="AB100" s="74" t="s">
        <v>1021</v>
      </c>
      <c r="AC100" s="100"/>
      <c r="AD100" s="32"/>
      <c r="AE100" s="32"/>
      <c r="AM100" s="135" t="s">
        <v>1022</v>
      </c>
      <c r="AN100" s="136" t="s">
        <v>1023</v>
      </c>
    </row>
    <row r="101" ht="57" spans="1:40">
      <c r="A101" s="18">
        <v>1</v>
      </c>
      <c r="B101" s="19" t="s">
        <v>1024</v>
      </c>
      <c r="C101" s="18" t="s">
        <v>1025</v>
      </c>
      <c r="D101" s="20" t="s">
        <v>1026</v>
      </c>
      <c r="E101" s="21" t="s">
        <v>207</v>
      </c>
      <c r="F101" s="22" t="s">
        <v>332</v>
      </c>
      <c r="G101" s="128" t="s">
        <v>208</v>
      </c>
      <c r="H101" s="22" t="s">
        <v>610</v>
      </c>
      <c r="I101" s="43" t="s">
        <v>1027</v>
      </c>
      <c r="J101" s="43" t="s">
        <v>1028</v>
      </c>
      <c r="K101" s="44" t="s">
        <v>1029</v>
      </c>
      <c r="L101" s="45">
        <v>44578</v>
      </c>
      <c r="M101" s="45">
        <v>44631</v>
      </c>
      <c r="N101" s="46" t="s">
        <v>317</v>
      </c>
      <c r="O101" s="47">
        <v>1.2</v>
      </c>
      <c r="P101" s="44">
        <v>44642</v>
      </c>
      <c r="Q101" s="44"/>
      <c r="R101" s="22" t="s">
        <v>875</v>
      </c>
      <c r="S101" s="68">
        <v>44634</v>
      </c>
      <c r="T101" s="68">
        <v>44637</v>
      </c>
      <c r="U101" s="69" t="s">
        <v>42</v>
      </c>
      <c r="V101" s="69">
        <v>44637</v>
      </c>
      <c r="W101" s="69">
        <v>44637</v>
      </c>
      <c r="X101" s="44" t="s">
        <v>1030</v>
      </c>
      <c r="Z101" s="84" t="s">
        <v>993</v>
      </c>
      <c r="AA101" s="76" t="s">
        <v>724</v>
      </c>
      <c r="AB101" s="32" t="s">
        <v>994</v>
      </c>
      <c r="AC101" s="32" t="s">
        <v>994</v>
      </c>
      <c r="AD101" s="32" t="s">
        <v>994</v>
      </c>
      <c r="AE101" s="32"/>
      <c r="AN101" s="133" t="s">
        <v>1031</v>
      </c>
    </row>
    <row r="102" ht="71.25" spans="1:40">
      <c r="A102" s="18">
        <v>2</v>
      </c>
      <c r="B102" s="19" t="s">
        <v>1032</v>
      </c>
      <c r="C102" s="18" t="s">
        <v>1025</v>
      </c>
      <c r="D102" s="27"/>
      <c r="E102" s="21" t="s">
        <v>1033</v>
      </c>
      <c r="F102" s="22" t="s">
        <v>425</v>
      </c>
      <c r="G102" s="128" t="s">
        <v>1034</v>
      </c>
      <c r="H102" s="22" t="s">
        <v>610</v>
      </c>
      <c r="I102" s="43" t="s">
        <v>1035</v>
      </c>
      <c r="J102" s="43" t="s">
        <v>1036</v>
      </c>
      <c r="K102" s="44" t="s">
        <v>1037</v>
      </c>
      <c r="L102" s="45">
        <v>44578</v>
      </c>
      <c r="M102" s="45">
        <v>44631</v>
      </c>
      <c r="N102" s="46" t="s">
        <v>317</v>
      </c>
      <c r="O102" s="47">
        <v>0.2</v>
      </c>
      <c r="P102" s="44">
        <v>44642</v>
      </c>
      <c r="Q102" s="44"/>
      <c r="R102" s="22" t="s">
        <v>875</v>
      </c>
      <c r="S102" s="68">
        <v>44634</v>
      </c>
      <c r="T102" s="68">
        <v>44637</v>
      </c>
      <c r="U102" s="69" t="s">
        <v>42</v>
      </c>
      <c r="V102" s="69">
        <v>44637</v>
      </c>
      <c r="W102" s="69">
        <v>44637</v>
      </c>
      <c r="X102" s="44" t="s">
        <v>1030</v>
      </c>
      <c r="Z102" s="84" t="s">
        <v>993</v>
      </c>
      <c r="AA102" s="76" t="s">
        <v>724</v>
      </c>
      <c r="AB102" s="32" t="s">
        <v>994</v>
      </c>
      <c r="AC102" s="32" t="s">
        <v>994</v>
      </c>
      <c r="AD102" s="32" t="s">
        <v>994</v>
      </c>
      <c r="AE102" s="32"/>
      <c r="AN102" s="133" t="s">
        <v>1038</v>
      </c>
    </row>
    <row r="103" ht="85.5" spans="1:40">
      <c r="A103" s="18">
        <v>3</v>
      </c>
      <c r="B103" s="19" t="s">
        <v>1039</v>
      </c>
      <c r="C103" s="18" t="s">
        <v>1025</v>
      </c>
      <c r="D103" s="23"/>
      <c r="E103" s="21" t="s">
        <v>1040</v>
      </c>
      <c r="F103" s="22" t="s">
        <v>432</v>
      </c>
      <c r="G103" s="128" t="s">
        <v>1041</v>
      </c>
      <c r="H103" s="22" t="s">
        <v>610</v>
      </c>
      <c r="I103" s="43" t="s">
        <v>1042</v>
      </c>
      <c r="J103" s="43" t="s">
        <v>1043</v>
      </c>
      <c r="K103" s="44" t="s">
        <v>1044</v>
      </c>
      <c r="L103" s="45">
        <v>44578</v>
      </c>
      <c r="M103" s="45">
        <v>44631</v>
      </c>
      <c r="N103" s="46" t="s">
        <v>317</v>
      </c>
      <c r="O103" s="47">
        <v>0.2</v>
      </c>
      <c r="P103" s="44">
        <v>44642</v>
      </c>
      <c r="Q103" s="44"/>
      <c r="R103" s="22" t="s">
        <v>875</v>
      </c>
      <c r="S103" s="68">
        <v>44634</v>
      </c>
      <c r="T103" s="68">
        <v>44637</v>
      </c>
      <c r="U103" s="69" t="s">
        <v>42</v>
      </c>
      <c r="V103" s="69">
        <v>44637</v>
      </c>
      <c r="W103" s="69">
        <v>44637</v>
      </c>
      <c r="X103" s="44" t="s">
        <v>1045</v>
      </c>
      <c r="Z103" s="84" t="s">
        <v>993</v>
      </c>
      <c r="AA103" s="76" t="s">
        <v>724</v>
      </c>
      <c r="AB103" s="32" t="s">
        <v>994</v>
      </c>
      <c r="AC103" s="32" t="s">
        <v>994</v>
      </c>
      <c r="AD103" s="32" t="s">
        <v>994</v>
      </c>
      <c r="AE103" s="32"/>
      <c r="AN103" s="133" t="s">
        <v>1046</v>
      </c>
    </row>
    <row r="104" s="4" customFormat="1" ht="71.25" spans="1:40">
      <c r="A104" s="22">
        <v>4</v>
      </c>
      <c r="B104" s="21" t="s">
        <v>1047</v>
      </c>
      <c r="C104" s="22" t="s">
        <v>1048</v>
      </c>
      <c r="D104" s="28" t="s">
        <v>1049</v>
      </c>
      <c r="E104" s="21" t="s">
        <v>1050</v>
      </c>
      <c r="F104" s="22" t="s">
        <v>332</v>
      </c>
      <c r="G104" s="128" t="s">
        <v>1051</v>
      </c>
      <c r="H104" s="22" t="s">
        <v>1052</v>
      </c>
      <c r="I104" s="43" t="s">
        <v>1053</v>
      </c>
      <c r="J104" s="43" t="s">
        <v>1054</v>
      </c>
      <c r="K104" s="44" t="s">
        <v>1055</v>
      </c>
      <c r="L104" s="45">
        <v>44578</v>
      </c>
      <c r="M104" s="45">
        <v>44648</v>
      </c>
      <c r="N104" s="53" t="s">
        <v>550</v>
      </c>
      <c r="O104" s="54">
        <v>1</v>
      </c>
      <c r="P104" s="44">
        <v>44654</v>
      </c>
      <c r="Q104" s="44"/>
      <c r="R104" s="22" t="s">
        <v>392</v>
      </c>
      <c r="S104" s="68">
        <v>44650</v>
      </c>
      <c r="T104" s="68">
        <v>44650</v>
      </c>
      <c r="U104" s="68" t="s">
        <v>42</v>
      </c>
      <c r="V104" s="68">
        <v>44651</v>
      </c>
      <c r="W104" s="68">
        <v>44651</v>
      </c>
      <c r="X104" s="44" t="s">
        <v>1056</v>
      </c>
      <c r="Z104" s="84" t="s">
        <v>993</v>
      </c>
      <c r="AA104" s="76" t="s">
        <v>724</v>
      </c>
      <c r="AB104" s="32" t="s">
        <v>994</v>
      </c>
      <c r="AC104" s="32" t="s">
        <v>994</v>
      </c>
      <c r="AD104" s="32" t="s">
        <v>994</v>
      </c>
      <c r="AE104" s="57"/>
      <c r="AN104" s="133" t="s">
        <v>1057</v>
      </c>
    </row>
    <row r="105" ht="57" spans="1:40">
      <c r="A105" s="18">
        <v>5</v>
      </c>
      <c r="B105" s="19" t="s">
        <v>1058</v>
      </c>
      <c r="C105" s="18" t="s">
        <v>1059</v>
      </c>
      <c r="D105" s="28" t="s">
        <v>1060</v>
      </c>
      <c r="E105" s="21" t="s">
        <v>1061</v>
      </c>
      <c r="F105" s="22" t="s">
        <v>332</v>
      </c>
      <c r="G105" s="128" t="s">
        <v>1062</v>
      </c>
      <c r="H105" s="22" t="s">
        <v>1063</v>
      </c>
      <c r="I105" s="43" t="s">
        <v>1064</v>
      </c>
      <c r="J105" s="43" t="s">
        <v>1065</v>
      </c>
      <c r="K105" s="44" t="s">
        <v>1066</v>
      </c>
      <c r="L105" s="45">
        <v>44719</v>
      </c>
      <c r="M105" s="45">
        <v>44767</v>
      </c>
      <c r="N105" s="46" t="s">
        <v>317</v>
      </c>
      <c r="O105" s="47">
        <v>5</v>
      </c>
      <c r="P105" s="44">
        <v>44852</v>
      </c>
      <c r="Q105" s="44"/>
      <c r="R105" s="22" t="s">
        <v>392</v>
      </c>
      <c r="S105" s="68">
        <v>44768</v>
      </c>
      <c r="T105" s="68">
        <v>44768</v>
      </c>
      <c r="U105" s="69" t="s">
        <v>42</v>
      </c>
      <c r="V105" s="69">
        <v>44768</v>
      </c>
      <c r="W105" s="69">
        <v>44768</v>
      </c>
      <c r="X105" s="44" t="s">
        <v>1067</v>
      </c>
      <c r="Z105" s="101" t="s">
        <v>1020</v>
      </c>
      <c r="AA105" s="32" t="s">
        <v>724</v>
      </c>
      <c r="AB105" s="32" t="s">
        <v>724</v>
      </c>
      <c r="AC105" s="32"/>
      <c r="AD105" s="32"/>
      <c r="AE105" s="32"/>
      <c r="AN105" s="133" t="s">
        <v>1068</v>
      </c>
    </row>
    <row r="106" ht="71.25" spans="1:40">
      <c r="A106" s="18">
        <v>6</v>
      </c>
      <c r="B106" s="19" t="s">
        <v>1069</v>
      </c>
      <c r="C106" s="18" t="s">
        <v>1070</v>
      </c>
      <c r="D106" s="20" t="s">
        <v>1071</v>
      </c>
      <c r="E106" s="21" t="s">
        <v>1050</v>
      </c>
      <c r="F106" s="22" t="s">
        <v>332</v>
      </c>
      <c r="G106" s="128" t="s">
        <v>1051</v>
      </c>
      <c r="H106" s="22" t="s">
        <v>1070</v>
      </c>
      <c r="I106" s="43" t="s">
        <v>1072</v>
      </c>
      <c r="J106" s="43" t="s">
        <v>1073</v>
      </c>
      <c r="K106" s="44" t="s">
        <v>1074</v>
      </c>
      <c r="L106" s="45">
        <v>44728</v>
      </c>
      <c r="M106" s="45">
        <v>44757</v>
      </c>
      <c r="N106" s="46" t="s">
        <v>317</v>
      </c>
      <c r="O106" s="47">
        <v>5</v>
      </c>
      <c r="P106" s="44">
        <v>44845</v>
      </c>
      <c r="Q106" s="44"/>
      <c r="R106" s="22" t="s">
        <v>445</v>
      </c>
      <c r="S106" s="69">
        <v>44760</v>
      </c>
      <c r="T106" s="69">
        <v>44760</v>
      </c>
      <c r="U106" s="69" t="s">
        <v>42</v>
      </c>
      <c r="V106" s="69">
        <v>44760</v>
      </c>
      <c r="W106" s="69">
        <v>44760</v>
      </c>
      <c r="X106" s="44" t="s">
        <v>1067</v>
      </c>
      <c r="Z106" s="101" t="s">
        <v>1020</v>
      </c>
      <c r="AA106" s="32" t="s">
        <v>724</v>
      </c>
      <c r="AB106" s="32" t="s">
        <v>724</v>
      </c>
      <c r="AC106" s="32"/>
      <c r="AD106" s="32" t="s">
        <v>724</v>
      </c>
      <c r="AE106" s="32"/>
      <c r="AN106" s="133" t="s">
        <v>1075</v>
      </c>
    </row>
    <row r="107" ht="71.25" spans="1:40">
      <c r="A107" s="18">
        <v>7</v>
      </c>
      <c r="B107" s="19" t="s">
        <v>1076</v>
      </c>
      <c r="C107" s="18" t="s">
        <v>1077</v>
      </c>
      <c r="D107" s="23"/>
      <c r="E107" s="21" t="s">
        <v>1078</v>
      </c>
      <c r="F107" s="22" t="s">
        <v>324</v>
      </c>
      <c r="G107" s="128" t="s">
        <v>1079</v>
      </c>
      <c r="H107" s="22" t="s">
        <v>1077</v>
      </c>
      <c r="I107" s="43" t="s">
        <v>1080</v>
      </c>
      <c r="J107" s="43" t="s">
        <v>1081</v>
      </c>
      <c r="K107" s="44" t="s">
        <v>1082</v>
      </c>
      <c r="L107" s="45">
        <v>44728</v>
      </c>
      <c r="M107" s="45">
        <v>44757</v>
      </c>
      <c r="N107" s="46" t="s">
        <v>317</v>
      </c>
      <c r="O107" s="47">
        <v>5</v>
      </c>
      <c r="P107" s="44">
        <v>44845</v>
      </c>
      <c r="Q107" s="44"/>
      <c r="R107" s="22" t="s">
        <v>445</v>
      </c>
      <c r="S107" s="69">
        <v>44760</v>
      </c>
      <c r="T107" s="69">
        <v>44760</v>
      </c>
      <c r="U107" s="69" t="s">
        <v>42</v>
      </c>
      <c r="V107" s="69">
        <v>44760</v>
      </c>
      <c r="W107" s="69">
        <v>44760</v>
      </c>
      <c r="X107" s="44" t="s">
        <v>1067</v>
      </c>
      <c r="Z107" s="101" t="s">
        <v>1020</v>
      </c>
      <c r="AA107" s="32" t="s">
        <v>724</v>
      </c>
      <c r="AB107" s="32" t="s">
        <v>724</v>
      </c>
      <c r="AC107" s="32"/>
      <c r="AD107" s="32" t="s">
        <v>724</v>
      </c>
      <c r="AE107" s="32"/>
      <c r="AN107" s="133" t="s">
        <v>1083</v>
      </c>
    </row>
    <row r="108" s="4" customFormat="1" ht="99.75" spans="1:40">
      <c r="A108" s="18">
        <v>8</v>
      </c>
      <c r="B108" s="21" t="s">
        <v>1084</v>
      </c>
      <c r="C108" s="22" t="s">
        <v>1085</v>
      </c>
      <c r="D108" s="20" t="s">
        <v>1086</v>
      </c>
      <c r="E108" s="21" t="s">
        <v>1087</v>
      </c>
      <c r="F108" s="22" t="s">
        <v>332</v>
      </c>
      <c r="G108" s="22" t="s">
        <v>1088</v>
      </c>
      <c r="H108" s="22" t="s">
        <v>1089</v>
      </c>
      <c r="I108" s="43" t="s">
        <v>1090</v>
      </c>
      <c r="J108" s="43" t="s">
        <v>1091</v>
      </c>
      <c r="K108" s="44" t="s">
        <v>1092</v>
      </c>
      <c r="L108" s="45">
        <v>44735</v>
      </c>
      <c r="M108" s="45">
        <v>44812</v>
      </c>
      <c r="N108" s="46" t="s">
        <v>317</v>
      </c>
      <c r="O108" s="54">
        <v>2.5</v>
      </c>
      <c r="P108" s="44">
        <v>44852</v>
      </c>
      <c r="Q108" s="44"/>
      <c r="R108" s="22" t="s">
        <v>392</v>
      </c>
      <c r="S108" s="68">
        <v>44813</v>
      </c>
      <c r="T108" s="68">
        <v>44813</v>
      </c>
      <c r="U108" s="69" t="s">
        <v>42</v>
      </c>
      <c r="V108" s="68">
        <v>44813</v>
      </c>
      <c r="W108" s="68">
        <v>44813</v>
      </c>
      <c r="X108" s="44" t="s">
        <v>1093</v>
      </c>
      <c r="Z108" s="101" t="s">
        <v>1020</v>
      </c>
      <c r="AA108" s="32" t="s">
        <v>724</v>
      </c>
      <c r="AB108" s="74" t="s">
        <v>1021</v>
      </c>
      <c r="AC108" s="100"/>
      <c r="AD108" s="57"/>
      <c r="AE108" s="57"/>
      <c r="AM108" s="133" t="s">
        <v>1094</v>
      </c>
      <c r="AN108" s="81"/>
    </row>
    <row r="109" s="4" customFormat="1" ht="128.25" spans="1:40">
      <c r="A109" s="18">
        <v>9</v>
      </c>
      <c r="B109" s="21" t="s">
        <v>1095</v>
      </c>
      <c r="C109" s="22" t="s">
        <v>1096</v>
      </c>
      <c r="D109" s="27"/>
      <c r="E109" s="21" t="s">
        <v>1097</v>
      </c>
      <c r="F109" s="22" t="s">
        <v>425</v>
      </c>
      <c r="G109" s="128" t="s">
        <v>1098</v>
      </c>
      <c r="H109" s="22" t="s">
        <v>1089</v>
      </c>
      <c r="I109" s="43" t="s">
        <v>1099</v>
      </c>
      <c r="J109" s="43" t="s">
        <v>1100</v>
      </c>
      <c r="K109" s="44" t="s">
        <v>1101</v>
      </c>
      <c r="L109" s="45">
        <v>44735</v>
      </c>
      <c r="M109" s="45">
        <v>44812</v>
      </c>
      <c r="N109" s="46" t="s">
        <v>317</v>
      </c>
      <c r="O109" s="54">
        <v>0.5</v>
      </c>
      <c r="P109" s="44">
        <v>44852</v>
      </c>
      <c r="Q109" s="44"/>
      <c r="R109" s="22" t="s">
        <v>392</v>
      </c>
      <c r="S109" s="68">
        <v>44813</v>
      </c>
      <c r="T109" s="68">
        <v>44813</v>
      </c>
      <c r="U109" s="69" t="s">
        <v>42</v>
      </c>
      <c r="V109" s="68">
        <v>44813</v>
      </c>
      <c r="W109" s="68">
        <v>44813</v>
      </c>
      <c r="X109" s="44" t="s">
        <v>149</v>
      </c>
      <c r="Z109" s="101" t="s">
        <v>1020</v>
      </c>
      <c r="AA109" s="32" t="s">
        <v>724</v>
      </c>
      <c r="AB109" s="32" t="s">
        <v>724</v>
      </c>
      <c r="AC109" s="32"/>
      <c r="AD109" s="57"/>
      <c r="AE109" s="57"/>
      <c r="AN109" s="133" t="s">
        <v>1102</v>
      </c>
    </row>
    <row r="110" s="4" customFormat="1" ht="99.75" spans="1:40">
      <c r="A110" s="18">
        <v>10</v>
      </c>
      <c r="B110" s="21" t="s">
        <v>1103</v>
      </c>
      <c r="C110" s="22" t="s">
        <v>1104</v>
      </c>
      <c r="D110" s="27"/>
      <c r="E110" s="21" t="s">
        <v>1105</v>
      </c>
      <c r="F110" s="22" t="s">
        <v>324</v>
      </c>
      <c r="G110" s="22" t="s">
        <v>1106</v>
      </c>
      <c r="H110" s="22" t="s">
        <v>1089</v>
      </c>
      <c r="I110" s="43" t="s">
        <v>1107</v>
      </c>
      <c r="J110" s="43" t="s">
        <v>1108</v>
      </c>
      <c r="K110" s="44" t="s">
        <v>1109</v>
      </c>
      <c r="L110" s="45">
        <v>44735</v>
      </c>
      <c r="M110" s="45">
        <v>44812</v>
      </c>
      <c r="N110" s="46" t="s">
        <v>317</v>
      </c>
      <c r="O110" s="54">
        <v>2.5</v>
      </c>
      <c r="P110" s="44">
        <v>44852</v>
      </c>
      <c r="Q110" s="44"/>
      <c r="R110" s="22" t="s">
        <v>392</v>
      </c>
      <c r="S110" s="68">
        <v>44813</v>
      </c>
      <c r="T110" s="68">
        <v>44813</v>
      </c>
      <c r="U110" s="69" t="s">
        <v>42</v>
      </c>
      <c r="V110" s="68">
        <v>44813</v>
      </c>
      <c r="W110" s="68">
        <v>44813</v>
      </c>
      <c r="X110" s="44" t="s">
        <v>149</v>
      </c>
      <c r="Z110" s="101" t="s">
        <v>1020</v>
      </c>
      <c r="AA110" s="32" t="s">
        <v>724</v>
      </c>
      <c r="AB110" s="32" t="s">
        <v>724</v>
      </c>
      <c r="AC110" s="32"/>
      <c r="AD110" s="57"/>
      <c r="AE110" s="57"/>
      <c r="AN110" s="133" t="s">
        <v>1110</v>
      </c>
    </row>
    <row r="111" s="4" customFormat="1" ht="142.5" spans="1:40">
      <c r="A111" s="18">
        <v>11</v>
      </c>
      <c r="B111" s="21" t="s">
        <v>1111</v>
      </c>
      <c r="C111" s="22" t="s">
        <v>1112</v>
      </c>
      <c r="D111" s="23"/>
      <c r="E111" s="21" t="s">
        <v>1113</v>
      </c>
      <c r="F111" s="22" t="s">
        <v>1114</v>
      </c>
      <c r="G111" s="128" t="s">
        <v>1115</v>
      </c>
      <c r="H111" s="22" t="s">
        <v>1089</v>
      </c>
      <c r="I111" s="43" t="s">
        <v>1116</v>
      </c>
      <c r="J111" s="43" t="s">
        <v>1117</v>
      </c>
      <c r="K111" s="44" t="s">
        <v>1118</v>
      </c>
      <c r="L111" s="45">
        <v>44735</v>
      </c>
      <c r="M111" s="45">
        <v>44812</v>
      </c>
      <c r="N111" s="46" t="s">
        <v>317</v>
      </c>
      <c r="O111" s="54">
        <v>0.5</v>
      </c>
      <c r="P111" s="44">
        <v>44852</v>
      </c>
      <c r="Q111" s="44"/>
      <c r="R111" s="22" t="s">
        <v>392</v>
      </c>
      <c r="S111" s="68">
        <v>44813</v>
      </c>
      <c r="T111" s="68">
        <v>44813</v>
      </c>
      <c r="U111" s="69" t="s">
        <v>42</v>
      </c>
      <c r="V111" s="68">
        <v>44813</v>
      </c>
      <c r="W111" s="68">
        <v>44813</v>
      </c>
      <c r="X111" s="44"/>
      <c r="Z111" s="101" t="s">
        <v>1020</v>
      </c>
      <c r="AA111" s="32" t="s">
        <v>724</v>
      </c>
      <c r="AB111" s="32" t="s">
        <v>724</v>
      </c>
      <c r="AC111" s="32"/>
      <c r="AD111" s="57"/>
      <c r="AE111" s="57"/>
      <c r="AN111" s="133" t="s">
        <v>1119</v>
      </c>
    </row>
    <row r="112" ht="85.5" spans="1:40">
      <c r="A112" s="18">
        <v>12</v>
      </c>
      <c r="B112" s="21" t="s">
        <v>1120</v>
      </c>
      <c r="C112" s="18" t="s">
        <v>959</v>
      </c>
      <c r="D112" s="28" t="s">
        <v>1121</v>
      </c>
      <c r="E112" s="21" t="s">
        <v>1122</v>
      </c>
      <c r="F112" s="22" t="s">
        <v>324</v>
      </c>
      <c r="G112" s="22" t="s">
        <v>1123</v>
      </c>
      <c r="H112" s="22" t="s">
        <v>959</v>
      </c>
      <c r="I112" s="55" t="s">
        <v>1124</v>
      </c>
      <c r="J112" s="43" t="s">
        <v>1125</v>
      </c>
      <c r="K112" s="44" t="s">
        <v>1126</v>
      </c>
      <c r="L112" s="45">
        <v>44742</v>
      </c>
      <c r="M112" s="45">
        <v>44809</v>
      </c>
      <c r="N112" s="53" t="s">
        <v>317</v>
      </c>
      <c r="O112" s="54">
        <v>5.5</v>
      </c>
      <c r="P112" s="44">
        <v>44939</v>
      </c>
      <c r="Q112" s="44"/>
      <c r="R112" s="22" t="s">
        <v>1127</v>
      </c>
      <c r="S112" s="68">
        <v>44813</v>
      </c>
      <c r="T112" s="68">
        <v>44813</v>
      </c>
      <c r="U112" s="69" t="s">
        <v>42</v>
      </c>
      <c r="V112" s="68">
        <v>44813</v>
      </c>
      <c r="W112" s="68">
        <v>44813</v>
      </c>
      <c r="X112" s="44" t="s">
        <v>1128</v>
      </c>
      <c r="Z112" s="101" t="s">
        <v>1020</v>
      </c>
      <c r="AA112" s="32" t="s">
        <v>724</v>
      </c>
      <c r="AB112" s="32" t="s">
        <v>724</v>
      </c>
      <c r="AC112" s="32"/>
      <c r="AD112" s="32"/>
      <c r="AE112" s="32"/>
      <c r="AG112" s="102">
        <v>44874</v>
      </c>
      <c r="AH112" s="102">
        <v>44897</v>
      </c>
      <c r="AI112" s="5" t="s">
        <v>1129</v>
      </c>
      <c r="AN112" s="133" t="s">
        <v>1130</v>
      </c>
    </row>
    <row r="113" ht="99.75" spans="1:40">
      <c r="A113" s="18">
        <v>13</v>
      </c>
      <c r="B113" s="19" t="s">
        <v>1131</v>
      </c>
      <c r="C113" s="18" t="s">
        <v>1070</v>
      </c>
      <c r="D113" s="30" t="s">
        <v>1132</v>
      </c>
      <c r="E113" s="21" t="s">
        <v>1133</v>
      </c>
      <c r="F113" s="22" t="s">
        <v>324</v>
      </c>
      <c r="G113" s="22" t="s">
        <v>1134</v>
      </c>
      <c r="H113" s="22" t="s">
        <v>1070</v>
      </c>
      <c r="I113" s="43" t="s">
        <v>1135</v>
      </c>
      <c r="J113" s="43" t="s">
        <v>1136</v>
      </c>
      <c r="K113" s="44" t="s">
        <v>1137</v>
      </c>
      <c r="L113" s="45">
        <v>44817</v>
      </c>
      <c r="M113" s="45">
        <v>44873</v>
      </c>
      <c r="N113" s="53" t="s">
        <v>317</v>
      </c>
      <c r="O113" s="47">
        <v>5</v>
      </c>
      <c r="P113" s="44">
        <v>44883</v>
      </c>
      <c r="Q113" s="44"/>
      <c r="R113" s="22" t="s">
        <v>445</v>
      </c>
      <c r="S113" s="68">
        <v>44875</v>
      </c>
      <c r="T113" s="68">
        <v>44875</v>
      </c>
      <c r="U113" s="69" t="s">
        <v>42</v>
      </c>
      <c r="V113" s="69">
        <v>44874</v>
      </c>
      <c r="W113" s="69">
        <v>44874</v>
      </c>
      <c r="X113" s="44" t="s">
        <v>1138</v>
      </c>
      <c r="Z113" s="101" t="s">
        <v>1020</v>
      </c>
      <c r="AA113" s="32" t="s">
        <v>724</v>
      </c>
      <c r="AB113" s="32" t="s">
        <v>724</v>
      </c>
      <c r="AC113" s="32"/>
      <c r="AD113" s="32" t="s">
        <v>724</v>
      </c>
      <c r="AE113" s="32"/>
      <c r="AN113" s="133" t="s">
        <v>1139</v>
      </c>
    </row>
    <row r="114" ht="99.75" spans="1:40">
      <c r="A114" s="18">
        <v>14</v>
      </c>
      <c r="B114" s="19" t="s">
        <v>1140</v>
      </c>
      <c r="C114" s="18" t="s">
        <v>1141</v>
      </c>
      <c r="D114" s="28" t="s">
        <v>1142</v>
      </c>
      <c r="E114" s="21" t="s">
        <v>1143</v>
      </c>
      <c r="F114" s="22" t="s">
        <v>324</v>
      </c>
      <c r="G114" s="22" t="s">
        <v>1144</v>
      </c>
      <c r="H114" s="22" t="s">
        <v>1145</v>
      </c>
      <c r="I114" s="43" t="s">
        <v>1146</v>
      </c>
      <c r="J114" s="43" t="s">
        <v>1147</v>
      </c>
      <c r="K114" s="44" t="s">
        <v>1148</v>
      </c>
      <c r="L114" s="45">
        <v>44817</v>
      </c>
      <c r="M114" s="45">
        <v>44893</v>
      </c>
      <c r="N114" s="53" t="s">
        <v>317</v>
      </c>
      <c r="O114" s="54">
        <v>10</v>
      </c>
      <c r="P114" s="44">
        <v>44942</v>
      </c>
      <c r="Q114" s="44"/>
      <c r="R114" s="22" t="s">
        <v>1127</v>
      </c>
      <c r="S114" s="68">
        <v>44897</v>
      </c>
      <c r="T114" s="68">
        <v>44897</v>
      </c>
      <c r="U114" s="68" t="s">
        <v>42</v>
      </c>
      <c r="V114" s="68">
        <v>44896</v>
      </c>
      <c r="W114" s="68">
        <v>44895</v>
      </c>
      <c r="X114" s="44" t="s">
        <v>1149</v>
      </c>
      <c r="Z114" s="99" t="s">
        <v>993</v>
      </c>
      <c r="AA114" s="79" t="s">
        <v>724</v>
      </c>
      <c r="AB114" s="75" t="s">
        <v>994</v>
      </c>
      <c r="AC114" s="75" t="s">
        <v>994</v>
      </c>
      <c r="AD114" s="75" t="s">
        <v>994</v>
      </c>
      <c r="AE114" s="32"/>
      <c r="AM114" s="133" t="s">
        <v>1150</v>
      </c>
      <c r="AN114" s="81"/>
    </row>
    <row r="115" ht="71.25" spans="1:40">
      <c r="A115" s="18">
        <v>15</v>
      </c>
      <c r="B115" s="19" t="s">
        <v>1151</v>
      </c>
      <c r="C115" s="18" t="s">
        <v>1152</v>
      </c>
      <c r="D115" s="28" t="s">
        <v>1153</v>
      </c>
      <c r="E115" s="21" t="s">
        <v>96</v>
      </c>
      <c r="F115" s="22" t="s">
        <v>332</v>
      </c>
      <c r="G115" s="22" t="s">
        <v>97</v>
      </c>
      <c r="H115" s="22" t="s">
        <v>1154</v>
      </c>
      <c r="I115" s="43" t="s">
        <v>1155</v>
      </c>
      <c r="J115" s="43" t="s">
        <v>1156</v>
      </c>
      <c r="K115" s="44" t="s">
        <v>1157</v>
      </c>
      <c r="L115" s="45">
        <v>44826</v>
      </c>
      <c r="M115" s="45">
        <v>44888</v>
      </c>
      <c r="N115" s="53" t="s">
        <v>317</v>
      </c>
      <c r="O115" s="47">
        <v>5</v>
      </c>
      <c r="P115" s="44">
        <v>44922</v>
      </c>
      <c r="Q115" s="44"/>
      <c r="R115" s="22" t="s">
        <v>392</v>
      </c>
      <c r="S115" s="68">
        <v>44890</v>
      </c>
      <c r="T115" s="68">
        <v>44890</v>
      </c>
      <c r="U115" s="68" t="s">
        <v>42</v>
      </c>
      <c r="V115" s="68">
        <v>44890</v>
      </c>
      <c r="W115" s="69">
        <v>44890</v>
      </c>
      <c r="X115" s="44" t="s">
        <v>1158</v>
      </c>
      <c r="Z115" s="101" t="s">
        <v>1020</v>
      </c>
      <c r="AA115" s="32" t="s">
        <v>724</v>
      </c>
      <c r="AB115" s="32" t="s">
        <v>724</v>
      </c>
      <c r="AC115" s="32"/>
      <c r="AD115" s="32" t="s">
        <v>724</v>
      </c>
      <c r="AE115" s="32"/>
      <c r="AN115" s="133" t="s">
        <v>1159</v>
      </c>
    </row>
    <row r="116" ht="85.5" spans="1:40">
      <c r="A116" s="18">
        <v>16</v>
      </c>
      <c r="B116" s="19" t="s">
        <v>1160</v>
      </c>
      <c r="C116" s="18" t="s">
        <v>1161</v>
      </c>
      <c r="D116" s="28" t="s">
        <v>1162</v>
      </c>
      <c r="E116" s="21" t="s">
        <v>1163</v>
      </c>
      <c r="F116" s="22" t="s">
        <v>324</v>
      </c>
      <c r="G116" s="22" t="s">
        <v>1164</v>
      </c>
      <c r="H116" s="22" t="s">
        <v>1145</v>
      </c>
      <c r="I116" s="43" t="s">
        <v>1165</v>
      </c>
      <c r="J116" s="43" t="s">
        <v>1166</v>
      </c>
      <c r="K116" s="44" t="s">
        <v>1167</v>
      </c>
      <c r="L116" s="45">
        <v>44823</v>
      </c>
      <c r="M116" s="45">
        <v>44893</v>
      </c>
      <c r="N116" s="53" t="s">
        <v>317</v>
      </c>
      <c r="O116" s="54">
        <v>10</v>
      </c>
      <c r="P116" s="44">
        <v>44942</v>
      </c>
      <c r="Q116" s="44"/>
      <c r="R116" s="22" t="s">
        <v>445</v>
      </c>
      <c r="S116" s="68">
        <v>44897</v>
      </c>
      <c r="T116" s="68">
        <v>44897</v>
      </c>
      <c r="U116" s="68" t="s">
        <v>42</v>
      </c>
      <c r="V116" s="68">
        <v>44896</v>
      </c>
      <c r="W116" s="68">
        <v>44895</v>
      </c>
      <c r="X116" s="44" t="s">
        <v>1149</v>
      </c>
      <c r="Z116" s="99" t="s">
        <v>1020</v>
      </c>
      <c r="AA116" s="75" t="s">
        <v>724</v>
      </c>
      <c r="AB116" s="74" t="s">
        <v>1021</v>
      </c>
      <c r="AC116" s="74"/>
      <c r="AD116" s="75"/>
      <c r="AE116" s="32"/>
      <c r="AN116" s="133" t="s">
        <v>1168</v>
      </c>
    </row>
    <row r="117" ht="71.25" spans="1:40">
      <c r="A117" s="18">
        <v>17</v>
      </c>
      <c r="B117" s="19" t="s">
        <v>1169</v>
      </c>
      <c r="C117" s="18" t="s">
        <v>1170</v>
      </c>
      <c r="D117" s="28" t="s">
        <v>1171</v>
      </c>
      <c r="E117" s="21" t="s">
        <v>1172</v>
      </c>
      <c r="F117" s="22" t="s">
        <v>324</v>
      </c>
      <c r="G117" s="128" t="s">
        <v>1173</v>
      </c>
      <c r="H117" s="22" t="s">
        <v>1154</v>
      </c>
      <c r="I117" s="43" t="s">
        <v>1174</v>
      </c>
      <c r="J117" s="43" t="s">
        <v>1175</v>
      </c>
      <c r="K117" s="44" t="s">
        <v>1176</v>
      </c>
      <c r="L117" s="45">
        <v>44813</v>
      </c>
      <c r="M117" s="45">
        <v>44883</v>
      </c>
      <c r="N117" s="53" t="s">
        <v>317</v>
      </c>
      <c r="O117" s="47">
        <v>5</v>
      </c>
      <c r="P117" s="44">
        <v>44904</v>
      </c>
      <c r="Q117" s="44"/>
      <c r="R117" s="22" t="s">
        <v>1177</v>
      </c>
      <c r="S117" s="68">
        <v>44886</v>
      </c>
      <c r="T117" s="68">
        <v>44886</v>
      </c>
      <c r="U117" s="69" t="s">
        <v>42</v>
      </c>
      <c r="V117" s="69">
        <v>44886</v>
      </c>
      <c r="W117" s="69">
        <v>44886</v>
      </c>
      <c r="X117" s="44" t="s">
        <v>1158</v>
      </c>
      <c r="Z117" s="101" t="s">
        <v>1020</v>
      </c>
      <c r="AA117" s="32" t="s">
        <v>724</v>
      </c>
      <c r="AB117" s="32" t="s">
        <v>724</v>
      </c>
      <c r="AC117" s="32"/>
      <c r="AD117" s="32" t="s">
        <v>724</v>
      </c>
      <c r="AE117" s="32"/>
      <c r="AM117" s="133" t="s">
        <v>1178</v>
      </c>
      <c r="AN117" s="136" t="s">
        <v>1179</v>
      </c>
    </row>
    <row r="118" ht="71.25" spans="1:40">
      <c r="A118" s="18">
        <v>18</v>
      </c>
      <c r="B118" s="19" t="s">
        <v>1180</v>
      </c>
      <c r="C118" s="18" t="s">
        <v>1181</v>
      </c>
      <c r="D118" s="28" t="s">
        <v>1182</v>
      </c>
      <c r="E118" s="21" t="s">
        <v>1183</v>
      </c>
      <c r="F118" s="22" t="s">
        <v>332</v>
      </c>
      <c r="G118" s="22" t="s">
        <v>1184</v>
      </c>
      <c r="H118" s="22" t="s">
        <v>1185</v>
      </c>
      <c r="I118" s="43" t="s">
        <v>1186</v>
      </c>
      <c r="J118" s="43" t="s">
        <v>1187</v>
      </c>
      <c r="K118" s="44" t="s">
        <v>1188</v>
      </c>
      <c r="L118" s="45">
        <v>44843</v>
      </c>
      <c r="M118" s="45">
        <v>44901</v>
      </c>
      <c r="N118" s="53" t="s">
        <v>317</v>
      </c>
      <c r="O118" s="54">
        <v>5</v>
      </c>
      <c r="P118" s="44">
        <v>44922</v>
      </c>
      <c r="Q118" s="44"/>
      <c r="R118" s="22" t="s">
        <v>392</v>
      </c>
      <c r="S118" s="68">
        <v>44901</v>
      </c>
      <c r="T118" s="68">
        <v>44901</v>
      </c>
      <c r="U118" s="68" t="s">
        <v>42</v>
      </c>
      <c r="V118" s="68">
        <v>44902</v>
      </c>
      <c r="W118" s="68">
        <v>44902</v>
      </c>
      <c r="X118" s="44" t="s">
        <v>149</v>
      </c>
      <c r="Z118" s="101" t="s">
        <v>1020</v>
      </c>
      <c r="AA118" s="32" t="s">
        <v>724</v>
      </c>
      <c r="AB118" s="32" t="s">
        <v>724</v>
      </c>
      <c r="AC118" s="32"/>
      <c r="AD118" s="32"/>
      <c r="AE118" s="32"/>
      <c r="AN118" s="133" t="s">
        <v>1189</v>
      </c>
    </row>
    <row r="119" ht="90" customHeight="1" spans="1:40">
      <c r="A119" s="18">
        <v>19</v>
      </c>
      <c r="B119" s="19" t="s">
        <v>1190</v>
      </c>
      <c r="C119" s="18" t="s">
        <v>1191</v>
      </c>
      <c r="D119" s="20" t="s">
        <v>1192</v>
      </c>
      <c r="E119" s="21" t="s">
        <v>1193</v>
      </c>
      <c r="F119" s="22" t="s">
        <v>324</v>
      </c>
      <c r="G119" s="22" t="s">
        <v>1194</v>
      </c>
      <c r="H119" s="22" t="s">
        <v>1195</v>
      </c>
      <c r="I119" s="43" t="s">
        <v>1196</v>
      </c>
      <c r="J119" s="43" t="s">
        <v>1197</v>
      </c>
      <c r="K119" s="44" t="s">
        <v>1198</v>
      </c>
      <c r="L119" s="45">
        <v>44831</v>
      </c>
      <c r="M119" s="45">
        <v>44893</v>
      </c>
      <c r="N119" s="53" t="s">
        <v>317</v>
      </c>
      <c r="O119" s="54">
        <v>1.2</v>
      </c>
      <c r="P119" s="44">
        <v>44939</v>
      </c>
      <c r="Q119" s="44"/>
      <c r="R119" s="22" t="s">
        <v>445</v>
      </c>
      <c r="S119" s="68">
        <v>44897</v>
      </c>
      <c r="T119" s="68">
        <v>44897</v>
      </c>
      <c r="U119" s="68" t="s">
        <v>42</v>
      </c>
      <c r="V119" s="68">
        <v>44896</v>
      </c>
      <c r="W119" s="68">
        <v>44896</v>
      </c>
      <c r="X119" s="44" t="s">
        <v>1199</v>
      </c>
      <c r="Z119" s="99" t="s">
        <v>993</v>
      </c>
      <c r="AA119" s="75" t="s">
        <v>724</v>
      </c>
      <c r="AB119" s="75" t="s">
        <v>994</v>
      </c>
      <c r="AC119" s="75" t="s">
        <v>994</v>
      </c>
      <c r="AD119" s="75" t="s">
        <v>994</v>
      </c>
      <c r="AE119" s="32"/>
      <c r="AN119" s="133" t="s">
        <v>1200</v>
      </c>
    </row>
    <row r="120" ht="90" customHeight="1" spans="1:40">
      <c r="A120" s="18">
        <v>20</v>
      </c>
      <c r="B120" s="19" t="s">
        <v>1201</v>
      </c>
      <c r="C120" s="18" t="s">
        <v>1202</v>
      </c>
      <c r="D120" s="23"/>
      <c r="E120" s="21" t="s">
        <v>1203</v>
      </c>
      <c r="F120" s="22" t="s">
        <v>1204</v>
      </c>
      <c r="G120" s="128" t="s">
        <v>1205</v>
      </c>
      <c r="H120" s="22" t="s">
        <v>1206</v>
      </c>
      <c r="I120" s="43" t="s">
        <v>1207</v>
      </c>
      <c r="J120" s="43" t="s">
        <v>1208</v>
      </c>
      <c r="K120" s="44" t="s">
        <v>1209</v>
      </c>
      <c r="L120" s="45">
        <v>44831</v>
      </c>
      <c r="M120" s="45">
        <v>44893</v>
      </c>
      <c r="N120" s="53" t="s">
        <v>317</v>
      </c>
      <c r="O120" s="54">
        <v>0.2</v>
      </c>
      <c r="P120" s="44">
        <v>44939</v>
      </c>
      <c r="Q120" s="44"/>
      <c r="R120" s="22" t="s">
        <v>445</v>
      </c>
      <c r="S120" s="68">
        <v>44897</v>
      </c>
      <c r="T120" s="68">
        <v>44897</v>
      </c>
      <c r="U120" s="68" t="s">
        <v>42</v>
      </c>
      <c r="V120" s="68">
        <v>44896</v>
      </c>
      <c r="W120" s="68">
        <v>44896</v>
      </c>
      <c r="X120" s="44" t="s">
        <v>1199</v>
      </c>
      <c r="Z120" s="99" t="s">
        <v>1020</v>
      </c>
      <c r="AA120" s="32" t="s">
        <v>724</v>
      </c>
      <c r="AB120" s="74" t="s">
        <v>1021</v>
      </c>
      <c r="AC120" s="100"/>
      <c r="AD120" s="32"/>
      <c r="AE120" s="32"/>
      <c r="AN120" s="133" t="s">
        <v>1210</v>
      </c>
    </row>
    <row r="121" ht="90" customHeight="1" spans="1:40">
      <c r="A121" s="18">
        <v>1</v>
      </c>
      <c r="B121" s="19" t="s">
        <v>1211</v>
      </c>
      <c r="C121" s="18" t="s">
        <v>1070</v>
      </c>
      <c r="D121" s="23" t="s">
        <v>1212</v>
      </c>
      <c r="E121" s="21" t="s">
        <v>1213</v>
      </c>
      <c r="F121" s="22" t="s">
        <v>332</v>
      </c>
      <c r="G121" s="128" t="s">
        <v>1214</v>
      </c>
      <c r="H121" s="18" t="s">
        <v>1070</v>
      </c>
      <c r="I121" s="43" t="s">
        <v>1215</v>
      </c>
      <c r="J121" s="22" t="s">
        <v>1216</v>
      </c>
      <c r="K121" s="44" t="s">
        <v>1217</v>
      </c>
      <c r="L121" s="45">
        <v>44981</v>
      </c>
      <c r="M121" s="45">
        <v>45030</v>
      </c>
      <c r="N121" s="53" t="s">
        <v>317</v>
      </c>
      <c r="O121" s="54">
        <v>5</v>
      </c>
      <c r="P121" s="44">
        <v>45054</v>
      </c>
      <c r="Q121" s="44"/>
      <c r="R121" s="22" t="s">
        <v>445</v>
      </c>
      <c r="S121" s="68">
        <v>45034</v>
      </c>
      <c r="T121" s="68">
        <v>45034</v>
      </c>
      <c r="U121" s="68" t="s">
        <v>42</v>
      </c>
      <c r="V121" s="68">
        <v>45034</v>
      </c>
      <c r="W121" s="68">
        <v>45034</v>
      </c>
      <c r="X121" s="44" t="s">
        <v>1218</v>
      </c>
      <c r="Z121" s="32" t="s">
        <v>1219</v>
      </c>
      <c r="AA121" s="32" t="s">
        <v>724</v>
      </c>
      <c r="AB121" s="32" t="s">
        <v>724</v>
      </c>
      <c r="AC121" s="32"/>
      <c r="AD121" s="32"/>
      <c r="AE121" s="32"/>
      <c r="AN121" s="133" t="s">
        <v>1220</v>
      </c>
    </row>
    <row r="122" ht="90" customHeight="1" spans="1:40">
      <c r="A122" s="18">
        <v>2</v>
      </c>
      <c r="B122" s="19" t="s">
        <v>1221</v>
      </c>
      <c r="C122" s="18" t="s">
        <v>1222</v>
      </c>
      <c r="D122" s="28" t="s">
        <v>1223</v>
      </c>
      <c r="E122" s="21" t="s">
        <v>1224</v>
      </c>
      <c r="F122" s="22" t="s">
        <v>425</v>
      </c>
      <c r="G122" s="128" t="s">
        <v>1225</v>
      </c>
      <c r="H122" s="22" t="s">
        <v>610</v>
      </c>
      <c r="I122" s="43" t="s">
        <v>1226</v>
      </c>
      <c r="J122" s="22" t="s">
        <v>1227</v>
      </c>
      <c r="K122" s="44" t="s">
        <v>1228</v>
      </c>
      <c r="L122" s="45">
        <v>44994</v>
      </c>
      <c r="M122" s="45">
        <v>45054</v>
      </c>
      <c r="N122" s="53" t="s">
        <v>317</v>
      </c>
      <c r="O122" s="54">
        <v>0.2</v>
      </c>
      <c r="P122" s="44">
        <v>45070</v>
      </c>
      <c r="Q122" s="44"/>
      <c r="R122" s="22" t="s">
        <v>875</v>
      </c>
      <c r="S122" s="68">
        <v>45056</v>
      </c>
      <c r="T122" s="68">
        <v>45056</v>
      </c>
      <c r="U122" s="68" t="s">
        <v>42</v>
      </c>
      <c r="V122" s="68">
        <v>45055</v>
      </c>
      <c r="W122" s="68">
        <v>45055</v>
      </c>
      <c r="X122" s="44" t="s">
        <v>1218</v>
      </c>
      <c r="Z122" s="32" t="s">
        <v>1219</v>
      </c>
      <c r="AA122" s="32" t="s">
        <v>724</v>
      </c>
      <c r="AB122" s="32" t="s">
        <v>724</v>
      </c>
      <c r="AC122" s="32"/>
      <c r="AD122" s="32"/>
      <c r="AE122" s="32"/>
      <c r="AN122" s="133" t="s">
        <v>1229</v>
      </c>
    </row>
    <row r="123" ht="90" customHeight="1" spans="1:40">
      <c r="A123" s="18">
        <v>3</v>
      </c>
      <c r="B123" s="19" t="s">
        <v>1230</v>
      </c>
      <c r="C123" s="18" t="s">
        <v>1222</v>
      </c>
      <c r="D123" s="28"/>
      <c r="E123" s="21" t="s">
        <v>1231</v>
      </c>
      <c r="F123" s="22" t="s">
        <v>432</v>
      </c>
      <c r="G123" s="128" t="s">
        <v>1232</v>
      </c>
      <c r="H123" s="22" t="s">
        <v>610</v>
      </c>
      <c r="I123" s="43" t="s">
        <v>1233</v>
      </c>
      <c r="J123" s="22" t="s">
        <v>1234</v>
      </c>
      <c r="K123" s="44" t="s">
        <v>1235</v>
      </c>
      <c r="L123" s="45">
        <v>44994</v>
      </c>
      <c r="M123" s="45">
        <v>45054</v>
      </c>
      <c r="N123" s="53" t="s">
        <v>317</v>
      </c>
      <c r="O123" s="54">
        <v>0.2</v>
      </c>
      <c r="P123" s="44">
        <v>45070</v>
      </c>
      <c r="Q123" s="44"/>
      <c r="R123" s="22" t="s">
        <v>875</v>
      </c>
      <c r="S123" s="68">
        <v>45056</v>
      </c>
      <c r="T123" s="68">
        <v>45056</v>
      </c>
      <c r="U123" s="68" t="s">
        <v>42</v>
      </c>
      <c r="V123" s="68">
        <v>45055</v>
      </c>
      <c r="W123" s="68">
        <v>45055</v>
      </c>
      <c r="X123" s="44" t="s">
        <v>1218</v>
      </c>
      <c r="Z123" s="32" t="s">
        <v>1219</v>
      </c>
      <c r="AA123" s="32" t="s">
        <v>724</v>
      </c>
      <c r="AB123" s="32" t="s">
        <v>724</v>
      </c>
      <c r="AC123" s="32"/>
      <c r="AD123" s="32"/>
      <c r="AE123" s="32"/>
      <c r="AN123" s="133" t="s">
        <v>1236</v>
      </c>
    </row>
    <row r="124" ht="90" customHeight="1" spans="1:40">
      <c r="A124" s="18">
        <v>4</v>
      </c>
      <c r="B124" s="19" t="s">
        <v>1237</v>
      </c>
      <c r="C124" s="18" t="s">
        <v>1222</v>
      </c>
      <c r="D124" s="28"/>
      <c r="E124" s="21" t="s">
        <v>1238</v>
      </c>
      <c r="F124" s="22" t="s">
        <v>332</v>
      </c>
      <c r="G124" s="128" t="s">
        <v>1239</v>
      </c>
      <c r="H124" s="22" t="s">
        <v>610</v>
      </c>
      <c r="I124" s="43" t="s">
        <v>1240</v>
      </c>
      <c r="J124" s="22" t="s">
        <v>1241</v>
      </c>
      <c r="K124" s="44" t="s">
        <v>1242</v>
      </c>
      <c r="L124" s="45">
        <v>44994</v>
      </c>
      <c r="M124" s="45">
        <v>45054</v>
      </c>
      <c r="N124" s="53" t="s">
        <v>317</v>
      </c>
      <c r="O124" s="54">
        <v>1.2</v>
      </c>
      <c r="P124" s="44">
        <v>45076</v>
      </c>
      <c r="Q124" s="44"/>
      <c r="R124" s="22" t="s">
        <v>875</v>
      </c>
      <c r="S124" s="68">
        <v>45056</v>
      </c>
      <c r="T124" s="68">
        <v>45056</v>
      </c>
      <c r="U124" s="68" t="s">
        <v>42</v>
      </c>
      <c r="V124" s="68">
        <v>45055</v>
      </c>
      <c r="W124" s="68">
        <v>45055</v>
      </c>
      <c r="X124" s="44" t="s">
        <v>1218</v>
      </c>
      <c r="Z124" s="32" t="s">
        <v>1219</v>
      </c>
      <c r="AA124" s="32" t="s">
        <v>724</v>
      </c>
      <c r="AB124" s="32" t="s">
        <v>724</v>
      </c>
      <c r="AC124" s="32"/>
      <c r="AD124" s="32"/>
      <c r="AE124" s="32"/>
      <c r="AN124" s="133" t="s">
        <v>1243</v>
      </c>
    </row>
    <row r="125" ht="90" customHeight="1" spans="1:40">
      <c r="A125" s="18">
        <v>5</v>
      </c>
      <c r="B125" s="19" t="s">
        <v>1244</v>
      </c>
      <c r="C125" s="18" t="s">
        <v>1245</v>
      </c>
      <c r="D125" s="27" t="s">
        <v>1246</v>
      </c>
      <c r="E125" s="21" t="s">
        <v>269</v>
      </c>
      <c r="F125" s="22" t="s">
        <v>332</v>
      </c>
      <c r="G125" s="128" t="s">
        <v>270</v>
      </c>
      <c r="H125" s="22" t="s">
        <v>634</v>
      </c>
      <c r="I125" s="43" t="s">
        <v>1247</v>
      </c>
      <c r="J125" s="22" t="s">
        <v>1248</v>
      </c>
      <c r="K125" s="44" t="s">
        <v>1249</v>
      </c>
      <c r="L125" s="45">
        <v>45001</v>
      </c>
      <c r="M125" s="45">
        <v>45062</v>
      </c>
      <c r="N125" s="53" t="s">
        <v>317</v>
      </c>
      <c r="O125" s="54">
        <v>1.2</v>
      </c>
      <c r="P125" s="44">
        <v>45076</v>
      </c>
      <c r="Q125" s="44"/>
      <c r="R125" s="22" t="s">
        <v>392</v>
      </c>
      <c r="S125" s="68">
        <v>45064</v>
      </c>
      <c r="T125" s="68">
        <v>45064</v>
      </c>
      <c r="U125" s="68" t="s">
        <v>42</v>
      </c>
      <c r="V125" s="68">
        <v>45064</v>
      </c>
      <c r="W125" s="68">
        <v>45064</v>
      </c>
      <c r="X125" s="44" t="s">
        <v>1218</v>
      </c>
      <c r="Z125" s="32" t="s">
        <v>1219</v>
      </c>
      <c r="AA125" s="32" t="s">
        <v>724</v>
      </c>
      <c r="AB125" s="32" t="s">
        <v>724</v>
      </c>
      <c r="AC125" s="32"/>
      <c r="AD125" s="32"/>
      <c r="AE125" s="32"/>
      <c r="AN125" s="133" t="s">
        <v>1250</v>
      </c>
    </row>
    <row r="126" ht="90" customHeight="1" spans="1:40">
      <c r="A126" s="18">
        <v>6</v>
      </c>
      <c r="B126" s="19" t="s">
        <v>1251</v>
      </c>
      <c r="C126" s="18" t="s">
        <v>1252</v>
      </c>
      <c r="D126" s="27"/>
      <c r="E126" s="21" t="s">
        <v>1253</v>
      </c>
      <c r="F126" s="22" t="s">
        <v>425</v>
      </c>
      <c r="G126" s="128" t="s">
        <v>1254</v>
      </c>
      <c r="H126" s="22" t="s">
        <v>1255</v>
      </c>
      <c r="I126" s="43" t="s">
        <v>1256</v>
      </c>
      <c r="J126" s="22" t="s">
        <v>1257</v>
      </c>
      <c r="K126" s="44" t="s">
        <v>1258</v>
      </c>
      <c r="L126" s="45">
        <v>45001</v>
      </c>
      <c r="M126" s="45">
        <v>45062</v>
      </c>
      <c r="N126" s="53" t="s">
        <v>317</v>
      </c>
      <c r="O126" s="54">
        <v>0.2</v>
      </c>
      <c r="P126" s="44">
        <v>45076</v>
      </c>
      <c r="Q126" s="44"/>
      <c r="R126" s="22" t="s">
        <v>392</v>
      </c>
      <c r="S126" s="68">
        <v>45064</v>
      </c>
      <c r="T126" s="68">
        <v>45064</v>
      </c>
      <c r="U126" s="68" t="s">
        <v>42</v>
      </c>
      <c r="V126" s="68">
        <v>45064</v>
      </c>
      <c r="W126" s="68">
        <v>45064</v>
      </c>
      <c r="X126" s="44" t="s">
        <v>1218</v>
      </c>
      <c r="Z126" s="32" t="s">
        <v>1219</v>
      </c>
      <c r="AA126" s="32" t="s">
        <v>724</v>
      </c>
      <c r="AB126" s="32" t="s">
        <v>724</v>
      </c>
      <c r="AC126" s="32"/>
      <c r="AD126" s="32"/>
      <c r="AE126" s="32"/>
      <c r="AN126" s="133" t="s">
        <v>1259</v>
      </c>
    </row>
    <row r="127" ht="90" customHeight="1" spans="1:40">
      <c r="A127" s="18">
        <v>7</v>
      </c>
      <c r="B127" s="19" t="s">
        <v>1260</v>
      </c>
      <c r="C127" s="18" t="s">
        <v>1261</v>
      </c>
      <c r="D127" s="23"/>
      <c r="E127" s="21" t="s">
        <v>1262</v>
      </c>
      <c r="F127" s="22" t="s">
        <v>432</v>
      </c>
      <c r="G127" s="128" t="s">
        <v>1263</v>
      </c>
      <c r="H127" s="22" t="s">
        <v>1264</v>
      </c>
      <c r="I127" s="43" t="s">
        <v>1265</v>
      </c>
      <c r="J127" s="22" t="s">
        <v>1266</v>
      </c>
      <c r="K127" s="44" t="s">
        <v>1267</v>
      </c>
      <c r="L127" s="45">
        <v>45001</v>
      </c>
      <c r="M127" s="45">
        <v>45062</v>
      </c>
      <c r="N127" s="53" t="s">
        <v>317</v>
      </c>
      <c r="O127" s="54">
        <v>0.2</v>
      </c>
      <c r="P127" s="44">
        <v>45076</v>
      </c>
      <c r="Q127" s="44"/>
      <c r="R127" s="22" t="s">
        <v>392</v>
      </c>
      <c r="S127" s="68">
        <v>45064</v>
      </c>
      <c r="T127" s="68">
        <v>45064</v>
      </c>
      <c r="U127" s="68" t="s">
        <v>42</v>
      </c>
      <c r="V127" s="68">
        <v>45064</v>
      </c>
      <c r="W127" s="68">
        <v>45064</v>
      </c>
      <c r="X127" s="44" t="s">
        <v>1218</v>
      </c>
      <c r="Z127" s="32" t="s">
        <v>1219</v>
      </c>
      <c r="AA127" s="32" t="s">
        <v>724</v>
      </c>
      <c r="AB127" s="32" t="s">
        <v>724</v>
      </c>
      <c r="AC127" s="32"/>
      <c r="AD127" s="32"/>
      <c r="AE127" s="32"/>
      <c r="AN127" s="133" t="s">
        <v>1268</v>
      </c>
    </row>
    <row r="128" ht="90" customHeight="1" spans="1:40">
      <c r="A128" s="18">
        <v>8</v>
      </c>
      <c r="B128" s="19" t="s">
        <v>1269</v>
      </c>
      <c r="C128" s="18" t="s">
        <v>1270</v>
      </c>
      <c r="D128" s="23" t="s">
        <v>1271</v>
      </c>
      <c r="E128" s="21" t="s">
        <v>1050</v>
      </c>
      <c r="F128" s="22" t="s">
        <v>332</v>
      </c>
      <c r="G128" s="128" t="s">
        <v>1051</v>
      </c>
      <c r="H128" s="22" t="s">
        <v>1145</v>
      </c>
      <c r="I128" s="43" t="s">
        <v>1272</v>
      </c>
      <c r="J128" s="22" t="s">
        <v>1273</v>
      </c>
      <c r="K128" s="50" t="s">
        <v>1274</v>
      </c>
      <c r="L128" s="45">
        <v>45009</v>
      </c>
      <c r="M128" s="45">
        <v>45092</v>
      </c>
      <c r="N128" s="53" t="s">
        <v>317</v>
      </c>
      <c r="O128" s="54">
        <v>10</v>
      </c>
      <c r="P128" s="44">
        <v>45111</v>
      </c>
      <c r="Q128" s="44"/>
      <c r="R128" s="22" t="s">
        <v>875</v>
      </c>
      <c r="S128" s="68">
        <v>45093</v>
      </c>
      <c r="T128" s="68">
        <v>45093</v>
      </c>
      <c r="U128" s="68" t="s">
        <v>42</v>
      </c>
      <c r="V128" s="68">
        <v>45093</v>
      </c>
      <c r="W128" s="68">
        <v>45093</v>
      </c>
      <c r="X128" s="44" t="s">
        <v>195</v>
      </c>
      <c r="Z128" s="32" t="s">
        <v>1275</v>
      </c>
      <c r="AA128" s="76" t="s">
        <v>724</v>
      </c>
      <c r="AB128" s="76" t="s">
        <v>724</v>
      </c>
      <c r="AC128" s="76"/>
      <c r="AD128" s="32"/>
      <c r="AE128" s="32"/>
      <c r="AN128" s="133" t="s">
        <v>1276</v>
      </c>
    </row>
    <row r="129" ht="90" customHeight="1" spans="1:40">
      <c r="A129" s="18">
        <v>9</v>
      </c>
      <c r="B129" s="19" t="s">
        <v>1277</v>
      </c>
      <c r="C129" s="18" t="s">
        <v>1278</v>
      </c>
      <c r="D129" s="27" t="s">
        <v>1121</v>
      </c>
      <c r="E129" s="21" t="s">
        <v>1279</v>
      </c>
      <c r="F129" s="22" t="s">
        <v>332</v>
      </c>
      <c r="G129" s="128" t="s">
        <v>1280</v>
      </c>
      <c r="H129" s="22" t="s">
        <v>1145</v>
      </c>
      <c r="I129" s="43" t="s">
        <v>1281</v>
      </c>
      <c r="J129" s="22" t="s">
        <v>1282</v>
      </c>
      <c r="K129" s="44" t="s">
        <v>1283</v>
      </c>
      <c r="L129" s="45">
        <v>45013</v>
      </c>
      <c r="M129" s="45">
        <v>45092</v>
      </c>
      <c r="N129" s="53" t="s">
        <v>317</v>
      </c>
      <c r="O129" s="54">
        <v>10</v>
      </c>
      <c r="P129" s="44">
        <v>45103</v>
      </c>
      <c r="Q129" s="44"/>
      <c r="R129" s="22" t="s">
        <v>875</v>
      </c>
      <c r="S129" s="68">
        <v>45093</v>
      </c>
      <c r="T129" s="68">
        <v>45093</v>
      </c>
      <c r="U129" s="68" t="s">
        <v>42</v>
      </c>
      <c r="V129" s="68">
        <v>45093</v>
      </c>
      <c r="W129" s="68">
        <v>45093</v>
      </c>
      <c r="X129" s="44" t="s">
        <v>1218</v>
      </c>
      <c r="Z129" s="32" t="s">
        <v>1219</v>
      </c>
      <c r="AA129" s="32" t="s">
        <v>724</v>
      </c>
      <c r="AB129" s="32" t="s">
        <v>724</v>
      </c>
      <c r="AC129" s="32"/>
      <c r="AD129" s="32"/>
      <c r="AE129" s="32"/>
      <c r="AN129" s="133" t="s">
        <v>1284</v>
      </c>
    </row>
    <row r="130" ht="90" customHeight="1" spans="1:40">
      <c r="A130" s="18">
        <v>10</v>
      </c>
      <c r="B130" s="19" t="s">
        <v>1285</v>
      </c>
      <c r="C130" s="18" t="s">
        <v>1286</v>
      </c>
      <c r="D130" s="23"/>
      <c r="E130" s="21" t="s">
        <v>1287</v>
      </c>
      <c r="F130" s="22" t="s">
        <v>324</v>
      </c>
      <c r="G130" s="128" t="s">
        <v>1288</v>
      </c>
      <c r="H130" s="22" t="s">
        <v>1145</v>
      </c>
      <c r="I130" s="43" t="s">
        <v>1289</v>
      </c>
      <c r="J130" s="22" t="s">
        <v>1290</v>
      </c>
      <c r="K130" s="44" t="s">
        <v>1291</v>
      </c>
      <c r="L130" s="45">
        <v>45013</v>
      </c>
      <c r="M130" s="45">
        <v>45092</v>
      </c>
      <c r="N130" s="53" t="s">
        <v>317</v>
      </c>
      <c r="O130" s="54">
        <v>10</v>
      </c>
      <c r="P130" s="44">
        <v>45111</v>
      </c>
      <c r="Q130" s="44"/>
      <c r="R130" s="22" t="s">
        <v>875</v>
      </c>
      <c r="S130" s="68">
        <v>45093</v>
      </c>
      <c r="T130" s="68">
        <v>45093</v>
      </c>
      <c r="U130" s="68" t="s">
        <v>42</v>
      </c>
      <c r="V130" s="68">
        <v>45093</v>
      </c>
      <c r="W130" s="68">
        <v>45093</v>
      </c>
      <c r="X130" s="44" t="s">
        <v>195</v>
      </c>
      <c r="Z130" s="75"/>
      <c r="AA130" s="79" t="s">
        <v>724</v>
      </c>
      <c r="AB130" s="79" t="s">
        <v>724</v>
      </c>
      <c r="AC130" s="76"/>
      <c r="AD130" s="32"/>
      <c r="AE130" s="32"/>
      <c r="AN130" s="133" t="s">
        <v>1292</v>
      </c>
    </row>
    <row r="131" ht="90" customHeight="1" spans="1:40">
      <c r="A131" s="18">
        <v>11</v>
      </c>
      <c r="B131" s="19" t="s">
        <v>1293</v>
      </c>
      <c r="C131" s="18" t="s">
        <v>1294</v>
      </c>
      <c r="D131" s="28" t="s">
        <v>1295</v>
      </c>
      <c r="E131" s="21" t="s">
        <v>1296</v>
      </c>
      <c r="F131" s="22" t="s">
        <v>324</v>
      </c>
      <c r="G131" s="128" t="s">
        <v>1297</v>
      </c>
      <c r="H131" s="22" t="s">
        <v>1070</v>
      </c>
      <c r="I131" s="43" t="s">
        <v>1298</v>
      </c>
      <c r="J131" s="22" t="s">
        <v>1299</v>
      </c>
      <c r="K131" s="44" t="s">
        <v>1300</v>
      </c>
      <c r="L131" s="45">
        <v>45014</v>
      </c>
      <c r="M131" s="45">
        <v>45077</v>
      </c>
      <c r="N131" s="53" t="s">
        <v>317</v>
      </c>
      <c r="O131" s="54">
        <v>5</v>
      </c>
      <c r="P131" s="44">
        <v>45086</v>
      </c>
      <c r="Q131" s="44"/>
      <c r="R131" s="22" t="s">
        <v>445</v>
      </c>
      <c r="S131" s="68">
        <v>45079</v>
      </c>
      <c r="T131" s="68">
        <v>45079</v>
      </c>
      <c r="U131" s="68" t="s">
        <v>42</v>
      </c>
      <c r="V131" s="68">
        <v>45078</v>
      </c>
      <c r="W131" s="68">
        <v>45077</v>
      </c>
      <c r="X131" s="44" t="s">
        <v>1218</v>
      </c>
      <c r="Z131" s="32" t="s">
        <v>1219</v>
      </c>
      <c r="AA131" s="32" t="s">
        <v>724</v>
      </c>
      <c r="AB131" s="32" t="s">
        <v>724</v>
      </c>
      <c r="AC131" s="32"/>
      <c r="AD131" s="32"/>
      <c r="AE131" s="32"/>
      <c r="AN131" s="133" t="s">
        <v>1301</v>
      </c>
    </row>
    <row r="132" ht="90" customHeight="1" spans="1:40">
      <c r="A132" s="18">
        <v>12</v>
      </c>
      <c r="B132" s="19" t="s">
        <v>1302</v>
      </c>
      <c r="C132" s="18" t="s">
        <v>1303</v>
      </c>
      <c r="D132" s="20" t="s">
        <v>1304</v>
      </c>
      <c r="E132" s="21" t="s">
        <v>1305</v>
      </c>
      <c r="F132" s="22" t="s">
        <v>324</v>
      </c>
      <c r="G132" s="128" t="s">
        <v>1306</v>
      </c>
      <c r="H132" s="22" t="s">
        <v>1307</v>
      </c>
      <c r="I132" s="43" t="s">
        <v>1308</v>
      </c>
      <c r="J132" s="22" t="s">
        <v>1309</v>
      </c>
      <c r="K132" s="50" t="s">
        <v>1310</v>
      </c>
      <c r="L132" s="45">
        <v>45033</v>
      </c>
      <c r="M132" s="45">
        <v>45112</v>
      </c>
      <c r="N132" s="46" t="s">
        <v>317</v>
      </c>
      <c r="O132" s="54">
        <v>1.2</v>
      </c>
      <c r="P132" s="44">
        <v>45138</v>
      </c>
      <c r="Q132" s="44"/>
      <c r="R132" s="22" t="s">
        <v>445</v>
      </c>
      <c r="S132" s="68">
        <v>45114</v>
      </c>
      <c r="T132" s="68">
        <v>45114</v>
      </c>
      <c r="U132" s="68" t="s">
        <v>42</v>
      </c>
      <c r="V132" s="68">
        <v>45117</v>
      </c>
      <c r="W132" s="68">
        <v>45113</v>
      </c>
      <c r="X132" s="44" t="s">
        <v>195</v>
      </c>
      <c r="Z132" s="32" t="s">
        <v>1275</v>
      </c>
      <c r="AA132" s="76" t="s">
        <v>724</v>
      </c>
      <c r="AB132" s="76" t="s">
        <v>724</v>
      </c>
      <c r="AC132" s="76"/>
      <c r="AD132" s="32"/>
      <c r="AE132" s="32"/>
      <c r="AN132" s="133" t="s">
        <v>1311</v>
      </c>
    </row>
    <row r="133" ht="90" customHeight="1" spans="1:40">
      <c r="A133" s="18">
        <v>13</v>
      </c>
      <c r="B133" s="19" t="s">
        <v>1312</v>
      </c>
      <c r="C133" s="18" t="s">
        <v>1313</v>
      </c>
      <c r="D133" s="23"/>
      <c r="E133" s="21" t="s">
        <v>1314</v>
      </c>
      <c r="F133" s="22" t="s">
        <v>1315</v>
      </c>
      <c r="G133" s="128" t="s">
        <v>1316</v>
      </c>
      <c r="H133" s="22" t="s">
        <v>1317</v>
      </c>
      <c r="I133" s="43" t="s">
        <v>1318</v>
      </c>
      <c r="J133" s="22" t="s">
        <v>1319</v>
      </c>
      <c r="K133" s="50" t="s">
        <v>1320</v>
      </c>
      <c r="L133" s="45">
        <v>45033</v>
      </c>
      <c r="M133" s="45">
        <v>45112</v>
      </c>
      <c r="N133" s="46" t="s">
        <v>317</v>
      </c>
      <c r="O133" s="54">
        <v>0.2</v>
      </c>
      <c r="P133" s="44">
        <v>45138</v>
      </c>
      <c r="Q133" s="44"/>
      <c r="R133" s="22" t="s">
        <v>445</v>
      </c>
      <c r="S133" s="68">
        <v>45114</v>
      </c>
      <c r="T133" s="68">
        <v>45114</v>
      </c>
      <c r="U133" s="68" t="s">
        <v>42</v>
      </c>
      <c r="V133" s="68">
        <v>45117</v>
      </c>
      <c r="W133" s="68">
        <v>45113</v>
      </c>
      <c r="X133" s="44" t="s">
        <v>195</v>
      </c>
      <c r="Z133" s="104" t="s">
        <v>1321</v>
      </c>
      <c r="AA133" s="79" t="s">
        <v>724</v>
      </c>
      <c r="AB133" s="79" t="s">
        <v>724</v>
      </c>
      <c r="AC133" s="76"/>
      <c r="AD133" s="32"/>
      <c r="AE133" s="32"/>
      <c r="AN133" s="133" t="s">
        <v>1322</v>
      </c>
    </row>
    <row r="134" ht="90" customHeight="1" spans="1:40">
      <c r="A134" s="18">
        <v>14</v>
      </c>
      <c r="B134" s="19" t="s">
        <v>1323</v>
      </c>
      <c r="C134" s="18" t="s">
        <v>1324</v>
      </c>
      <c r="D134" s="28" t="s">
        <v>1325</v>
      </c>
      <c r="E134" s="21" t="s">
        <v>1326</v>
      </c>
      <c r="F134" s="22" t="s">
        <v>324</v>
      </c>
      <c r="G134" s="128" t="s">
        <v>1327</v>
      </c>
      <c r="H134" s="22" t="s">
        <v>634</v>
      </c>
      <c r="I134" s="43" t="s">
        <v>1328</v>
      </c>
      <c r="J134" s="22" t="s">
        <v>1329</v>
      </c>
      <c r="K134" s="50" t="s">
        <v>1330</v>
      </c>
      <c r="L134" s="45">
        <v>45039</v>
      </c>
      <c r="M134" s="45">
        <v>45105</v>
      </c>
      <c r="N134" s="53" t="s">
        <v>317</v>
      </c>
      <c r="O134" s="54">
        <v>1.2</v>
      </c>
      <c r="P134" s="44">
        <v>45124</v>
      </c>
      <c r="Q134" s="44"/>
      <c r="R134" s="22" t="s">
        <v>392</v>
      </c>
      <c r="S134" s="68">
        <v>45107</v>
      </c>
      <c r="T134" s="68">
        <v>45113</v>
      </c>
      <c r="U134" s="68" t="s">
        <v>42</v>
      </c>
      <c r="V134" s="68">
        <v>45106</v>
      </c>
      <c r="W134" s="68">
        <v>45106</v>
      </c>
      <c r="X134" s="44" t="s">
        <v>195</v>
      </c>
      <c r="Z134" s="32" t="s">
        <v>1275</v>
      </c>
      <c r="AA134" s="76" t="s">
        <v>724</v>
      </c>
      <c r="AB134" s="76" t="s">
        <v>724</v>
      </c>
      <c r="AC134" s="76"/>
      <c r="AD134" s="32"/>
      <c r="AE134" s="32"/>
      <c r="AN134" s="133" t="s">
        <v>1331</v>
      </c>
    </row>
    <row r="135" ht="90" customHeight="1" spans="1:40">
      <c r="A135" s="18">
        <v>15</v>
      </c>
      <c r="B135" s="19" t="s">
        <v>1332</v>
      </c>
      <c r="C135" s="18" t="s">
        <v>1333</v>
      </c>
      <c r="D135" s="28"/>
      <c r="E135" s="21" t="s">
        <v>1334</v>
      </c>
      <c r="F135" s="22" t="s">
        <v>667</v>
      </c>
      <c r="G135" s="128" t="s">
        <v>1335</v>
      </c>
      <c r="H135" s="22" t="s">
        <v>1255</v>
      </c>
      <c r="I135" s="43" t="s">
        <v>1336</v>
      </c>
      <c r="J135" s="22" t="s">
        <v>1337</v>
      </c>
      <c r="K135" s="50" t="s">
        <v>1338</v>
      </c>
      <c r="L135" s="45">
        <v>45039</v>
      </c>
      <c r="M135" s="45">
        <v>45105</v>
      </c>
      <c r="N135" s="53" t="s">
        <v>317</v>
      </c>
      <c r="O135" s="54">
        <v>0.2</v>
      </c>
      <c r="P135" s="44">
        <v>45124</v>
      </c>
      <c r="Q135" s="44"/>
      <c r="R135" s="22" t="s">
        <v>392</v>
      </c>
      <c r="S135" s="68">
        <v>45107</v>
      </c>
      <c r="T135" s="68">
        <v>45113</v>
      </c>
      <c r="U135" s="68" t="s">
        <v>42</v>
      </c>
      <c r="V135" s="68">
        <v>45106</v>
      </c>
      <c r="W135" s="68">
        <v>45106</v>
      </c>
      <c r="X135" s="44" t="s">
        <v>195</v>
      </c>
      <c r="Z135" s="32" t="s">
        <v>1275</v>
      </c>
      <c r="AA135" s="76" t="s">
        <v>724</v>
      </c>
      <c r="AB135" s="76" t="s">
        <v>724</v>
      </c>
      <c r="AC135" s="76"/>
      <c r="AD135" s="32"/>
      <c r="AE135" s="32"/>
      <c r="AN135" s="133" t="s">
        <v>1339</v>
      </c>
    </row>
    <row r="136" ht="90" customHeight="1" spans="1:40">
      <c r="A136" s="18">
        <v>16</v>
      </c>
      <c r="B136" s="19" t="s">
        <v>1340</v>
      </c>
      <c r="C136" s="18" t="s">
        <v>1341</v>
      </c>
      <c r="D136" s="28"/>
      <c r="E136" s="21" t="s">
        <v>1342</v>
      </c>
      <c r="F136" s="22" t="s">
        <v>675</v>
      </c>
      <c r="G136" s="128" t="s">
        <v>1343</v>
      </c>
      <c r="H136" s="22" t="s">
        <v>1264</v>
      </c>
      <c r="I136" s="43" t="s">
        <v>1344</v>
      </c>
      <c r="J136" s="22" t="s">
        <v>1345</v>
      </c>
      <c r="K136" s="44" t="s">
        <v>1346</v>
      </c>
      <c r="L136" s="45">
        <v>45039</v>
      </c>
      <c r="M136" s="45">
        <v>45105</v>
      </c>
      <c r="N136" s="53" t="s">
        <v>317</v>
      </c>
      <c r="O136" s="54">
        <v>0.2</v>
      </c>
      <c r="P136" s="44">
        <v>45124</v>
      </c>
      <c r="Q136" s="44"/>
      <c r="R136" s="22" t="s">
        <v>392</v>
      </c>
      <c r="S136" s="68">
        <v>45107</v>
      </c>
      <c r="T136" s="68">
        <v>45113</v>
      </c>
      <c r="U136" s="68" t="s">
        <v>42</v>
      </c>
      <c r="V136" s="68">
        <v>45106</v>
      </c>
      <c r="W136" s="68">
        <v>45106</v>
      </c>
      <c r="X136" s="44" t="s">
        <v>195</v>
      </c>
      <c r="Z136" s="75"/>
      <c r="AA136" s="79" t="s">
        <v>724</v>
      </c>
      <c r="AB136" s="79" t="s">
        <v>724</v>
      </c>
      <c r="AC136" s="76"/>
      <c r="AD136" s="32"/>
      <c r="AE136" s="32"/>
      <c r="AN136" s="133" t="s">
        <v>1347</v>
      </c>
    </row>
    <row r="137" ht="90" customHeight="1" spans="1:40">
      <c r="A137" s="18">
        <v>17</v>
      </c>
      <c r="B137" s="19" t="s">
        <v>1348</v>
      </c>
      <c r="C137" s="18" t="s">
        <v>1349</v>
      </c>
      <c r="D137" s="28" t="s">
        <v>1350</v>
      </c>
      <c r="E137" s="21" t="s">
        <v>331</v>
      </c>
      <c r="F137" s="22" t="s">
        <v>332</v>
      </c>
      <c r="G137" s="128" t="s">
        <v>1351</v>
      </c>
      <c r="H137" s="22" t="s">
        <v>1154</v>
      </c>
      <c r="I137" s="43" t="s">
        <v>1352</v>
      </c>
      <c r="J137" s="22" t="s">
        <v>1353</v>
      </c>
      <c r="K137" s="44" t="s">
        <v>1354</v>
      </c>
      <c r="L137" s="45">
        <v>45054</v>
      </c>
      <c r="M137" s="45">
        <v>45105</v>
      </c>
      <c r="N137" s="53" t="s">
        <v>317</v>
      </c>
      <c r="O137" s="54">
        <v>5</v>
      </c>
      <c r="P137" s="44">
        <v>45124</v>
      </c>
      <c r="Q137" s="44"/>
      <c r="R137" s="22" t="s">
        <v>392</v>
      </c>
      <c r="S137" s="68">
        <v>45107</v>
      </c>
      <c r="T137" s="68">
        <v>45113</v>
      </c>
      <c r="U137" s="68" t="s">
        <v>42</v>
      </c>
      <c r="V137" s="68">
        <v>45106</v>
      </c>
      <c r="W137" s="68">
        <v>45106</v>
      </c>
      <c r="X137" s="44" t="s">
        <v>195</v>
      </c>
      <c r="Z137" s="75"/>
      <c r="AA137" s="79" t="s">
        <v>724</v>
      </c>
      <c r="AB137" s="79" t="s">
        <v>724</v>
      </c>
      <c r="AC137" s="76"/>
      <c r="AD137" s="32"/>
      <c r="AE137" s="32"/>
      <c r="AN137" s="133" t="s">
        <v>1355</v>
      </c>
    </row>
    <row r="138" ht="90" customHeight="1" spans="1:40">
      <c r="A138" s="18">
        <v>18</v>
      </c>
      <c r="B138" s="19" t="s">
        <v>1356</v>
      </c>
      <c r="C138" s="22" t="s">
        <v>1357</v>
      </c>
      <c r="D138" s="28" t="s">
        <v>1358</v>
      </c>
      <c r="E138" s="21" t="s">
        <v>1359</v>
      </c>
      <c r="F138" s="22" t="s">
        <v>332</v>
      </c>
      <c r="G138" s="128" t="s">
        <v>1360</v>
      </c>
      <c r="H138" s="22" t="s">
        <v>1361</v>
      </c>
      <c r="I138" s="43" t="s">
        <v>1362</v>
      </c>
      <c r="J138" s="22" t="s">
        <v>1363</v>
      </c>
      <c r="K138" s="44" t="s">
        <v>1364</v>
      </c>
      <c r="L138" s="45">
        <v>45077</v>
      </c>
      <c r="M138" s="45">
        <v>45153</v>
      </c>
      <c r="N138" s="53" t="s">
        <v>317</v>
      </c>
      <c r="O138" s="54">
        <v>10</v>
      </c>
      <c r="P138" s="44">
        <v>45159</v>
      </c>
      <c r="Q138" s="44"/>
      <c r="R138" s="22" t="s">
        <v>445</v>
      </c>
      <c r="S138" s="68">
        <v>45159</v>
      </c>
      <c r="T138" s="68">
        <v>45159</v>
      </c>
      <c r="U138" s="68" t="s">
        <v>42</v>
      </c>
      <c r="V138" s="68">
        <v>45154</v>
      </c>
      <c r="W138" s="68">
        <v>45154</v>
      </c>
      <c r="X138" s="44" t="s">
        <v>195</v>
      </c>
      <c r="Z138" s="75"/>
      <c r="AA138" s="79" t="s">
        <v>724</v>
      </c>
      <c r="AB138" s="79" t="s">
        <v>724</v>
      </c>
      <c r="AC138" s="76"/>
      <c r="AD138" s="32"/>
      <c r="AE138" s="32"/>
      <c r="AN138" s="133" t="s">
        <v>1365</v>
      </c>
    </row>
    <row r="139" ht="90" customHeight="1" spans="1:40">
      <c r="A139" s="18">
        <v>19</v>
      </c>
      <c r="B139" s="19" t="s">
        <v>1366</v>
      </c>
      <c r="C139" s="18" t="s">
        <v>1367</v>
      </c>
      <c r="D139" s="28" t="s">
        <v>1368</v>
      </c>
      <c r="E139" s="21" t="s">
        <v>1369</v>
      </c>
      <c r="F139" s="22" t="s">
        <v>332</v>
      </c>
      <c r="G139" s="128" t="s">
        <v>1370</v>
      </c>
      <c r="H139" s="22" t="s">
        <v>1371</v>
      </c>
      <c r="I139" s="43" t="s">
        <v>1372</v>
      </c>
      <c r="J139" s="22" t="s">
        <v>1373</v>
      </c>
      <c r="K139" s="50" t="s">
        <v>1374</v>
      </c>
      <c r="L139" s="45">
        <v>45085</v>
      </c>
      <c r="M139" s="45">
        <v>45154</v>
      </c>
      <c r="N139" s="53" t="s">
        <v>317</v>
      </c>
      <c r="O139" s="54">
        <v>5</v>
      </c>
      <c r="P139" s="44">
        <v>45163</v>
      </c>
      <c r="Q139" s="44"/>
      <c r="R139" s="22" t="s">
        <v>392</v>
      </c>
      <c r="S139" s="68">
        <v>45156</v>
      </c>
      <c r="T139" s="68">
        <v>45159</v>
      </c>
      <c r="U139" s="68" t="s">
        <v>42</v>
      </c>
      <c r="V139" s="68">
        <v>45156</v>
      </c>
      <c r="W139" s="68">
        <v>45156</v>
      </c>
      <c r="X139" s="44" t="s">
        <v>195</v>
      </c>
      <c r="Z139" s="32" t="s">
        <v>1275</v>
      </c>
      <c r="AA139" s="76" t="s">
        <v>724</v>
      </c>
      <c r="AB139" s="76" t="s">
        <v>724</v>
      </c>
      <c r="AC139" s="76"/>
      <c r="AD139" s="32"/>
      <c r="AE139" s="32"/>
      <c r="AN139" s="133" t="s">
        <v>1375</v>
      </c>
    </row>
    <row r="140" ht="90" customHeight="1" spans="1:40">
      <c r="A140" s="18">
        <v>20</v>
      </c>
      <c r="B140" s="19" t="s">
        <v>1376</v>
      </c>
      <c r="C140" s="18" t="s">
        <v>1307</v>
      </c>
      <c r="D140" s="20" t="s">
        <v>1377</v>
      </c>
      <c r="E140" s="21" t="s">
        <v>1378</v>
      </c>
      <c r="F140" s="22" t="s">
        <v>324</v>
      </c>
      <c r="G140" s="128" t="s">
        <v>1379</v>
      </c>
      <c r="H140" s="22" t="s">
        <v>1307</v>
      </c>
      <c r="I140" s="43" t="s">
        <v>1380</v>
      </c>
      <c r="J140" s="22" t="s">
        <v>1381</v>
      </c>
      <c r="K140" s="50" t="s">
        <v>1382</v>
      </c>
      <c r="L140" s="45">
        <v>45092</v>
      </c>
      <c r="M140" s="45">
        <v>45180</v>
      </c>
      <c r="N140" s="46" t="s">
        <v>317</v>
      </c>
      <c r="O140" s="54">
        <v>1.2</v>
      </c>
      <c r="P140" s="44">
        <v>45189</v>
      </c>
      <c r="Q140" s="44"/>
      <c r="R140" s="22" t="s">
        <v>445</v>
      </c>
      <c r="S140" s="68">
        <v>45180</v>
      </c>
      <c r="T140" s="68">
        <v>45181</v>
      </c>
      <c r="U140" s="68" t="s">
        <v>42</v>
      </c>
      <c r="V140" s="68">
        <v>45180</v>
      </c>
      <c r="W140" s="68">
        <v>45180</v>
      </c>
      <c r="X140" s="44" t="s">
        <v>195</v>
      </c>
      <c r="Z140" s="32" t="s">
        <v>1275</v>
      </c>
      <c r="AA140" s="76" t="s">
        <v>724</v>
      </c>
      <c r="AB140" s="76" t="s">
        <v>724</v>
      </c>
      <c r="AC140" s="76"/>
      <c r="AD140" s="32"/>
      <c r="AE140" s="32"/>
      <c r="AN140" s="133" t="s">
        <v>1383</v>
      </c>
    </row>
    <row r="141" ht="90" customHeight="1" spans="1:40">
      <c r="A141" s="18">
        <v>21</v>
      </c>
      <c r="B141" s="19" t="s">
        <v>1384</v>
      </c>
      <c r="C141" s="18" t="s">
        <v>1307</v>
      </c>
      <c r="D141" s="23"/>
      <c r="E141" s="21" t="s">
        <v>1385</v>
      </c>
      <c r="F141" s="22" t="s">
        <v>667</v>
      </c>
      <c r="G141" s="128" t="s">
        <v>1386</v>
      </c>
      <c r="H141" s="22" t="s">
        <v>1307</v>
      </c>
      <c r="I141" s="43" t="s">
        <v>1387</v>
      </c>
      <c r="J141" s="22" t="s">
        <v>1388</v>
      </c>
      <c r="K141" s="50" t="s">
        <v>1389</v>
      </c>
      <c r="L141" s="45">
        <v>45092</v>
      </c>
      <c r="M141" s="45">
        <v>45180</v>
      </c>
      <c r="N141" s="46" t="s">
        <v>317</v>
      </c>
      <c r="O141" s="54">
        <v>0.2</v>
      </c>
      <c r="P141" s="44">
        <v>45189</v>
      </c>
      <c r="Q141" s="44"/>
      <c r="R141" s="22" t="s">
        <v>445</v>
      </c>
      <c r="S141" s="68">
        <v>45180</v>
      </c>
      <c r="T141" s="68">
        <v>45181</v>
      </c>
      <c r="U141" s="68" t="s">
        <v>42</v>
      </c>
      <c r="V141" s="68">
        <v>45180</v>
      </c>
      <c r="W141" s="68">
        <v>45180</v>
      </c>
      <c r="X141" s="44" t="s">
        <v>195</v>
      </c>
      <c r="Z141" s="32" t="s">
        <v>1275</v>
      </c>
      <c r="AA141" s="76" t="s">
        <v>724</v>
      </c>
      <c r="AB141" s="76" t="s">
        <v>724</v>
      </c>
      <c r="AC141" s="76"/>
      <c r="AD141" s="32"/>
      <c r="AE141" s="32"/>
      <c r="AN141" s="133" t="s">
        <v>1390</v>
      </c>
    </row>
    <row r="142" s="4" customFormat="1" ht="90" customHeight="1" spans="1:40">
      <c r="A142" s="22">
        <v>22</v>
      </c>
      <c r="B142" s="21" t="s">
        <v>1391</v>
      </c>
      <c r="C142" s="22" t="s">
        <v>1392</v>
      </c>
      <c r="D142" s="23" t="s">
        <v>1393</v>
      </c>
      <c r="E142" s="21" t="s">
        <v>1378</v>
      </c>
      <c r="F142" s="22" t="s">
        <v>324</v>
      </c>
      <c r="G142" s="128" t="s">
        <v>1379</v>
      </c>
      <c r="H142" s="22" t="s">
        <v>1294</v>
      </c>
      <c r="I142" s="43" t="s">
        <v>1394</v>
      </c>
      <c r="J142" s="22" t="s">
        <v>1395</v>
      </c>
      <c r="K142" s="44" t="s">
        <v>1396</v>
      </c>
      <c r="L142" s="45">
        <v>45126</v>
      </c>
      <c r="M142" s="45">
        <v>45208</v>
      </c>
      <c r="N142" s="53" t="s">
        <v>317</v>
      </c>
      <c r="O142" s="54">
        <v>5</v>
      </c>
      <c r="P142" s="44">
        <v>45222</v>
      </c>
      <c r="Q142" s="44"/>
      <c r="R142" s="22" t="s">
        <v>392</v>
      </c>
      <c r="S142" s="68">
        <v>45208</v>
      </c>
      <c r="T142" s="68">
        <v>45208</v>
      </c>
      <c r="U142" s="68" t="s">
        <v>42</v>
      </c>
      <c r="V142" s="68">
        <v>45209</v>
      </c>
      <c r="W142" s="68">
        <v>45208</v>
      </c>
      <c r="X142" s="44" t="s">
        <v>1397</v>
      </c>
      <c r="Z142" s="57"/>
      <c r="AA142" s="76" t="s">
        <v>724</v>
      </c>
      <c r="AB142" s="76" t="s">
        <v>724</v>
      </c>
      <c r="AC142" s="57"/>
      <c r="AD142" s="57"/>
      <c r="AE142" s="57"/>
      <c r="AN142" s="133" t="s">
        <v>1398</v>
      </c>
    </row>
    <row r="143" s="4" customFormat="1" ht="90" customHeight="1" spans="1:40">
      <c r="A143" s="22">
        <v>23</v>
      </c>
      <c r="B143" s="21" t="s">
        <v>1399</v>
      </c>
      <c r="C143" s="22" t="s">
        <v>1400</v>
      </c>
      <c r="D143" s="23" t="s">
        <v>1401</v>
      </c>
      <c r="E143" s="21" t="s">
        <v>1402</v>
      </c>
      <c r="F143" s="22" t="s">
        <v>332</v>
      </c>
      <c r="G143" s="128" t="s">
        <v>1403</v>
      </c>
      <c r="H143" s="22" t="s">
        <v>1145</v>
      </c>
      <c r="I143" s="43" t="s">
        <v>1404</v>
      </c>
      <c r="J143" s="22" t="s">
        <v>1405</v>
      </c>
      <c r="K143" s="44" t="s">
        <v>1406</v>
      </c>
      <c r="L143" s="45">
        <v>45131</v>
      </c>
      <c r="M143" s="45">
        <v>45219</v>
      </c>
      <c r="N143" s="53" t="s">
        <v>317</v>
      </c>
      <c r="O143" s="54">
        <v>10</v>
      </c>
      <c r="P143" s="44">
        <v>45237</v>
      </c>
      <c r="Q143" s="44"/>
      <c r="R143" s="22" t="s">
        <v>445</v>
      </c>
      <c r="S143" s="68">
        <v>45222</v>
      </c>
      <c r="T143" s="68">
        <v>45222</v>
      </c>
      <c r="U143" s="68" t="s">
        <v>42</v>
      </c>
      <c r="V143" s="68">
        <v>45223</v>
      </c>
      <c r="W143" s="68">
        <v>45222</v>
      </c>
      <c r="X143" s="44" t="s">
        <v>1397</v>
      </c>
      <c r="Z143" s="57"/>
      <c r="AA143" s="76" t="s">
        <v>724</v>
      </c>
      <c r="AB143" s="76" t="s">
        <v>724</v>
      </c>
      <c r="AC143" s="57"/>
      <c r="AD143" s="57"/>
      <c r="AE143" s="57"/>
      <c r="AN143" s="133" t="s">
        <v>1407</v>
      </c>
    </row>
    <row r="144" s="4" customFormat="1" ht="90" customHeight="1" spans="1:40">
      <c r="A144" s="22">
        <v>24</v>
      </c>
      <c r="B144" s="21" t="s">
        <v>1408</v>
      </c>
      <c r="C144" s="22" t="s">
        <v>576</v>
      </c>
      <c r="D144" s="27" t="s">
        <v>1409</v>
      </c>
      <c r="E144" s="21" t="s">
        <v>1410</v>
      </c>
      <c r="F144" s="22" t="s">
        <v>332</v>
      </c>
      <c r="G144" s="128" t="s">
        <v>1411</v>
      </c>
      <c r="H144" s="22" t="s">
        <v>576</v>
      </c>
      <c r="I144" s="43" t="s">
        <v>1412</v>
      </c>
      <c r="J144" s="22" t="s">
        <v>1413</v>
      </c>
      <c r="K144" s="44" t="s">
        <v>1414</v>
      </c>
      <c r="L144" s="45">
        <v>45135</v>
      </c>
      <c r="M144" s="45">
        <v>45219</v>
      </c>
      <c r="N144" s="53" t="s">
        <v>317</v>
      </c>
      <c r="O144" s="54">
        <v>1.2</v>
      </c>
      <c r="P144" s="44">
        <v>45236</v>
      </c>
      <c r="Q144" s="44"/>
      <c r="R144" s="22" t="s">
        <v>445</v>
      </c>
      <c r="S144" s="68">
        <v>45222</v>
      </c>
      <c r="T144" s="68">
        <v>45222</v>
      </c>
      <c r="U144" s="68" t="s">
        <v>42</v>
      </c>
      <c r="V144" s="68">
        <v>45223</v>
      </c>
      <c r="W144" s="68">
        <v>45222</v>
      </c>
      <c r="X144" s="44" t="s">
        <v>1397</v>
      </c>
      <c r="Z144" s="57"/>
      <c r="AA144" s="76" t="s">
        <v>724</v>
      </c>
      <c r="AB144" s="76" t="s">
        <v>724</v>
      </c>
      <c r="AC144" s="57"/>
      <c r="AD144" s="57"/>
      <c r="AE144" s="57"/>
      <c r="AN144" s="133" t="s">
        <v>1415</v>
      </c>
    </row>
    <row r="145" s="4" customFormat="1" ht="90" customHeight="1" spans="1:40">
      <c r="A145" s="22">
        <v>25</v>
      </c>
      <c r="B145" s="21" t="s">
        <v>1416</v>
      </c>
      <c r="C145" s="22" t="s">
        <v>1417</v>
      </c>
      <c r="D145" s="27"/>
      <c r="E145" s="21" t="s">
        <v>1418</v>
      </c>
      <c r="F145" s="22" t="s">
        <v>425</v>
      </c>
      <c r="G145" s="128" t="s">
        <v>1419</v>
      </c>
      <c r="H145" s="22" t="s">
        <v>1417</v>
      </c>
      <c r="I145" s="43" t="s">
        <v>1420</v>
      </c>
      <c r="J145" s="22" t="s">
        <v>1421</v>
      </c>
      <c r="K145" s="44" t="s">
        <v>1422</v>
      </c>
      <c r="L145" s="45">
        <v>45135</v>
      </c>
      <c r="M145" s="45">
        <v>45219</v>
      </c>
      <c r="N145" s="53" t="s">
        <v>317</v>
      </c>
      <c r="O145" s="54">
        <v>0.2</v>
      </c>
      <c r="P145" s="44">
        <v>45236</v>
      </c>
      <c r="Q145" s="44"/>
      <c r="R145" s="22" t="s">
        <v>445</v>
      </c>
      <c r="S145" s="68">
        <v>45222</v>
      </c>
      <c r="T145" s="68">
        <v>45222</v>
      </c>
      <c r="U145" s="68" t="s">
        <v>42</v>
      </c>
      <c r="V145" s="68">
        <v>45223</v>
      </c>
      <c r="W145" s="68">
        <v>45222</v>
      </c>
      <c r="X145" s="44" t="s">
        <v>1397</v>
      </c>
      <c r="Z145" s="57"/>
      <c r="AA145" s="76" t="s">
        <v>724</v>
      </c>
      <c r="AB145" s="76" t="s">
        <v>724</v>
      </c>
      <c r="AC145" s="57"/>
      <c r="AD145" s="57"/>
      <c r="AE145" s="57"/>
      <c r="AN145" s="133" t="s">
        <v>1423</v>
      </c>
    </row>
    <row r="146" s="4" customFormat="1" ht="90" customHeight="1" spans="1:40">
      <c r="A146" s="22">
        <v>26</v>
      </c>
      <c r="B146" s="21" t="s">
        <v>1424</v>
      </c>
      <c r="C146" s="22" t="s">
        <v>1425</v>
      </c>
      <c r="D146" s="23"/>
      <c r="E146" s="21" t="s">
        <v>1426</v>
      </c>
      <c r="F146" s="22" t="s">
        <v>432</v>
      </c>
      <c r="G146" s="128" t="s">
        <v>1427</v>
      </c>
      <c r="H146" s="22" t="s">
        <v>1425</v>
      </c>
      <c r="I146" s="43" t="s">
        <v>1428</v>
      </c>
      <c r="J146" s="22" t="s">
        <v>1429</v>
      </c>
      <c r="K146" s="44" t="s">
        <v>1430</v>
      </c>
      <c r="L146" s="45">
        <v>45135</v>
      </c>
      <c r="M146" s="45">
        <v>45219</v>
      </c>
      <c r="N146" s="53" t="s">
        <v>317</v>
      </c>
      <c r="O146" s="54">
        <v>0.2</v>
      </c>
      <c r="P146" s="44">
        <v>45236</v>
      </c>
      <c r="Q146" s="44"/>
      <c r="R146" s="22" t="s">
        <v>445</v>
      </c>
      <c r="S146" s="68">
        <v>45222</v>
      </c>
      <c r="T146" s="68">
        <v>45222</v>
      </c>
      <c r="U146" s="68" t="s">
        <v>42</v>
      </c>
      <c r="V146" s="68">
        <v>45223</v>
      </c>
      <c r="W146" s="68">
        <v>45222</v>
      </c>
      <c r="X146" s="44" t="s">
        <v>1397</v>
      </c>
      <c r="Z146" s="57"/>
      <c r="AA146" s="76" t="s">
        <v>724</v>
      </c>
      <c r="AB146" s="76" t="s">
        <v>724</v>
      </c>
      <c r="AC146" s="57"/>
      <c r="AD146" s="57"/>
      <c r="AE146" s="57"/>
      <c r="AN146" s="133" t="s">
        <v>1431</v>
      </c>
    </row>
    <row r="147" s="85" customFormat="1" ht="90" customHeight="1" spans="1:40">
      <c r="A147" s="22">
        <v>27</v>
      </c>
      <c r="B147" s="21" t="s">
        <v>1432</v>
      </c>
      <c r="C147" s="22"/>
      <c r="D147" s="27" t="s">
        <v>1433</v>
      </c>
      <c r="E147" s="21" t="s">
        <v>1434</v>
      </c>
      <c r="F147" s="22" t="s">
        <v>1435</v>
      </c>
      <c r="G147" s="128" t="s">
        <v>1436</v>
      </c>
      <c r="H147" s="22" t="s">
        <v>1437</v>
      </c>
      <c r="I147" s="43" t="s">
        <v>1438</v>
      </c>
      <c r="J147" s="22" t="s">
        <v>1439</v>
      </c>
      <c r="K147" s="44"/>
      <c r="L147" s="45">
        <v>45280</v>
      </c>
      <c r="M147" s="45"/>
      <c r="N147" s="53" t="s">
        <v>550</v>
      </c>
      <c r="O147" s="52" t="s">
        <v>1440</v>
      </c>
      <c r="P147" s="44"/>
      <c r="Q147" s="44"/>
      <c r="R147" s="22" t="s">
        <v>1441</v>
      </c>
      <c r="S147" s="68"/>
      <c r="T147" s="68"/>
      <c r="U147" s="68"/>
      <c r="V147" s="68"/>
      <c r="W147" s="68"/>
      <c r="X147" s="44"/>
      <c r="Z147" s="57"/>
      <c r="AA147" s="76"/>
      <c r="AB147" s="76"/>
      <c r="AC147" s="57"/>
      <c r="AD147" s="57"/>
      <c r="AE147" s="57"/>
      <c r="AN147" s="105"/>
    </row>
    <row r="148" s="85" customFormat="1" ht="90" customHeight="1" spans="1:40">
      <c r="A148" s="22">
        <v>28</v>
      </c>
      <c r="B148" s="21" t="s">
        <v>1442</v>
      </c>
      <c r="C148" s="22"/>
      <c r="D148" s="27"/>
      <c r="E148" s="21" t="s">
        <v>1443</v>
      </c>
      <c r="F148" s="22" t="s">
        <v>341</v>
      </c>
      <c r="G148" s="128" t="s">
        <v>1444</v>
      </c>
      <c r="H148" s="22" t="s">
        <v>1445</v>
      </c>
      <c r="I148" s="43" t="s">
        <v>1446</v>
      </c>
      <c r="J148" s="22" t="s">
        <v>1447</v>
      </c>
      <c r="K148" s="44"/>
      <c r="L148" s="45">
        <v>45280</v>
      </c>
      <c r="M148" s="45"/>
      <c r="N148" s="53"/>
      <c r="O148" s="52" t="s">
        <v>1448</v>
      </c>
      <c r="P148" s="44"/>
      <c r="Q148" s="44"/>
      <c r="R148" s="22" t="s">
        <v>1441</v>
      </c>
      <c r="S148" s="68"/>
      <c r="T148" s="68"/>
      <c r="U148" s="68"/>
      <c r="V148" s="68"/>
      <c r="W148" s="68"/>
      <c r="X148" s="44"/>
      <c r="Z148" s="57"/>
      <c r="AA148" s="76"/>
      <c r="AB148" s="76"/>
      <c r="AC148" s="57"/>
      <c r="AD148" s="57"/>
      <c r="AE148" s="57"/>
      <c r="AN148" s="105"/>
    </row>
    <row r="149" s="85" customFormat="1" ht="90" customHeight="1" spans="1:40">
      <c r="A149" s="22">
        <v>29</v>
      </c>
      <c r="B149" s="21" t="s">
        <v>1449</v>
      </c>
      <c r="C149" s="22"/>
      <c r="D149" s="27"/>
      <c r="E149" s="21" t="s">
        <v>1450</v>
      </c>
      <c r="F149" s="22" t="s">
        <v>1451</v>
      </c>
      <c r="G149" s="128" t="s">
        <v>1452</v>
      </c>
      <c r="H149" s="22" t="s">
        <v>1453</v>
      </c>
      <c r="I149" s="43" t="s">
        <v>1454</v>
      </c>
      <c r="J149" s="22" t="s">
        <v>1455</v>
      </c>
      <c r="K149" s="44"/>
      <c r="L149" s="45">
        <v>45280</v>
      </c>
      <c r="M149" s="45"/>
      <c r="N149" s="53" t="s">
        <v>550</v>
      </c>
      <c r="O149" s="52" t="s">
        <v>1440</v>
      </c>
      <c r="P149" s="44"/>
      <c r="Q149" s="44"/>
      <c r="R149" s="22" t="s">
        <v>1441</v>
      </c>
      <c r="S149" s="68"/>
      <c r="T149" s="68"/>
      <c r="U149" s="68"/>
      <c r="V149" s="68"/>
      <c r="W149" s="68"/>
      <c r="X149" s="44"/>
      <c r="Z149" s="57"/>
      <c r="AA149" s="76"/>
      <c r="AB149" s="76"/>
      <c r="AC149" s="57"/>
      <c r="AD149" s="57"/>
      <c r="AE149" s="57"/>
      <c r="AN149" s="105"/>
    </row>
    <row r="150" spans="1:31">
      <c r="A150" s="18"/>
      <c r="B150" s="19"/>
      <c r="C150" s="18" t="str">
        <f>_xlfn.CONCAT(E150,H150,"行政处罚案")</f>
        <v>行政处罚案</v>
      </c>
      <c r="D150" s="28"/>
      <c r="E150" s="21"/>
      <c r="F150" s="22"/>
      <c r="G150" s="22"/>
      <c r="H150" s="22"/>
      <c r="I150" s="43"/>
      <c r="J150" s="22"/>
      <c r="K150" s="44"/>
      <c r="L150" s="45"/>
      <c r="M150" s="45"/>
      <c r="N150" s="53"/>
      <c r="O150" s="47"/>
      <c r="P150" s="44"/>
      <c r="Q150" s="44"/>
      <c r="R150" s="22"/>
      <c r="S150" s="68"/>
      <c r="T150" s="22"/>
      <c r="U150" s="22"/>
      <c r="V150" s="22"/>
      <c r="W150" s="69"/>
      <c r="X150" s="44"/>
      <c r="Z150" s="32"/>
      <c r="AA150" s="32"/>
      <c r="AB150" s="32"/>
      <c r="AC150" s="32"/>
      <c r="AD150" s="32"/>
      <c r="AE150" s="32"/>
    </row>
    <row r="151" ht="30" customHeight="1" spans="1:24">
      <c r="A151" s="32"/>
      <c r="B151" s="33"/>
      <c r="C151" s="34"/>
      <c r="D151" s="34"/>
      <c r="E151" s="32"/>
      <c r="F151" s="32"/>
      <c r="G151" s="32"/>
      <c r="H151" s="32"/>
      <c r="I151" s="56"/>
      <c r="J151" s="56"/>
      <c r="K151" s="57"/>
      <c r="L151" s="58" t="s">
        <v>1456</v>
      </c>
      <c r="M151" s="103" t="s">
        <v>1457</v>
      </c>
      <c r="N151" s="60"/>
      <c r="O151" s="61" t="s">
        <v>1458</v>
      </c>
      <c r="P151" s="58" t="s">
        <v>1459</v>
      </c>
      <c r="Q151" s="58"/>
      <c r="R151" s="32"/>
      <c r="S151" s="71"/>
      <c r="T151" s="32"/>
      <c r="U151" s="32"/>
      <c r="V151" s="32"/>
      <c r="W151" s="32"/>
      <c r="X151" s="58"/>
    </row>
    <row r="152" ht="30" customHeight="1" spans="1:24">
      <c r="A152" s="32"/>
      <c r="B152" s="33"/>
      <c r="C152" s="34"/>
      <c r="D152" s="34"/>
      <c r="E152" s="32"/>
      <c r="F152" s="32"/>
      <c r="G152" s="32"/>
      <c r="H152" s="32"/>
      <c r="I152" s="56"/>
      <c r="J152" s="56"/>
      <c r="K152" s="62" t="s">
        <v>1460</v>
      </c>
      <c r="L152" s="63">
        <v>0</v>
      </c>
      <c r="M152" s="63">
        <v>0</v>
      </c>
      <c r="N152" s="64"/>
      <c r="O152" s="65">
        <v>0</v>
      </c>
      <c r="P152" s="63">
        <v>0</v>
      </c>
      <c r="Q152" s="58"/>
      <c r="R152" s="32"/>
      <c r="S152" s="71"/>
      <c r="T152" s="32"/>
      <c r="U152" s="32"/>
      <c r="V152" s="32"/>
      <c r="W152" s="32"/>
      <c r="X152" s="58"/>
    </row>
    <row r="153" ht="30" customHeight="1" spans="1:24">
      <c r="A153" s="32"/>
      <c r="B153" s="33"/>
      <c r="C153" s="34"/>
      <c r="D153" s="34"/>
      <c r="E153" s="32"/>
      <c r="F153" s="32"/>
      <c r="G153" s="32"/>
      <c r="H153" s="32"/>
      <c r="I153" s="56"/>
      <c r="J153" s="56"/>
      <c r="K153" s="62" t="s">
        <v>1461</v>
      </c>
      <c r="L153" s="63">
        <f>COUNTA(L121:L150)</f>
        <v>29</v>
      </c>
      <c r="M153" s="63">
        <f>COUNTA(M121:M150)</f>
        <v>26</v>
      </c>
      <c r="N153" s="64"/>
      <c r="O153" s="65">
        <f>SUM(O121:O150)</f>
        <v>84.2</v>
      </c>
      <c r="P153" s="63">
        <f>COUNTA(P121:P150)</f>
        <v>26</v>
      </c>
      <c r="Q153" s="58"/>
      <c r="R153" s="32"/>
      <c r="S153" s="71"/>
      <c r="T153" s="32"/>
      <c r="U153" s="32"/>
      <c r="V153" s="32"/>
      <c r="W153" s="32"/>
      <c r="X153" s="58"/>
    </row>
    <row r="154" ht="30" customHeight="1" spans="1:24">
      <c r="A154" s="32"/>
      <c r="B154" s="33"/>
      <c r="C154" s="34"/>
      <c r="D154" s="34"/>
      <c r="E154" s="32"/>
      <c r="F154" s="32"/>
      <c r="G154" s="32"/>
      <c r="H154" s="32"/>
      <c r="I154" s="56"/>
      <c r="J154" s="56"/>
      <c r="K154" s="62" t="s">
        <v>277</v>
      </c>
      <c r="L154" s="63">
        <f t="shared" ref="L154:P154" si="3">SUM(L152:L153)</f>
        <v>29</v>
      </c>
      <c r="M154" s="63">
        <f t="shared" si="3"/>
        <v>26</v>
      </c>
      <c r="N154" s="64"/>
      <c r="O154" s="65">
        <f t="shared" si="3"/>
        <v>84.2</v>
      </c>
      <c r="P154" s="63">
        <f t="shared" si="3"/>
        <v>26</v>
      </c>
      <c r="Q154" s="58"/>
      <c r="R154" s="32"/>
      <c r="S154" s="71"/>
      <c r="T154" s="32"/>
      <c r="U154" s="32"/>
      <c r="V154" s="32"/>
      <c r="W154" s="32"/>
      <c r="X154" s="58"/>
    </row>
  </sheetData>
  <autoFilter ref="A2:AN154">
    <extLst/>
  </autoFilter>
  <mergeCells count="33">
    <mergeCell ref="A1:P1"/>
    <mergeCell ref="D5:D7"/>
    <mergeCell ref="D8:D11"/>
    <mergeCell ref="D16:D18"/>
    <mergeCell ref="D19:D21"/>
    <mergeCell ref="D22:D24"/>
    <mergeCell ref="D26:D28"/>
    <mergeCell ref="D31:D34"/>
    <mergeCell ref="D36:D39"/>
    <mergeCell ref="D40:D44"/>
    <mergeCell ref="D49:D51"/>
    <mergeCell ref="D53:D55"/>
    <mergeCell ref="D56:D58"/>
    <mergeCell ref="D59:D61"/>
    <mergeCell ref="D63:D64"/>
    <mergeCell ref="D69:D71"/>
    <mergeCell ref="D74:D76"/>
    <mergeCell ref="D78:D80"/>
    <mergeCell ref="D83:D85"/>
    <mergeCell ref="D87:D89"/>
    <mergeCell ref="D98:D99"/>
    <mergeCell ref="D101:D103"/>
    <mergeCell ref="D106:D107"/>
    <mergeCell ref="D108:D111"/>
    <mergeCell ref="D119:D120"/>
    <mergeCell ref="D122:D124"/>
    <mergeCell ref="D125:D127"/>
    <mergeCell ref="D129:D130"/>
    <mergeCell ref="D132:D133"/>
    <mergeCell ref="D134:D136"/>
    <mergeCell ref="D140:D141"/>
    <mergeCell ref="D144:D146"/>
    <mergeCell ref="D147:D149"/>
  </mergeCells>
  <conditionalFormatting sqref="B73">
    <cfRule type="timePeriod" dxfId="0" priority="59" timePeriod="tomorrow">
      <formula>FLOOR(B73,1)=TODAY()+1</formula>
    </cfRule>
  </conditionalFormatting>
  <conditionalFormatting sqref="W77">
    <cfRule type="timePeriod" dxfId="0" priority="60" timePeriod="tomorrow">
      <formula>FLOOR(W77,1)=TODAY()+1</formula>
    </cfRule>
  </conditionalFormatting>
  <conditionalFormatting sqref="V95">
    <cfRule type="timePeriod" dxfId="0" priority="52" timePeriod="tomorrow">
      <formula>FLOOR(V95,1)=TODAY()+1</formula>
    </cfRule>
  </conditionalFormatting>
  <conditionalFormatting sqref="V105">
    <cfRule type="timePeriod" dxfId="0" priority="47" timePeriod="tomorrow">
      <formula>FLOOR(V105,1)=TODAY()+1</formula>
    </cfRule>
  </conditionalFormatting>
  <conditionalFormatting sqref="S113">
    <cfRule type="timePeriod" dxfId="0" priority="40" timePeriod="tomorrow">
      <formula>FLOOR(S113,1)=TODAY()+1</formula>
    </cfRule>
  </conditionalFormatting>
  <conditionalFormatting sqref="T113">
    <cfRule type="timePeriod" dxfId="0" priority="39" timePeriod="tomorrow">
      <formula>FLOOR(T113,1)=TODAY()+1</formula>
    </cfRule>
  </conditionalFormatting>
  <conditionalFormatting sqref="T114">
    <cfRule type="timePeriod" dxfId="0" priority="30" timePeriod="tomorrow">
      <formula>FLOOR(T114,1)=TODAY()+1</formula>
    </cfRule>
  </conditionalFormatting>
  <conditionalFormatting sqref="S116">
    <cfRule type="timePeriod" dxfId="0" priority="31" timePeriod="tomorrow">
      <formula>FLOOR(S116,1)=TODAY()+1</formula>
    </cfRule>
  </conditionalFormatting>
  <conditionalFormatting sqref="T116">
    <cfRule type="timePeriod" dxfId="0" priority="29" timePeriod="tomorrow">
      <formula>FLOOR(T116,1)=TODAY()+1</formula>
    </cfRule>
  </conditionalFormatting>
  <conditionalFormatting sqref="V116">
    <cfRule type="timePeriod" dxfId="0" priority="42" timePeriod="tomorrow">
      <formula>FLOOR(V116,1)=TODAY()+1</formula>
    </cfRule>
  </conditionalFormatting>
  <conditionalFormatting sqref="W116">
    <cfRule type="timePeriod" dxfId="0" priority="45" timePeriod="tomorrow">
      <formula>FLOOR(W116,1)=TODAY()+1</formula>
    </cfRule>
  </conditionalFormatting>
  <conditionalFormatting sqref="S118">
    <cfRule type="timePeriod" dxfId="0" priority="38" timePeriod="tomorrow">
      <formula>FLOOR(S118,1)=TODAY()+1</formula>
    </cfRule>
  </conditionalFormatting>
  <conditionalFormatting sqref="T118">
    <cfRule type="timePeriod" dxfId="0" priority="26" timePeriod="tomorrow">
      <formula>FLOOR(T118,1)=TODAY()+1</formula>
    </cfRule>
  </conditionalFormatting>
  <conditionalFormatting sqref="U118">
    <cfRule type="timePeriod" dxfId="0" priority="35" timePeriod="tomorrow">
      <formula>FLOOR(U118,1)=TODAY()+1</formula>
    </cfRule>
    <cfRule type="timePeriod" dxfId="0" priority="36" timePeriod="tomorrow">
      <formula>FLOOR(U118,1)=TODAY()+1</formula>
    </cfRule>
  </conditionalFormatting>
  <conditionalFormatting sqref="V118">
    <cfRule type="timePeriod" dxfId="0" priority="25" timePeriod="tomorrow">
      <formula>FLOOR(V118,1)=TODAY()+1</formula>
    </cfRule>
  </conditionalFormatting>
  <conditionalFormatting sqref="W118">
    <cfRule type="timePeriod" dxfId="0" priority="37" timePeriod="tomorrow">
      <formula>FLOOR(W118,1)=TODAY()+1</formula>
    </cfRule>
  </conditionalFormatting>
  <conditionalFormatting sqref="T119">
    <cfRule type="timePeriod" dxfId="0" priority="28" timePeriod="tomorrow">
      <formula>FLOOR(T119,1)=TODAY()+1</formula>
    </cfRule>
  </conditionalFormatting>
  <conditionalFormatting sqref="T128">
    <cfRule type="timePeriod" dxfId="0" priority="18" timePeriod="tomorrow">
      <formula>FLOOR(T128,1)=TODAY()+1</formula>
    </cfRule>
  </conditionalFormatting>
  <conditionalFormatting sqref="V128">
    <cfRule type="timePeriod" dxfId="0" priority="16" timePeriod="tomorrow">
      <formula>FLOOR(V128,1)=TODAY()+1</formula>
    </cfRule>
  </conditionalFormatting>
  <conditionalFormatting sqref="T132">
    <cfRule type="timePeriod" dxfId="0" priority="7" timePeriod="tomorrow">
      <formula>FLOOR(T132,1)=TODAY()+1</formula>
    </cfRule>
  </conditionalFormatting>
  <conditionalFormatting sqref="S133:T133">
    <cfRule type="timePeriod" dxfId="0" priority="6" timePeriod="tomorrow">
      <formula>FLOOR(S133,1)=TODAY()+1</formula>
    </cfRule>
  </conditionalFormatting>
  <conditionalFormatting sqref="S135">
    <cfRule type="timePeriod" dxfId="0" priority="13" timePeriod="tomorrow">
      <formula>FLOOR(S135,1)=TODAY()+1</formula>
    </cfRule>
  </conditionalFormatting>
  <conditionalFormatting sqref="T135">
    <cfRule type="timePeriod" dxfId="0" priority="10" timePeriod="tomorrow">
      <formula>FLOOR(T135,1)=TODAY()+1</formula>
    </cfRule>
  </conditionalFormatting>
  <conditionalFormatting sqref="S136">
    <cfRule type="timePeriod" dxfId="0" priority="12" timePeriod="tomorrow">
      <formula>FLOOR(S136,1)=TODAY()+1</formula>
    </cfRule>
  </conditionalFormatting>
  <conditionalFormatting sqref="T136">
    <cfRule type="timePeriod" dxfId="0" priority="9" timePeriod="tomorrow">
      <formula>FLOOR(T136,1)=TODAY()+1</formula>
    </cfRule>
  </conditionalFormatting>
  <conditionalFormatting sqref="S137">
    <cfRule type="timePeriod" dxfId="0" priority="11" timePeriod="tomorrow">
      <formula>FLOOR(S137,1)=TODAY()+1</formula>
    </cfRule>
  </conditionalFormatting>
  <conditionalFormatting sqref="T137">
    <cfRule type="timePeriod" dxfId="0" priority="8" timePeriod="tomorrow">
      <formula>FLOOR(T137,1)=TODAY()+1</formula>
    </cfRule>
  </conditionalFormatting>
  <conditionalFormatting sqref="S81:S82">
    <cfRule type="timePeriod" dxfId="0" priority="75" timePeriod="tomorrow">
      <formula>FLOOR(S81,1)=TODAY()+1</formula>
    </cfRule>
  </conditionalFormatting>
  <conditionalFormatting sqref="S86:S89">
    <cfRule type="timePeriod" dxfId="0" priority="69" timePeriod="tomorrow">
      <formula>FLOOR(S86,1)=TODAY()+1</formula>
    </cfRule>
  </conditionalFormatting>
  <conditionalFormatting sqref="S129:S130">
    <cfRule type="timePeriod" dxfId="0" priority="19" timePeriod="tomorrow">
      <formula>FLOOR(S129,1)=TODAY()+1</formula>
    </cfRule>
  </conditionalFormatting>
  <conditionalFormatting sqref="S140:S141">
    <cfRule type="timePeriod" dxfId="0" priority="4" timePeriod="tomorrow">
      <formula>FLOOR(S140,1)=TODAY()+1</formula>
    </cfRule>
  </conditionalFormatting>
  <conditionalFormatting sqref="T86:T89">
    <cfRule type="timePeriod" dxfId="0" priority="66" timePeriod="tomorrow">
      <formula>FLOOR(T86,1)=TODAY()+1</formula>
    </cfRule>
  </conditionalFormatting>
  <conditionalFormatting sqref="T122:T124">
    <cfRule type="timePeriod" dxfId="0" priority="23" timePeriod="tomorrow">
      <formula>FLOOR(T122,1)=TODAY()+1</formula>
    </cfRule>
  </conditionalFormatting>
  <conditionalFormatting sqref="T125:T127">
    <cfRule type="timePeriod" dxfId="0" priority="22" timePeriod="tomorrow">
      <formula>FLOOR(T125,1)=TODAY()+1</formula>
    </cfRule>
  </conditionalFormatting>
  <conditionalFormatting sqref="T129:T130">
    <cfRule type="timePeriod" dxfId="0" priority="17" timePeriod="tomorrow">
      <formula>FLOOR(T129,1)=TODAY()+1</formula>
    </cfRule>
  </conditionalFormatting>
  <conditionalFormatting sqref="T143:T149">
    <cfRule type="timePeriod" dxfId="0" priority="3" timePeriod="tomorrow">
      <formula>FLOOR(T143,1)=TODAY()+1</formula>
    </cfRule>
  </conditionalFormatting>
  <conditionalFormatting sqref="U74:U80">
    <cfRule type="timePeriod" dxfId="0" priority="65" timePeriod="tomorrow">
      <formula>FLOOR(U74,1)=TODAY()+1</formula>
    </cfRule>
  </conditionalFormatting>
  <conditionalFormatting sqref="V78:V80">
    <cfRule type="timePeriod" dxfId="0" priority="57" timePeriod="tomorrow">
      <formula>FLOOR(V78,1)=TODAY()+1</formula>
    </cfRule>
  </conditionalFormatting>
  <conditionalFormatting sqref="V86:V89">
    <cfRule type="timePeriod" dxfId="0" priority="67" timePeriod="tomorrow">
      <formula>FLOOR(V86,1)=TODAY()+1</formula>
    </cfRule>
  </conditionalFormatting>
  <conditionalFormatting sqref="V101:V103">
    <cfRule type="timePeriod" dxfId="0" priority="50" timePeriod="tomorrow">
      <formula>FLOOR(V101,1)=TODAY()+1</formula>
    </cfRule>
  </conditionalFormatting>
  <conditionalFormatting sqref="V106:V107">
    <cfRule type="timePeriod" dxfId="0" priority="49" timePeriod="tomorrow">
      <formula>FLOOR(V106,1)=TODAY()+1</formula>
    </cfRule>
  </conditionalFormatting>
  <conditionalFormatting sqref="V122:V124">
    <cfRule type="timePeriod" dxfId="0" priority="24" timePeriod="tomorrow">
      <formula>FLOOR(V122,1)=TODAY()+1</formula>
    </cfRule>
  </conditionalFormatting>
  <conditionalFormatting sqref="V125:V127">
    <cfRule type="timePeriod" dxfId="0" priority="20" timePeriod="tomorrow">
      <formula>FLOOR(V125,1)=TODAY()+1</formula>
    </cfRule>
  </conditionalFormatting>
  <conditionalFormatting sqref="V129:V130">
    <cfRule type="timePeriod" dxfId="0" priority="15" timePeriod="tomorrow">
      <formula>FLOOR(V129,1)=TODAY()+1</formula>
    </cfRule>
  </conditionalFormatting>
  <conditionalFormatting sqref="V134:V137">
    <cfRule type="timePeriod" dxfId="0" priority="14" timePeriod="tomorrow">
      <formula>FLOOR(V134,1)=TODAY()+1</formula>
    </cfRule>
  </conditionalFormatting>
  <conditionalFormatting sqref="V140:V141">
    <cfRule type="timePeriod" dxfId="0" priority="5" timePeriod="tomorrow">
      <formula>FLOOR(V140,1)=TODAY()+1</formula>
    </cfRule>
  </conditionalFormatting>
  <conditionalFormatting sqref="V143:V149">
    <cfRule type="timePeriod" dxfId="0" priority="2" timePeriod="tomorrow">
      <formula>FLOOR(V143,1)=TODAY()+1</formula>
    </cfRule>
  </conditionalFormatting>
  <conditionalFormatting sqref="W66:W68">
    <cfRule type="timePeriod" dxfId="0" priority="62" timePeriod="tomorrow">
      <formula>FLOOR(W66,1)=TODAY()+1</formula>
    </cfRule>
  </conditionalFormatting>
  <conditionalFormatting sqref="W69:W73">
    <cfRule type="timePeriod" dxfId="0" priority="63" timePeriod="tomorrow">
      <formula>FLOOR(W69,1)=TODAY()+1</formula>
    </cfRule>
  </conditionalFormatting>
  <conditionalFormatting sqref="W74:W76">
    <cfRule type="timePeriod" dxfId="0" priority="61" timePeriod="tomorrow">
      <formula>FLOOR(W74,1)=TODAY()+1</formula>
    </cfRule>
  </conditionalFormatting>
  <conditionalFormatting sqref="W78:W80">
    <cfRule type="timePeriod" dxfId="0" priority="58" timePeriod="tomorrow">
      <formula>FLOOR(W78,1)=TODAY()+1</formula>
    </cfRule>
  </conditionalFormatting>
  <conditionalFormatting sqref="W81:W82">
    <cfRule type="timePeriod" dxfId="0" priority="72" timePeriod="tomorrow">
      <formula>FLOOR(W81,1)=TODAY()+1</formula>
    </cfRule>
  </conditionalFormatting>
  <conditionalFormatting sqref="W86:W89">
    <cfRule type="timePeriod" dxfId="0" priority="68" timePeriod="tomorrow">
      <formula>FLOOR(W86,1)=TODAY()+1</formula>
    </cfRule>
  </conditionalFormatting>
  <conditionalFormatting sqref="W125:W127">
    <cfRule type="timePeriod" dxfId="0" priority="21" timePeriod="tomorrow">
      <formula>FLOOR(W125,1)=TODAY()+1</formula>
    </cfRule>
  </conditionalFormatting>
  <conditionalFormatting sqref="W143:W149">
    <cfRule type="timePeriod" dxfId="0" priority="1" timePeriod="tomorrow">
      <formula>FLOOR(W143,1)=TODAY()+1</formula>
    </cfRule>
  </conditionalFormatting>
  <conditionalFormatting sqref="S1:V2 S83:S85 S90:S105 S108:S112 S114:S115 S117 S119:S128 S131:S132 S134 S142:S149 S138:S139 S150:V1048576">
    <cfRule type="timePeriod" dxfId="0" priority="77" timePeriod="tomorrow">
      <formula>FLOOR(S1,1)=TODAY()+1</formula>
    </cfRule>
  </conditionalFormatting>
  <conditionalFormatting sqref="S66:U71 S72:V77 S78:U80">
    <cfRule type="timePeriod" dxfId="0" priority="64" timePeriod="tomorrow">
      <formula>FLOOR(S66,1)=TODAY()+1</formula>
    </cfRule>
  </conditionalFormatting>
  <conditionalFormatting sqref="T81:T85 T90:T95">
    <cfRule type="timePeriod" dxfId="0" priority="70" timePeriod="tomorrow">
      <formula>FLOOR(T81,1)=TODAY()+1</formula>
    </cfRule>
  </conditionalFormatting>
  <conditionalFormatting sqref="U81:U117 U119:U149">
    <cfRule type="timePeriod" dxfId="0" priority="73" timePeriod="tomorrow">
      <formula>FLOOR(U81,1)=TODAY()+1</formula>
    </cfRule>
    <cfRule type="timePeriod" dxfId="0" priority="74" timePeriod="tomorrow">
      <formula>FLOOR(U81,1)=TODAY()+1</formula>
    </cfRule>
  </conditionalFormatting>
  <conditionalFormatting sqref="V81:V85 V90:V94 V96:V100 V104 V108:V115 V117">
    <cfRule type="timePeriod" dxfId="0" priority="71" timePeriod="tomorrow">
      <formula>FLOOR(V81,1)=TODAY()+1</formula>
    </cfRule>
  </conditionalFormatting>
  <conditionalFormatting sqref="W83:W85 W90:W115 W117 W119:W124 W128:W142 W150">
    <cfRule type="timePeriod" dxfId="0" priority="76" timePeriod="tomorrow">
      <formula>FLOOR(W83,1)=TODAY()+1</formula>
    </cfRule>
  </conditionalFormatting>
  <conditionalFormatting sqref="T96:T105 T108:T112 T115 T117">
    <cfRule type="timePeriod" dxfId="0" priority="51" timePeriod="tomorrow">
      <formula>FLOOR(T96,1)=TODAY()+1</formula>
    </cfRule>
  </conditionalFormatting>
  <conditionalFormatting sqref="S106:T107">
    <cfRule type="timePeriod" dxfId="0" priority="48" timePeriod="tomorrow">
      <formula>FLOOR(S106,1)=TODAY()+1</formula>
    </cfRule>
  </conditionalFormatting>
  <conditionalFormatting sqref="V119:V121 V131:V133 V142 V138:V139">
    <cfRule type="timePeriod" dxfId="0" priority="32" timePeriod="tomorrow">
      <formula>FLOOR(V119,1)=TODAY()+1</formula>
    </cfRule>
  </conditionalFormatting>
  <conditionalFormatting sqref="T120:T121 T131 T134 T138:T142">
    <cfRule type="timePeriod" dxfId="0" priority="27" timePeriod="tomorrow">
      <formula>FLOOR(T120,1)=TODAY()+1</formula>
    </cfRule>
  </conditionalFormatting>
  <printOptions horizontalCentered="1"/>
  <pageMargins left="0.751388888888889" right="0.751388888888889" top="0.802777777777778" bottom="0.802777777777778" header="0.511805555555556" footer="0.511805555555556"/>
  <pageSetup paperSize="9" scale="29" fitToHeight="0" orientation="landscape" horizontalDpi="6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pageSetUpPr fitToPage="1"/>
  </sheetPr>
  <dimension ref="A1:K10"/>
  <sheetViews>
    <sheetView workbookViewId="0">
      <selection activeCell="J8" sqref="J8"/>
    </sheetView>
  </sheetViews>
  <sheetFormatPr defaultColWidth="9" defaultRowHeight="14.25"/>
  <cols>
    <col min="1" max="1" width="9.00833333333333" customWidth="1"/>
    <col min="2" max="3" width="15.625" customWidth="1"/>
    <col min="4" max="4" width="10.625" customWidth="1"/>
    <col min="5" max="5" width="30.625" customWidth="1"/>
    <col min="6" max="6" width="15.625" customWidth="1"/>
    <col min="7" max="7" width="12.625" customWidth="1"/>
    <col min="9" max="9" width="15.625" customWidth="1"/>
    <col min="11" max="11" width="12.625" customWidth="1"/>
  </cols>
  <sheetData>
    <row r="1" ht="28.5" spans="1:11">
      <c r="A1" s="16" t="s">
        <v>1</v>
      </c>
      <c r="B1" s="16" t="s">
        <v>4</v>
      </c>
      <c r="C1" s="16" t="s">
        <v>281</v>
      </c>
      <c r="D1" s="16" t="s">
        <v>282</v>
      </c>
      <c r="E1" s="16" t="s">
        <v>284</v>
      </c>
      <c r="F1" s="39" t="s">
        <v>287</v>
      </c>
      <c r="G1" s="40" t="s">
        <v>289</v>
      </c>
      <c r="H1" s="41" t="s">
        <v>17</v>
      </c>
      <c r="I1" s="42" t="s">
        <v>290</v>
      </c>
      <c r="J1" s="16" t="s">
        <v>1462</v>
      </c>
      <c r="K1" s="40" t="s">
        <v>27</v>
      </c>
    </row>
    <row r="2" ht="57" customHeight="1" spans="1:11">
      <c r="A2" s="22">
        <v>1</v>
      </c>
      <c r="B2" s="82" t="s">
        <v>1212</v>
      </c>
      <c r="C2" s="21" t="s">
        <v>1213</v>
      </c>
      <c r="D2" s="22" t="s">
        <v>332</v>
      </c>
      <c r="E2" s="18" t="s">
        <v>1070</v>
      </c>
      <c r="F2" s="44" t="s">
        <v>1217</v>
      </c>
      <c r="G2" s="44">
        <v>45030</v>
      </c>
      <c r="H2" s="53" t="s">
        <v>317</v>
      </c>
      <c r="I2" s="54">
        <v>5</v>
      </c>
      <c r="J2" s="22" t="s">
        <v>366</v>
      </c>
      <c r="K2" s="44" t="s">
        <v>1218</v>
      </c>
    </row>
    <row r="3" ht="57" customHeight="1" spans="1:11">
      <c r="A3" s="22">
        <v>2</v>
      </c>
      <c r="B3" s="21" t="s">
        <v>1223</v>
      </c>
      <c r="C3" s="21" t="s">
        <v>1224</v>
      </c>
      <c r="D3" s="22" t="s">
        <v>425</v>
      </c>
      <c r="E3" s="22" t="s">
        <v>610</v>
      </c>
      <c r="F3" s="44" t="s">
        <v>1228</v>
      </c>
      <c r="G3" s="44">
        <v>45054</v>
      </c>
      <c r="H3" s="53" t="s">
        <v>317</v>
      </c>
      <c r="I3" s="54">
        <v>0.2</v>
      </c>
      <c r="J3" s="22" t="s">
        <v>1463</v>
      </c>
      <c r="K3" s="44" t="s">
        <v>1218</v>
      </c>
    </row>
    <row r="4" ht="57" customHeight="1" spans="1:11">
      <c r="A4" s="22">
        <v>3</v>
      </c>
      <c r="B4" s="21"/>
      <c r="C4" s="21" t="s">
        <v>1231</v>
      </c>
      <c r="D4" s="22" t="s">
        <v>432</v>
      </c>
      <c r="E4" s="22" t="s">
        <v>610</v>
      </c>
      <c r="F4" s="44" t="s">
        <v>1235</v>
      </c>
      <c r="G4" s="44">
        <v>45054</v>
      </c>
      <c r="H4" s="53" t="s">
        <v>317</v>
      </c>
      <c r="I4" s="54">
        <v>0.2</v>
      </c>
      <c r="J4" s="22" t="s">
        <v>1463</v>
      </c>
      <c r="K4" s="44" t="s">
        <v>1218</v>
      </c>
    </row>
    <row r="5" ht="57" customHeight="1" spans="1:11">
      <c r="A5" s="22">
        <v>4</v>
      </c>
      <c r="B5" s="21"/>
      <c r="C5" s="21" t="s">
        <v>1238</v>
      </c>
      <c r="D5" s="22" t="s">
        <v>332</v>
      </c>
      <c r="E5" s="22" t="s">
        <v>610</v>
      </c>
      <c r="F5" s="44" t="s">
        <v>1242</v>
      </c>
      <c r="G5" s="44">
        <v>45054</v>
      </c>
      <c r="H5" s="53" t="s">
        <v>317</v>
      </c>
      <c r="I5" s="54">
        <v>1.2</v>
      </c>
      <c r="J5" s="22" t="s">
        <v>1463</v>
      </c>
      <c r="K5" s="44" t="s">
        <v>1218</v>
      </c>
    </row>
    <row r="6" ht="57" customHeight="1" spans="1:11">
      <c r="A6" s="22">
        <v>5</v>
      </c>
      <c r="B6" s="83" t="s">
        <v>1246</v>
      </c>
      <c r="C6" s="21" t="s">
        <v>269</v>
      </c>
      <c r="D6" s="22" t="s">
        <v>332</v>
      </c>
      <c r="E6" s="22" t="s">
        <v>634</v>
      </c>
      <c r="F6" s="44" t="s">
        <v>1249</v>
      </c>
      <c r="G6" s="44">
        <v>45062</v>
      </c>
      <c r="H6" s="53" t="s">
        <v>317</v>
      </c>
      <c r="I6" s="54">
        <v>1.2</v>
      </c>
      <c r="J6" s="22" t="s">
        <v>1464</v>
      </c>
      <c r="K6" s="44" t="s">
        <v>1218</v>
      </c>
    </row>
    <row r="7" ht="57" customHeight="1" spans="1:11">
      <c r="A7" s="22">
        <v>6</v>
      </c>
      <c r="B7" s="83"/>
      <c r="C7" s="21" t="s">
        <v>1253</v>
      </c>
      <c r="D7" s="22" t="s">
        <v>425</v>
      </c>
      <c r="E7" s="22" t="s">
        <v>1255</v>
      </c>
      <c r="F7" s="44" t="s">
        <v>1258</v>
      </c>
      <c r="G7" s="44">
        <v>45062</v>
      </c>
      <c r="H7" s="53" t="s">
        <v>317</v>
      </c>
      <c r="I7" s="54">
        <v>0.2</v>
      </c>
      <c r="J7" s="22" t="s">
        <v>1464</v>
      </c>
      <c r="K7" s="44" t="s">
        <v>1218</v>
      </c>
    </row>
    <row r="8" ht="57" customHeight="1" spans="1:11">
      <c r="A8" s="22">
        <v>7</v>
      </c>
      <c r="B8" s="82"/>
      <c r="C8" s="21" t="s">
        <v>1262</v>
      </c>
      <c r="D8" s="22" t="s">
        <v>432</v>
      </c>
      <c r="E8" s="22" t="s">
        <v>1264</v>
      </c>
      <c r="F8" s="44" t="s">
        <v>1267</v>
      </c>
      <c r="G8" s="44">
        <v>45062</v>
      </c>
      <c r="H8" s="53" t="s">
        <v>317</v>
      </c>
      <c r="I8" s="54">
        <v>0.2</v>
      </c>
      <c r="J8" s="22" t="s">
        <v>1464</v>
      </c>
      <c r="K8" s="44" t="s">
        <v>1218</v>
      </c>
    </row>
    <row r="9" ht="57" customHeight="1" spans="1:11">
      <c r="A9" s="22">
        <v>8</v>
      </c>
      <c r="B9" s="83" t="s">
        <v>1465</v>
      </c>
      <c r="C9" s="21" t="s">
        <v>1279</v>
      </c>
      <c r="D9" s="22" t="s">
        <v>332</v>
      </c>
      <c r="E9" s="22" t="s">
        <v>1145</v>
      </c>
      <c r="F9" s="44" t="s">
        <v>1283</v>
      </c>
      <c r="G9" s="44">
        <v>45092</v>
      </c>
      <c r="H9" s="53" t="s">
        <v>317</v>
      </c>
      <c r="I9" s="54">
        <v>10</v>
      </c>
      <c r="J9" s="22" t="s">
        <v>1463</v>
      </c>
      <c r="K9" s="44" t="s">
        <v>1218</v>
      </c>
    </row>
    <row r="10" ht="57" customHeight="1" spans="1:11">
      <c r="A10" s="22">
        <v>9</v>
      </c>
      <c r="B10" s="21" t="s">
        <v>1295</v>
      </c>
      <c r="C10" s="21" t="s">
        <v>1296</v>
      </c>
      <c r="D10" s="22" t="s">
        <v>324</v>
      </c>
      <c r="E10" s="22" t="s">
        <v>1070</v>
      </c>
      <c r="F10" s="44" t="s">
        <v>1300</v>
      </c>
      <c r="G10" s="44">
        <v>45077</v>
      </c>
      <c r="H10" s="53" t="s">
        <v>317</v>
      </c>
      <c r="I10" s="54">
        <v>5</v>
      </c>
      <c r="J10" s="22" t="s">
        <v>366</v>
      </c>
      <c r="K10" s="44" t="s">
        <v>1218</v>
      </c>
    </row>
  </sheetData>
  <mergeCells count="2">
    <mergeCell ref="B3:B5"/>
    <mergeCell ref="B6:B8"/>
  </mergeCells>
  <pageMargins left="0.75" right="0.75" top="1" bottom="1" header="0.5" footer="0.5"/>
  <pageSetup paperSize="9" scale="78" fitToHeight="0" orientation="landscape"/>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4">
    <pageSetUpPr fitToPage="1"/>
  </sheetPr>
  <dimension ref="A1:AN56"/>
  <sheetViews>
    <sheetView view="pageBreakPreview" zoomScaleNormal="85" workbookViewId="0">
      <pane xSplit="5" ySplit="2" topLeftCell="F5" activePane="bottomRight" state="frozen"/>
      <selection/>
      <selection pane="topRight"/>
      <selection pane="bottomLeft"/>
      <selection pane="bottomRight" activeCell="P25" sqref="P25"/>
    </sheetView>
  </sheetViews>
  <sheetFormatPr defaultColWidth="8.66666666666667" defaultRowHeight="14.25"/>
  <cols>
    <col min="1" max="1" width="6.91666666666667" style="5" customWidth="1"/>
    <col min="2" max="2" width="6.90833333333333" style="6" hidden="1" customWidth="1"/>
    <col min="3" max="3" width="25.625" style="7" hidden="1" customWidth="1"/>
    <col min="4" max="4" width="12.625" style="7" customWidth="1"/>
    <col min="5" max="6" width="9.99166666666667" style="5" customWidth="1"/>
    <col min="7" max="7" width="9.99166666666667" style="5" hidden="1" customWidth="1"/>
    <col min="8" max="8" width="15.25" style="5" customWidth="1"/>
    <col min="9" max="9" width="69.25" style="8" hidden="1" customWidth="1"/>
    <col min="10" max="10" width="9.99166666666667" style="5" hidden="1" customWidth="1"/>
    <col min="11" max="11" width="9.99166666666667" style="4" customWidth="1"/>
    <col min="12" max="12" width="13.6666666666667" style="9" hidden="1" customWidth="1"/>
    <col min="13" max="13" width="13.6666666666667" style="10" customWidth="1"/>
    <col min="14" max="14" width="13.6666666666667" style="11" hidden="1" customWidth="1"/>
    <col min="15" max="15" width="13.6666666666667" style="12" hidden="1" customWidth="1"/>
    <col min="16" max="16" width="13.6666666666667" style="9" customWidth="1"/>
    <col min="17" max="17" width="9.99166666666667" style="9" hidden="1" customWidth="1"/>
    <col min="18" max="18" width="9" style="5" customWidth="1"/>
    <col min="19" max="19" width="13.6666666666667" style="13" hidden="1" customWidth="1"/>
    <col min="20" max="23" width="13.6666666666667" style="5" hidden="1" customWidth="1"/>
    <col min="24" max="24" width="13.6666666666667" style="9" customWidth="1"/>
    <col min="25" max="25" width="9" style="5" hidden="1" customWidth="1"/>
    <col min="26" max="28" width="8.66666666666667" style="5" customWidth="1"/>
    <col min="29" max="40" width="8.66666666666667" style="5" hidden="1" customWidth="1"/>
    <col min="41" max="16384" width="8.66666666666667" style="5"/>
  </cols>
  <sheetData>
    <row r="1" s="1" customFormat="1" ht="40" hidden="1" customHeight="1" spans="1:19">
      <c r="A1" s="14" t="s">
        <v>278</v>
      </c>
      <c r="B1" s="15"/>
      <c r="C1" s="14"/>
      <c r="D1" s="14"/>
      <c r="E1" s="14"/>
      <c r="F1" s="14"/>
      <c r="G1" s="14"/>
      <c r="H1" s="14"/>
      <c r="I1" s="35"/>
      <c r="J1" s="14"/>
      <c r="K1" s="36"/>
      <c r="L1" s="14"/>
      <c r="M1" s="37"/>
      <c r="N1" s="38"/>
      <c r="O1" s="14"/>
      <c r="P1" s="14"/>
      <c r="Q1" s="14"/>
      <c r="S1" s="66"/>
    </row>
    <row r="2" s="2" customFormat="1" ht="39.65" customHeight="1" spans="1:40">
      <c r="A2" s="16" t="s">
        <v>1</v>
      </c>
      <c r="B2" s="17" t="s">
        <v>279</v>
      </c>
      <c r="C2" s="16" t="s">
        <v>280</v>
      </c>
      <c r="D2" s="16" t="s">
        <v>4</v>
      </c>
      <c r="E2" s="16" t="s">
        <v>281</v>
      </c>
      <c r="F2" s="16" t="s">
        <v>282</v>
      </c>
      <c r="G2" s="16" t="s">
        <v>283</v>
      </c>
      <c r="H2" s="16" t="s">
        <v>284</v>
      </c>
      <c r="I2" s="16" t="s">
        <v>285</v>
      </c>
      <c r="J2" s="39" t="s">
        <v>286</v>
      </c>
      <c r="K2" s="39" t="s">
        <v>287</v>
      </c>
      <c r="L2" s="40" t="s">
        <v>288</v>
      </c>
      <c r="M2" s="40" t="s">
        <v>289</v>
      </c>
      <c r="N2" s="41" t="s">
        <v>17</v>
      </c>
      <c r="O2" s="42" t="s">
        <v>290</v>
      </c>
      <c r="P2" s="40" t="s">
        <v>291</v>
      </c>
      <c r="Q2" s="40" t="s">
        <v>292</v>
      </c>
      <c r="R2" s="16" t="s">
        <v>293</v>
      </c>
      <c r="S2" s="67" t="s">
        <v>294</v>
      </c>
      <c r="T2" s="16" t="s">
        <v>295</v>
      </c>
      <c r="U2" s="16" t="s">
        <v>296</v>
      </c>
      <c r="V2" s="67" t="s">
        <v>297</v>
      </c>
      <c r="W2" s="67" t="s">
        <v>298</v>
      </c>
      <c r="X2" s="40" t="s">
        <v>27</v>
      </c>
      <c r="Z2" s="16" t="s">
        <v>299</v>
      </c>
      <c r="AA2" s="16" t="s">
        <v>1466</v>
      </c>
      <c r="AB2" s="16" t="s">
        <v>1467</v>
      </c>
      <c r="AC2" s="2" t="s">
        <v>302</v>
      </c>
      <c r="AD2" s="2" t="s">
        <v>303</v>
      </c>
      <c r="AE2" s="2" t="s">
        <v>304</v>
      </c>
      <c r="AG2" s="2" t="s">
        <v>305</v>
      </c>
      <c r="AH2" s="2" t="s">
        <v>306</v>
      </c>
      <c r="AI2" s="2" t="s">
        <v>307</v>
      </c>
      <c r="AJ2" s="2" t="s">
        <v>308</v>
      </c>
      <c r="AK2" s="2" t="s">
        <v>309</v>
      </c>
      <c r="AL2" s="2" t="s">
        <v>310</v>
      </c>
      <c r="AM2" s="2" t="s">
        <v>311</v>
      </c>
      <c r="AN2" s="2" t="s">
        <v>312</v>
      </c>
    </row>
    <row r="3" ht="82.5" hidden="1" customHeight="1" spans="1:40">
      <c r="A3" s="18">
        <v>16</v>
      </c>
      <c r="B3" s="19" t="s">
        <v>996</v>
      </c>
      <c r="C3" s="18" t="s">
        <v>997</v>
      </c>
      <c r="D3" s="20" t="s">
        <v>998</v>
      </c>
      <c r="E3" s="21" t="s">
        <v>999</v>
      </c>
      <c r="F3" s="22" t="s">
        <v>324</v>
      </c>
      <c r="G3" s="128" t="s">
        <v>1000</v>
      </c>
      <c r="H3" s="22" t="s">
        <v>997</v>
      </c>
      <c r="I3" s="43" t="s">
        <v>1001</v>
      </c>
      <c r="J3" s="43" t="s">
        <v>1002</v>
      </c>
      <c r="K3" s="44" t="s">
        <v>1003</v>
      </c>
      <c r="L3" s="45">
        <v>44543</v>
      </c>
      <c r="M3" s="44">
        <v>44574</v>
      </c>
      <c r="N3" s="46" t="s">
        <v>317</v>
      </c>
      <c r="O3" s="47">
        <v>1.2</v>
      </c>
      <c r="P3" s="44">
        <v>44585</v>
      </c>
      <c r="Q3" s="44"/>
      <c r="R3" s="22" t="s">
        <v>445</v>
      </c>
      <c r="S3" s="68">
        <v>44575</v>
      </c>
      <c r="T3" s="68">
        <v>44575</v>
      </c>
      <c r="U3" s="69" t="s">
        <v>42</v>
      </c>
      <c r="V3" s="69">
        <v>44575</v>
      </c>
      <c r="W3" s="69">
        <v>44575</v>
      </c>
      <c r="X3" s="44" t="s">
        <v>983</v>
      </c>
      <c r="Z3" s="18" t="s">
        <v>993</v>
      </c>
      <c r="AA3" s="72"/>
      <c r="AB3" s="18"/>
      <c r="AC3" s="32" t="s">
        <v>994</v>
      </c>
      <c r="AD3" s="32" t="s">
        <v>994</v>
      </c>
      <c r="AE3" s="32"/>
      <c r="AN3" s="133" t="s">
        <v>1004</v>
      </c>
    </row>
    <row r="4" ht="71.25" hidden="1" spans="1:40">
      <c r="A4" s="18">
        <v>17</v>
      </c>
      <c r="B4" s="19" t="s">
        <v>1005</v>
      </c>
      <c r="C4" s="18" t="s">
        <v>997</v>
      </c>
      <c r="D4" s="23"/>
      <c r="E4" s="21" t="s">
        <v>1006</v>
      </c>
      <c r="F4" s="22" t="s">
        <v>667</v>
      </c>
      <c r="G4" s="128" t="s">
        <v>1007</v>
      </c>
      <c r="H4" s="22" t="s">
        <v>997</v>
      </c>
      <c r="I4" s="43" t="s">
        <v>1008</v>
      </c>
      <c r="J4" s="43" t="s">
        <v>1009</v>
      </c>
      <c r="K4" s="44" t="s">
        <v>1010</v>
      </c>
      <c r="L4" s="45">
        <v>44543</v>
      </c>
      <c r="M4" s="44">
        <v>44574</v>
      </c>
      <c r="N4" s="46" t="s">
        <v>317</v>
      </c>
      <c r="O4" s="47">
        <v>0.2</v>
      </c>
      <c r="P4" s="44">
        <v>44585</v>
      </c>
      <c r="Q4" s="44"/>
      <c r="R4" s="22" t="s">
        <v>445</v>
      </c>
      <c r="S4" s="68">
        <v>44575</v>
      </c>
      <c r="T4" s="68">
        <v>44575</v>
      </c>
      <c r="U4" s="69" t="s">
        <v>42</v>
      </c>
      <c r="V4" s="69">
        <v>44575</v>
      </c>
      <c r="W4" s="69">
        <v>44575</v>
      </c>
      <c r="X4" s="44" t="s">
        <v>983</v>
      </c>
      <c r="Z4" s="18" t="s">
        <v>993</v>
      </c>
      <c r="AA4" s="72"/>
      <c r="AB4" s="18"/>
      <c r="AC4" s="32" t="s">
        <v>994</v>
      </c>
      <c r="AD4" s="32" t="s">
        <v>994</v>
      </c>
      <c r="AE4" s="32"/>
      <c r="AN4" s="133" t="s">
        <v>1011</v>
      </c>
    </row>
    <row r="5" s="3" customFormat="1" ht="85.5" spans="1:40">
      <c r="A5" s="24">
        <v>18</v>
      </c>
      <c r="B5" s="25" t="s">
        <v>1012</v>
      </c>
      <c r="C5" s="24" t="s">
        <v>1013</v>
      </c>
      <c r="D5" s="26" t="s">
        <v>1014</v>
      </c>
      <c r="E5" s="25" t="s">
        <v>1015</v>
      </c>
      <c r="F5" s="24" t="s">
        <v>332</v>
      </c>
      <c r="G5" s="131" t="s">
        <v>1016</v>
      </c>
      <c r="H5" s="24" t="s">
        <v>600</v>
      </c>
      <c r="I5" s="48" t="s">
        <v>1017</v>
      </c>
      <c r="J5" s="48" t="s">
        <v>1018</v>
      </c>
      <c r="K5" s="49" t="s">
        <v>1019</v>
      </c>
      <c r="L5" s="49">
        <v>44543</v>
      </c>
      <c r="M5" s="50">
        <v>44579</v>
      </c>
      <c r="N5" s="51" t="s">
        <v>317</v>
      </c>
      <c r="O5" s="52">
        <v>9.25</v>
      </c>
      <c r="P5" s="50">
        <v>44586</v>
      </c>
      <c r="Q5" s="50"/>
      <c r="R5" s="24" t="s">
        <v>875</v>
      </c>
      <c r="S5" s="70">
        <v>44580</v>
      </c>
      <c r="T5" s="70">
        <v>44580</v>
      </c>
      <c r="U5" s="70" t="s">
        <v>42</v>
      </c>
      <c r="V5" s="70">
        <v>44579</v>
      </c>
      <c r="W5" s="70">
        <v>44579</v>
      </c>
      <c r="X5" s="50" t="s">
        <v>983</v>
      </c>
      <c r="Z5" s="24" t="s">
        <v>1020</v>
      </c>
      <c r="AA5" s="24" t="s">
        <v>724</v>
      </c>
      <c r="AB5" s="73" t="s">
        <v>1021</v>
      </c>
      <c r="AC5" s="74"/>
      <c r="AD5" s="75"/>
      <c r="AE5" s="75"/>
      <c r="AM5" s="137" t="s">
        <v>1022</v>
      </c>
      <c r="AN5" s="136" t="s">
        <v>1023</v>
      </c>
    </row>
    <row r="6" ht="57" hidden="1" spans="1:40">
      <c r="A6" s="18">
        <v>1</v>
      </c>
      <c r="B6" s="19" t="s">
        <v>1024</v>
      </c>
      <c r="C6" s="18" t="s">
        <v>1025</v>
      </c>
      <c r="D6" s="20" t="s">
        <v>1026</v>
      </c>
      <c r="E6" s="21" t="s">
        <v>207</v>
      </c>
      <c r="F6" s="22" t="s">
        <v>332</v>
      </c>
      <c r="G6" s="128" t="s">
        <v>208</v>
      </c>
      <c r="H6" s="22" t="s">
        <v>610</v>
      </c>
      <c r="I6" s="43" t="s">
        <v>1027</v>
      </c>
      <c r="J6" s="43" t="s">
        <v>1028</v>
      </c>
      <c r="K6" s="44" t="s">
        <v>1029</v>
      </c>
      <c r="L6" s="45">
        <v>44578</v>
      </c>
      <c r="M6" s="44">
        <v>44631</v>
      </c>
      <c r="N6" s="46" t="s">
        <v>317</v>
      </c>
      <c r="O6" s="47">
        <v>1.2</v>
      </c>
      <c r="P6" s="44">
        <v>44642</v>
      </c>
      <c r="Q6" s="44"/>
      <c r="R6" s="22" t="s">
        <v>875</v>
      </c>
      <c r="S6" s="68">
        <v>44634</v>
      </c>
      <c r="T6" s="68">
        <v>44637</v>
      </c>
      <c r="U6" s="69" t="s">
        <v>42</v>
      </c>
      <c r="V6" s="69">
        <v>44637</v>
      </c>
      <c r="W6" s="69">
        <v>44637</v>
      </c>
      <c r="X6" s="44" t="s">
        <v>1030</v>
      </c>
      <c r="Z6" s="18" t="s">
        <v>993</v>
      </c>
      <c r="AA6" s="72"/>
      <c r="AB6" s="18"/>
      <c r="AC6" s="32" t="s">
        <v>994</v>
      </c>
      <c r="AD6" s="32" t="s">
        <v>994</v>
      </c>
      <c r="AE6" s="32"/>
      <c r="AN6" s="133" t="s">
        <v>1031</v>
      </c>
    </row>
    <row r="7" ht="71.25" hidden="1" spans="1:40">
      <c r="A7" s="18">
        <v>2</v>
      </c>
      <c r="B7" s="19" t="s">
        <v>1032</v>
      </c>
      <c r="C7" s="18" t="s">
        <v>1025</v>
      </c>
      <c r="D7" s="27"/>
      <c r="E7" s="21" t="s">
        <v>1033</v>
      </c>
      <c r="F7" s="22" t="s">
        <v>425</v>
      </c>
      <c r="G7" s="128" t="s">
        <v>1034</v>
      </c>
      <c r="H7" s="22" t="s">
        <v>610</v>
      </c>
      <c r="I7" s="43" t="s">
        <v>1035</v>
      </c>
      <c r="J7" s="43" t="s">
        <v>1036</v>
      </c>
      <c r="K7" s="44" t="s">
        <v>1037</v>
      </c>
      <c r="L7" s="45">
        <v>44578</v>
      </c>
      <c r="M7" s="44">
        <v>44631</v>
      </c>
      <c r="N7" s="46" t="s">
        <v>317</v>
      </c>
      <c r="O7" s="47">
        <v>0.2</v>
      </c>
      <c r="P7" s="44">
        <v>44642</v>
      </c>
      <c r="Q7" s="44"/>
      <c r="R7" s="22" t="s">
        <v>875</v>
      </c>
      <c r="S7" s="68">
        <v>44634</v>
      </c>
      <c r="T7" s="68">
        <v>44637</v>
      </c>
      <c r="U7" s="69" t="s">
        <v>42</v>
      </c>
      <c r="V7" s="69">
        <v>44637</v>
      </c>
      <c r="W7" s="69">
        <v>44637</v>
      </c>
      <c r="X7" s="44" t="s">
        <v>1030</v>
      </c>
      <c r="Z7" s="18" t="s">
        <v>993</v>
      </c>
      <c r="AA7" s="72"/>
      <c r="AB7" s="18"/>
      <c r="AC7" s="32" t="s">
        <v>994</v>
      </c>
      <c r="AD7" s="32" t="s">
        <v>994</v>
      </c>
      <c r="AE7" s="32"/>
      <c r="AN7" s="133" t="s">
        <v>1038</v>
      </c>
    </row>
    <row r="8" ht="85.5" hidden="1" spans="1:40">
      <c r="A8" s="18">
        <v>3</v>
      </c>
      <c r="B8" s="19" t="s">
        <v>1039</v>
      </c>
      <c r="C8" s="18" t="s">
        <v>1025</v>
      </c>
      <c r="D8" s="23"/>
      <c r="E8" s="21" t="s">
        <v>1040</v>
      </c>
      <c r="F8" s="22" t="s">
        <v>432</v>
      </c>
      <c r="G8" s="128" t="s">
        <v>1041</v>
      </c>
      <c r="H8" s="22" t="s">
        <v>610</v>
      </c>
      <c r="I8" s="43" t="s">
        <v>1042</v>
      </c>
      <c r="J8" s="43" t="s">
        <v>1043</v>
      </c>
      <c r="K8" s="44" t="s">
        <v>1044</v>
      </c>
      <c r="L8" s="45">
        <v>44578</v>
      </c>
      <c r="M8" s="44">
        <v>44631</v>
      </c>
      <c r="N8" s="46" t="s">
        <v>317</v>
      </c>
      <c r="O8" s="47">
        <v>0.2</v>
      </c>
      <c r="P8" s="44">
        <v>44642</v>
      </c>
      <c r="Q8" s="44"/>
      <c r="R8" s="22" t="s">
        <v>875</v>
      </c>
      <c r="S8" s="68">
        <v>44634</v>
      </c>
      <c r="T8" s="68">
        <v>44637</v>
      </c>
      <c r="U8" s="69" t="s">
        <v>42</v>
      </c>
      <c r="V8" s="69">
        <v>44637</v>
      </c>
      <c r="W8" s="69">
        <v>44637</v>
      </c>
      <c r="X8" s="44" t="s">
        <v>1045</v>
      </c>
      <c r="Z8" s="18" t="s">
        <v>993</v>
      </c>
      <c r="AA8" s="72"/>
      <c r="AB8" s="18"/>
      <c r="AC8" s="32" t="s">
        <v>994</v>
      </c>
      <c r="AD8" s="32" t="s">
        <v>994</v>
      </c>
      <c r="AE8" s="32"/>
      <c r="AN8" s="133" t="s">
        <v>1046</v>
      </c>
    </row>
    <row r="9" s="4" customFormat="1" ht="71.25" hidden="1" spans="1:40">
      <c r="A9" s="22">
        <v>4</v>
      </c>
      <c r="B9" s="21" t="s">
        <v>1047</v>
      </c>
      <c r="C9" s="22" t="s">
        <v>1048</v>
      </c>
      <c r="D9" s="28" t="s">
        <v>1049</v>
      </c>
      <c r="E9" s="21" t="s">
        <v>1050</v>
      </c>
      <c r="F9" s="22" t="s">
        <v>332</v>
      </c>
      <c r="G9" s="128" t="s">
        <v>1051</v>
      </c>
      <c r="H9" s="22" t="s">
        <v>1052</v>
      </c>
      <c r="I9" s="43" t="s">
        <v>1053</v>
      </c>
      <c r="J9" s="43" t="s">
        <v>1054</v>
      </c>
      <c r="K9" s="44" t="s">
        <v>1055</v>
      </c>
      <c r="L9" s="45">
        <v>44578</v>
      </c>
      <c r="M9" s="44">
        <v>44648</v>
      </c>
      <c r="N9" s="53" t="s">
        <v>550</v>
      </c>
      <c r="O9" s="54">
        <v>1</v>
      </c>
      <c r="P9" s="44">
        <v>44654</v>
      </c>
      <c r="Q9" s="44"/>
      <c r="R9" s="22" t="s">
        <v>392</v>
      </c>
      <c r="S9" s="68">
        <v>44650</v>
      </c>
      <c r="T9" s="68">
        <v>44650</v>
      </c>
      <c r="U9" s="68" t="s">
        <v>42</v>
      </c>
      <c r="V9" s="68">
        <v>44651</v>
      </c>
      <c r="W9" s="68">
        <v>44651</v>
      </c>
      <c r="X9" s="44" t="s">
        <v>1056</v>
      </c>
      <c r="Z9" s="18" t="s">
        <v>993</v>
      </c>
      <c r="AA9" s="72"/>
      <c r="AB9" s="18"/>
      <c r="AC9" s="32" t="s">
        <v>994</v>
      </c>
      <c r="AD9" s="32" t="s">
        <v>994</v>
      </c>
      <c r="AE9" s="57"/>
      <c r="AN9" s="133" t="s">
        <v>1057</v>
      </c>
    </row>
    <row r="10" ht="57" hidden="1" spans="1:40">
      <c r="A10" s="18">
        <v>5</v>
      </c>
      <c r="B10" s="19" t="s">
        <v>1058</v>
      </c>
      <c r="C10" s="18" t="s">
        <v>1059</v>
      </c>
      <c r="D10" s="28" t="s">
        <v>1060</v>
      </c>
      <c r="E10" s="21" t="s">
        <v>1061</v>
      </c>
      <c r="F10" s="22" t="s">
        <v>332</v>
      </c>
      <c r="G10" s="128" t="s">
        <v>1062</v>
      </c>
      <c r="H10" s="22" t="s">
        <v>1063</v>
      </c>
      <c r="I10" s="43" t="s">
        <v>1064</v>
      </c>
      <c r="J10" s="43" t="s">
        <v>1065</v>
      </c>
      <c r="K10" s="44" t="s">
        <v>1066</v>
      </c>
      <c r="L10" s="45">
        <v>44719</v>
      </c>
      <c r="M10" s="44">
        <v>44767</v>
      </c>
      <c r="N10" s="46" t="s">
        <v>317</v>
      </c>
      <c r="O10" s="47">
        <v>5</v>
      </c>
      <c r="P10" s="44">
        <v>44852</v>
      </c>
      <c r="Q10" s="44"/>
      <c r="R10" s="22" t="s">
        <v>392</v>
      </c>
      <c r="S10" s="68">
        <v>44768</v>
      </c>
      <c r="T10" s="68">
        <v>44768</v>
      </c>
      <c r="U10" s="69" t="s">
        <v>42</v>
      </c>
      <c r="V10" s="69">
        <v>44768</v>
      </c>
      <c r="W10" s="69">
        <v>44768</v>
      </c>
      <c r="X10" s="44" t="s">
        <v>1067</v>
      </c>
      <c r="Z10" s="22" t="s">
        <v>1020</v>
      </c>
      <c r="AA10" s="18" t="s">
        <v>724</v>
      </c>
      <c r="AB10" s="18" t="s">
        <v>724</v>
      </c>
      <c r="AC10" s="32"/>
      <c r="AD10" s="32"/>
      <c r="AE10" s="32"/>
      <c r="AN10" s="133" t="s">
        <v>1068</v>
      </c>
    </row>
    <row r="11" ht="71.25" hidden="1" spans="1:40">
      <c r="A11" s="18">
        <v>6</v>
      </c>
      <c r="B11" s="19" t="s">
        <v>1069</v>
      </c>
      <c r="C11" s="18" t="s">
        <v>1070</v>
      </c>
      <c r="D11" s="20" t="s">
        <v>1071</v>
      </c>
      <c r="E11" s="21" t="s">
        <v>1050</v>
      </c>
      <c r="F11" s="22" t="s">
        <v>332</v>
      </c>
      <c r="G11" s="128" t="s">
        <v>1051</v>
      </c>
      <c r="H11" s="22" t="s">
        <v>1070</v>
      </c>
      <c r="I11" s="43" t="s">
        <v>1072</v>
      </c>
      <c r="J11" s="43" t="s">
        <v>1073</v>
      </c>
      <c r="K11" s="44" t="s">
        <v>1074</v>
      </c>
      <c r="L11" s="45">
        <v>44728</v>
      </c>
      <c r="M11" s="44">
        <v>44757</v>
      </c>
      <c r="N11" s="46" t="s">
        <v>317</v>
      </c>
      <c r="O11" s="47">
        <v>5</v>
      </c>
      <c r="P11" s="44">
        <v>44845</v>
      </c>
      <c r="Q11" s="44"/>
      <c r="R11" s="22" t="s">
        <v>445</v>
      </c>
      <c r="S11" s="69">
        <v>44760</v>
      </c>
      <c r="T11" s="69">
        <v>44760</v>
      </c>
      <c r="U11" s="69" t="s">
        <v>42</v>
      </c>
      <c r="V11" s="69">
        <v>44760</v>
      </c>
      <c r="W11" s="69">
        <v>44760</v>
      </c>
      <c r="X11" s="44" t="s">
        <v>1067</v>
      </c>
      <c r="Z11" s="22" t="s">
        <v>1020</v>
      </c>
      <c r="AA11" s="18" t="s">
        <v>724</v>
      </c>
      <c r="AB11" s="18" t="s">
        <v>724</v>
      </c>
      <c r="AC11" s="32"/>
      <c r="AD11" s="32" t="s">
        <v>724</v>
      </c>
      <c r="AE11" s="32"/>
      <c r="AN11" s="133" t="s">
        <v>1075</v>
      </c>
    </row>
    <row r="12" ht="71.25" hidden="1" spans="1:40">
      <c r="A12" s="18">
        <v>7</v>
      </c>
      <c r="B12" s="19" t="s">
        <v>1076</v>
      </c>
      <c r="C12" s="18" t="s">
        <v>1077</v>
      </c>
      <c r="D12" s="23"/>
      <c r="E12" s="21" t="s">
        <v>1078</v>
      </c>
      <c r="F12" s="22" t="s">
        <v>324</v>
      </c>
      <c r="G12" s="128" t="s">
        <v>1079</v>
      </c>
      <c r="H12" s="22" t="s">
        <v>1077</v>
      </c>
      <c r="I12" s="43" t="s">
        <v>1080</v>
      </c>
      <c r="J12" s="43" t="s">
        <v>1081</v>
      </c>
      <c r="K12" s="44" t="s">
        <v>1082</v>
      </c>
      <c r="L12" s="45">
        <v>44728</v>
      </c>
      <c r="M12" s="44">
        <v>44757</v>
      </c>
      <c r="N12" s="46" t="s">
        <v>317</v>
      </c>
      <c r="O12" s="47">
        <v>5</v>
      </c>
      <c r="P12" s="44">
        <v>44845</v>
      </c>
      <c r="Q12" s="44"/>
      <c r="R12" s="22" t="s">
        <v>445</v>
      </c>
      <c r="S12" s="69">
        <v>44760</v>
      </c>
      <c r="T12" s="69">
        <v>44760</v>
      </c>
      <c r="U12" s="69" t="s">
        <v>42</v>
      </c>
      <c r="V12" s="69">
        <v>44760</v>
      </c>
      <c r="W12" s="69">
        <v>44760</v>
      </c>
      <c r="X12" s="44" t="s">
        <v>1067</v>
      </c>
      <c r="Z12" s="22" t="s">
        <v>1020</v>
      </c>
      <c r="AA12" s="18" t="s">
        <v>724</v>
      </c>
      <c r="AB12" s="18" t="s">
        <v>724</v>
      </c>
      <c r="AC12" s="32"/>
      <c r="AD12" s="32" t="s">
        <v>724</v>
      </c>
      <c r="AE12" s="32"/>
      <c r="AN12" s="133" t="s">
        <v>1083</v>
      </c>
    </row>
    <row r="13" s="3" customFormat="1" ht="99.75" spans="1:40">
      <c r="A13" s="24">
        <v>8</v>
      </c>
      <c r="B13" s="25" t="s">
        <v>1084</v>
      </c>
      <c r="C13" s="24" t="s">
        <v>1085</v>
      </c>
      <c r="D13" s="29" t="s">
        <v>1086</v>
      </c>
      <c r="E13" s="25" t="s">
        <v>1087</v>
      </c>
      <c r="F13" s="24" t="s">
        <v>332</v>
      </c>
      <c r="G13" s="24" t="s">
        <v>1088</v>
      </c>
      <c r="H13" s="24" t="s">
        <v>1089</v>
      </c>
      <c r="I13" s="48" t="s">
        <v>1090</v>
      </c>
      <c r="J13" s="48" t="s">
        <v>1091</v>
      </c>
      <c r="K13" s="49" t="s">
        <v>1092</v>
      </c>
      <c r="L13" s="49">
        <v>44735</v>
      </c>
      <c r="M13" s="50">
        <v>44812</v>
      </c>
      <c r="N13" s="51" t="s">
        <v>317</v>
      </c>
      <c r="O13" s="52">
        <v>2.5</v>
      </c>
      <c r="P13" s="50">
        <v>44852</v>
      </c>
      <c r="Q13" s="50"/>
      <c r="R13" s="24" t="s">
        <v>392</v>
      </c>
      <c r="S13" s="70">
        <v>44813</v>
      </c>
      <c r="T13" s="70">
        <v>44813</v>
      </c>
      <c r="U13" s="70" t="s">
        <v>42</v>
      </c>
      <c r="V13" s="70">
        <v>44813</v>
      </c>
      <c r="W13" s="70">
        <v>44813</v>
      </c>
      <c r="X13" s="50" t="s">
        <v>1093</v>
      </c>
      <c r="Z13" s="24" t="s">
        <v>1020</v>
      </c>
      <c r="AA13" s="24" t="s">
        <v>724</v>
      </c>
      <c r="AB13" s="73" t="s">
        <v>1021</v>
      </c>
      <c r="AC13" s="74"/>
      <c r="AD13" s="75"/>
      <c r="AE13" s="75"/>
      <c r="AM13" s="136" t="s">
        <v>1094</v>
      </c>
      <c r="AN13" s="81"/>
    </row>
    <row r="14" s="4" customFormat="1" ht="128.25" hidden="1" spans="1:40">
      <c r="A14" s="18">
        <v>9</v>
      </c>
      <c r="B14" s="21" t="s">
        <v>1095</v>
      </c>
      <c r="C14" s="22" t="s">
        <v>1096</v>
      </c>
      <c r="D14" s="27"/>
      <c r="E14" s="21" t="s">
        <v>1097</v>
      </c>
      <c r="F14" s="22" t="s">
        <v>425</v>
      </c>
      <c r="G14" s="128" t="s">
        <v>1098</v>
      </c>
      <c r="H14" s="22" t="s">
        <v>1089</v>
      </c>
      <c r="I14" s="43" t="s">
        <v>1099</v>
      </c>
      <c r="J14" s="43" t="s">
        <v>1100</v>
      </c>
      <c r="K14" s="44" t="s">
        <v>1101</v>
      </c>
      <c r="L14" s="45">
        <v>44735</v>
      </c>
      <c r="M14" s="44">
        <v>44812</v>
      </c>
      <c r="N14" s="46" t="s">
        <v>317</v>
      </c>
      <c r="O14" s="54">
        <v>0.5</v>
      </c>
      <c r="P14" s="44">
        <v>44852</v>
      </c>
      <c r="Q14" s="44"/>
      <c r="R14" s="22" t="s">
        <v>392</v>
      </c>
      <c r="S14" s="68">
        <v>44813</v>
      </c>
      <c r="T14" s="68">
        <v>44813</v>
      </c>
      <c r="U14" s="69" t="s">
        <v>42</v>
      </c>
      <c r="V14" s="68">
        <v>44813</v>
      </c>
      <c r="W14" s="68">
        <v>44813</v>
      </c>
      <c r="X14" s="44" t="s">
        <v>149</v>
      </c>
      <c r="Z14" s="22" t="s">
        <v>1020</v>
      </c>
      <c r="AA14" s="18" t="s">
        <v>724</v>
      </c>
      <c r="AB14" s="18" t="s">
        <v>724</v>
      </c>
      <c r="AC14" s="32"/>
      <c r="AD14" s="57"/>
      <c r="AE14" s="57"/>
      <c r="AN14" s="133" t="s">
        <v>1102</v>
      </c>
    </row>
    <row r="15" s="4" customFormat="1" ht="99.75" hidden="1" spans="1:40">
      <c r="A15" s="18">
        <v>10</v>
      </c>
      <c r="B15" s="21" t="s">
        <v>1103</v>
      </c>
      <c r="C15" s="22" t="s">
        <v>1104</v>
      </c>
      <c r="D15" s="27"/>
      <c r="E15" s="21" t="s">
        <v>1105</v>
      </c>
      <c r="F15" s="22" t="s">
        <v>324</v>
      </c>
      <c r="G15" s="22" t="s">
        <v>1106</v>
      </c>
      <c r="H15" s="22" t="s">
        <v>1089</v>
      </c>
      <c r="I15" s="43" t="s">
        <v>1107</v>
      </c>
      <c r="J15" s="43" t="s">
        <v>1108</v>
      </c>
      <c r="K15" s="44" t="s">
        <v>1109</v>
      </c>
      <c r="L15" s="45">
        <v>44735</v>
      </c>
      <c r="M15" s="44">
        <v>44812</v>
      </c>
      <c r="N15" s="46" t="s">
        <v>317</v>
      </c>
      <c r="O15" s="54">
        <v>2.5</v>
      </c>
      <c r="P15" s="44">
        <v>44852</v>
      </c>
      <c r="Q15" s="44"/>
      <c r="R15" s="22" t="s">
        <v>392</v>
      </c>
      <c r="S15" s="68">
        <v>44813</v>
      </c>
      <c r="T15" s="68">
        <v>44813</v>
      </c>
      <c r="U15" s="69" t="s">
        <v>42</v>
      </c>
      <c r="V15" s="68">
        <v>44813</v>
      </c>
      <c r="W15" s="68">
        <v>44813</v>
      </c>
      <c r="X15" s="44" t="s">
        <v>149</v>
      </c>
      <c r="Z15" s="22" t="s">
        <v>1020</v>
      </c>
      <c r="AA15" s="18" t="s">
        <v>724</v>
      </c>
      <c r="AB15" s="18" t="s">
        <v>724</v>
      </c>
      <c r="AC15" s="32"/>
      <c r="AD15" s="57"/>
      <c r="AE15" s="57"/>
      <c r="AN15" s="133" t="s">
        <v>1110</v>
      </c>
    </row>
    <row r="16" s="4" customFormat="1" ht="142.5" hidden="1" spans="1:40">
      <c r="A16" s="18">
        <v>11</v>
      </c>
      <c r="B16" s="21" t="s">
        <v>1111</v>
      </c>
      <c r="C16" s="22" t="s">
        <v>1112</v>
      </c>
      <c r="D16" s="23"/>
      <c r="E16" s="21" t="s">
        <v>1113</v>
      </c>
      <c r="F16" s="22" t="s">
        <v>1114</v>
      </c>
      <c r="G16" s="128" t="s">
        <v>1115</v>
      </c>
      <c r="H16" s="22" t="s">
        <v>1089</v>
      </c>
      <c r="I16" s="43" t="s">
        <v>1116</v>
      </c>
      <c r="J16" s="43" t="s">
        <v>1117</v>
      </c>
      <c r="K16" s="44" t="s">
        <v>1118</v>
      </c>
      <c r="L16" s="45">
        <v>44735</v>
      </c>
      <c r="M16" s="44">
        <v>44812</v>
      </c>
      <c r="N16" s="46" t="s">
        <v>317</v>
      </c>
      <c r="O16" s="54">
        <v>0.5</v>
      </c>
      <c r="P16" s="44">
        <v>44852</v>
      </c>
      <c r="Q16" s="44"/>
      <c r="R16" s="22" t="s">
        <v>392</v>
      </c>
      <c r="S16" s="68">
        <v>44813</v>
      </c>
      <c r="T16" s="68">
        <v>44813</v>
      </c>
      <c r="U16" s="69" t="s">
        <v>42</v>
      </c>
      <c r="V16" s="68">
        <v>44813</v>
      </c>
      <c r="W16" s="68">
        <v>44813</v>
      </c>
      <c r="X16" s="44"/>
      <c r="Z16" s="22" t="s">
        <v>1020</v>
      </c>
      <c r="AA16" s="18" t="s">
        <v>724</v>
      </c>
      <c r="AB16" s="18" t="s">
        <v>724</v>
      </c>
      <c r="AC16" s="32"/>
      <c r="AD16" s="57"/>
      <c r="AE16" s="57"/>
      <c r="AN16" s="133" t="s">
        <v>1119</v>
      </c>
    </row>
    <row r="17" ht="85.5" hidden="1" spans="1:40">
      <c r="A17" s="18">
        <v>12</v>
      </c>
      <c r="B17" s="21" t="s">
        <v>1120</v>
      </c>
      <c r="C17" s="18" t="s">
        <v>959</v>
      </c>
      <c r="D17" s="28" t="s">
        <v>1121</v>
      </c>
      <c r="E17" s="21" t="s">
        <v>1122</v>
      </c>
      <c r="F17" s="22" t="s">
        <v>324</v>
      </c>
      <c r="G17" s="22" t="s">
        <v>1123</v>
      </c>
      <c r="H17" s="22" t="s">
        <v>959</v>
      </c>
      <c r="I17" s="55" t="s">
        <v>1124</v>
      </c>
      <c r="J17" s="43" t="s">
        <v>1125</v>
      </c>
      <c r="K17" s="44" t="s">
        <v>1126</v>
      </c>
      <c r="L17" s="45">
        <v>44742</v>
      </c>
      <c r="M17" s="44">
        <v>44809</v>
      </c>
      <c r="N17" s="53" t="s">
        <v>317</v>
      </c>
      <c r="O17" s="54">
        <v>5.5</v>
      </c>
      <c r="P17" s="44">
        <v>44939</v>
      </c>
      <c r="Q17" s="44"/>
      <c r="R17" s="22" t="s">
        <v>1127</v>
      </c>
      <c r="S17" s="68">
        <v>44813</v>
      </c>
      <c r="T17" s="68">
        <v>44813</v>
      </c>
      <c r="U17" s="69" t="s">
        <v>42</v>
      </c>
      <c r="V17" s="68">
        <v>44813</v>
      </c>
      <c r="W17" s="68">
        <v>44813</v>
      </c>
      <c r="X17" s="44" t="s">
        <v>1128</v>
      </c>
      <c r="Z17" s="22" t="s">
        <v>1020</v>
      </c>
      <c r="AA17" s="18" t="s">
        <v>724</v>
      </c>
      <c r="AB17" s="18" t="s">
        <v>724</v>
      </c>
      <c r="AC17" s="32"/>
      <c r="AD17" s="32"/>
      <c r="AE17" s="32"/>
      <c r="AN17" s="133" t="s">
        <v>1130</v>
      </c>
    </row>
    <row r="18" ht="99.75" hidden="1" spans="1:40">
      <c r="A18" s="18">
        <v>13</v>
      </c>
      <c r="B18" s="19" t="s">
        <v>1131</v>
      </c>
      <c r="C18" s="18" t="s">
        <v>1070</v>
      </c>
      <c r="D18" s="30" t="s">
        <v>1132</v>
      </c>
      <c r="E18" s="21" t="s">
        <v>1133</v>
      </c>
      <c r="F18" s="22" t="s">
        <v>324</v>
      </c>
      <c r="G18" s="22" t="s">
        <v>1134</v>
      </c>
      <c r="H18" s="22" t="s">
        <v>1070</v>
      </c>
      <c r="I18" s="43" t="s">
        <v>1135</v>
      </c>
      <c r="J18" s="43" t="s">
        <v>1136</v>
      </c>
      <c r="K18" s="44" t="s">
        <v>1137</v>
      </c>
      <c r="L18" s="45">
        <v>44817</v>
      </c>
      <c r="M18" s="44">
        <v>44873</v>
      </c>
      <c r="N18" s="53" t="s">
        <v>317</v>
      </c>
      <c r="O18" s="47">
        <v>5</v>
      </c>
      <c r="P18" s="44">
        <v>44883</v>
      </c>
      <c r="Q18" s="44"/>
      <c r="R18" s="22" t="s">
        <v>445</v>
      </c>
      <c r="S18" s="68">
        <v>44875</v>
      </c>
      <c r="T18" s="68">
        <v>44875</v>
      </c>
      <c r="U18" s="69" t="s">
        <v>42</v>
      </c>
      <c r="V18" s="69">
        <v>44874</v>
      </c>
      <c r="W18" s="69">
        <v>44874</v>
      </c>
      <c r="X18" s="44" t="s">
        <v>1138</v>
      </c>
      <c r="Z18" s="22" t="s">
        <v>1020</v>
      </c>
      <c r="AA18" s="18" t="s">
        <v>724</v>
      </c>
      <c r="AB18" s="18" t="s">
        <v>724</v>
      </c>
      <c r="AC18" s="32"/>
      <c r="AD18" s="32" t="s">
        <v>724</v>
      </c>
      <c r="AE18" s="32"/>
      <c r="AN18" s="133" t="s">
        <v>1139</v>
      </c>
    </row>
    <row r="19" ht="99.75" hidden="1" spans="1:40">
      <c r="A19" s="18">
        <v>14</v>
      </c>
      <c r="B19" s="19" t="s">
        <v>1140</v>
      </c>
      <c r="C19" s="18" t="s">
        <v>1141</v>
      </c>
      <c r="D19" s="28" t="s">
        <v>1142</v>
      </c>
      <c r="E19" s="21" t="s">
        <v>1143</v>
      </c>
      <c r="F19" s="22" t="s">
        <v>324</v>
      </c>
      <c r="G19" s="22" t="s">
        <v>1144</v>
      </c>
      <c r="H19" s="22" t="s">
        <v>1145</v>
      </c>
      <c r="I19" s="43" t="s">
        <v>1146</v>
      </c>
      <c r="J19" s="43" t="s">
        <v>1147</v>
      </c>
      <c r="K19" s="44" t="s">
        <v>1148</v>
      </c>
      <c r="L19" s="45">
        <v>44817</v>
      </c>
      <c r="M19" s="44">
        <v>44893</v>
      </c>
      <c r="N19" s="53" t="s">
        <v>317</v>
      </c>
      <c r="O19" s="54">
        <v>10</v>
      </c>
      <c r="P19" s="44">
        <v>44942</v>
      </c>
      <c r="Q19" s="44"/>
      <c r="R19" s="22" t="s">
        <v>1127</v>
      </c>
      <c r="S19" s="68">
        <v>44897</v>
      </c>
      <c r="T19" s="68">
        <v>44897</v>
      </c>
      <c r="U19" s="68" t="s">
        <v>42</v>
      </c>
      <c r="V19" s="68">
        <v>44896</v>
      </c>
      <c r="W19" s="68">
        <v>44895</v>
      </c>
      <c r="X19" s="44" t="s">
        <v>1149</v>
      </c>
      <c r="Z19" s="22" t="s">
        <v>993</v>
      </c>
      <c r="AA19" s="18"/>
      <c r="AB19" s="18"/>
      <c r="AC19" s="75" t="s">
        <v>994</v>
      </c>
      <c r="AD19" s="75" t="s">
        <v>994</v>
      </c>
      <c r="AE19" s="32"/>
      <c r="AM19" s="133" t="s">
        <v>1150</v>
      </c>
      <c r="AN19" s="81"/>
    </row>
    <row r="20" ht="71.25" hidden="1" spans="1:40">
      <c r="A20" s="18">
        <v>15</v>
      </c>
      <c r="B20" s="19" t="s">
        <v>1151</v>
      </c>
      <c r="C20" s="18" t="s">
        <v>1152</v>
      </c>
      <c r="D20" s="28" t="s">
        <v>1153</v>
      </c>
      <c r="E20" s="21" t="s">
        <v>96</v>
      </c>
      <c r="F20" s="22" t="s">
        <v>332</v>
      </c>
      <c r="G20" s="22" t="s">
        <v>97</v>
      </c>
      <c r="H20" s="22" t="s">
        <v>1154</v>
      </c>
      <c r="I20" s="43" t="s">
        <v>1155</v>
      </c>
      <c r="J20" s="43" t="s">
        <v>1156</v>
      </c>
      <c r="K20" s="44" t="s">
        <v>1157</v>
      </c>
      <c r="L20" s="45">
        <v>44826</v>
      </c>
      <c r="M20" s="44">
        <v>44888</v>
      </c>
      <c r="N20" s="53" t="s">
        <v>317</v>
      </c>
      <c r="O20" s="47">
        <v>5</v>
      </c>
      <c r="P20" s="44">
        <v>44922</v>
      </c>
      <c r="Q20" s="44"/>
      <c r="R20" s="22" t="s">
        <v>392</v>
      </c>
      <c r="S20" s="68">
        <v>44890</v>
      </c>
      <c r="T20" s="68">
        <v>44890</v>
      </c>
      <c r="U20" s="68" t="s">
        <v>42</v>
      </c>
      <c r="V20" s="68">
        <v>44890</v>
      </c>
      <c r="W20" s="69">
        <v>44890</v>
      </c>
      <c r="X20" s="44" t="s">
        <v>1158</v>
      </c>
      <c r="Z20" s="22" t="s">
        <v>1020</v>
      </c>
      <c r="AA20" s="18" t="s">
        <v>724</v>
      </c>
      <c r="AB20" s="18" t="s">
        <v>724</v>
      </c>
      <c r="AC20" s="32"/>
      <c r="AD20" s="32" t="s">
        <v>724</v>
      </c>
      <c r="AE20" s="32"/>
      <c r="AN20" s="133" t="s">
        <v>1159</v>
      </c>
    </row>
    <row r="21" ht="85.5" hidden="1" spans="1:40">
      <c r="A21" s="18">
        <v>16</v>
      </c>
      <c r="B21" s="19" t="s">
        <v>1160</v>
      </c>
      <c r="C21" s="18" t="s">
        <v>1161</v>
      </c>
      <c r="D21" s="28" t="s">
        <v>1162</v>
      </c>
      <c r="E21" s="21" t="s">
        <v>1163</v>
      </c>
      <c r="F21" s="22" t="s">
        <v>324</v>
      </c>
      <c r="G21" s="22" t="s">
        <v>1164</v>
      </c>
      <c r="H21" s="22" t="s">
        <v>1145</v>
      </c>
      <c r="I21" s="43" t="s">
        <v>1165</v>
      </c>
      <c r="J21" s="43" t="s">
        <v>1166</v>
      </c>
      <c r="K21" s="44" t="s">
        <v>1167</v>
      </c>
      <c r="L21" s="45">
        <v>44823</v>
      </c>
      <c r="M21" s="44">
        <v>44893</v>
      </c>
      <c r="N21" s="53" t="s">
        <v>317</v>
      </c>
      <c r="O21" s="54">
        <v>10</v>
      </c>
      <c r="P21" s="44">
        <v>44942</v>
      </c>
      <c r="Q21" s="44"/>
      <c r="R21" s="22" t="s">
        <v>445</v>
      </c>
      <c r="S21" s="68">
        <v>44897</v>
      </c>
      <c r="T21" s="68">
        <v>44897</v>
      </c>
      <c r="U21" s="68" t="s">
        <v>42</v>
      </c>
      <c r="V21" s="68">
        <v>44896</v>
      </c>
      <c r="W21" s="68">
        <v>44895</v>
      </c>
      <c r="X21" s="44" t="s">
        <v>1149</v>
      </c>
      <c r="Z21" s="22" t="s">
        <v>1020</v>
      </c>
      <c r="AA21" s="18" t="s">
        <v>724</v>
      </c>
      <c r="AB21" s="18" t="s">
        <v>724</v>
      </c>
      <c r="AC21" s="74"/>
      <c r="AD21" s="75"/>
      <c r="AE21" s="32"/>
      <c r="AN21" s="133" t="s">
        <v>1168</v>
      </c>
    </row>
    <row r="22" ht="71.25" hidden="1" spans="1:40">
      <c r="A22" s="18">
        <v>17</v>
      </c>
      <c r="B22" s="19" t="s">
        <v>1169</v>
      </c>
      <c r="C22" s="18" t="s">
        <v>1170</v>
      </c>
      <c r="D22" s="28" t="s">
        <v>1171</v>
      </c>
      <c r="E22" s="21" t="s">
        <v>1172</v>
      </c>
      <c r="F22" s="22" t="s">
        <v>324</v>
      </c>
      <c r="G22" s="128" t="s">
        <v>1173</v>
      </c>
      <c r="H22" s="22" t="s">
        <v>1154</v>
      </c>
      <c r="I22" s="43" t="s">
        <v>1174</v>
      </c>
      <c r="J22" s="43" t="s">
        <v>1175</v>
      </c>
      <c r="K22" s="44" t="s">
        <v>1176</v>
      </c>
      <c r="L22" s="45">
        <v>44813</v>
      </c>
      <c r="M22" s="44">
        <v>44883</v>
      </c>
      <c r="N22" s="53" t="s">
        <v>317</v>
      </c>
      <c r="O22" s="47">
        <v>5</v>
      </c>
      <c r="P22" s="44">
        <v>44904</v>
      </c>
      <c r="Q22" s="44"/>
      <c r="R22" s="22" t="s">
        <v>1177</v>
      </c>
      <c r="S22" s="68">
        <v>44886</v>
      </c>
      <c r="T22" s="68">
        <v>44886</v>
      </c>
      <c r="U22" s="69" t="s">
        <v>42</v>
      </c>
      <c r="V22" s="69">
        <v>44886</v>
      </c>
      <c r="W22" s="69">
        <v>44886</v>
      </c>
      <c r="X22" s="44" t="s">
        <v>1158</v>
      </c>
      <c r="Z22" s="22" t="s">
        <v>1020</v>
      </c>
      <c r="AA22" s="18" t="s">
        <v>724</v>
      </c>
      <c r="AB22" s="18" t="s">
        <v>724</v>
      </c>
      <c r="AC22" s="32"/>
      <c r="AD22" s="32" t="s">
        <v>724</v>
      </c>
      <c r="AE22" s="32"/>
      <c r="AM22" s="133" t="s">
        <v>1178</v>
      </c>
      <c r="AN22" s="136" t="s">
        <v>1179</v>
      </c>
    </row>
    <row r="23" ht="71.25" hidden="1" spans="1:40">
      <c r="A23" s="18">
        <v>18</v>
      </c>
      <c r="B23" s="19" t="s">
        <v>1180</v>
      </c>
      <c r="C23" s="18" t="s">
        <v>1181</v>
      </c>
      <c r="D23" s="28" t="s">
        <v>1182</v>
      </c>
      <c r="E23" s="21" t="s">
        <v>1183</v>
      </c>
      <c r="F23" s="22" t="s">
        <v>332</v>
      </c>
      <c r="G23" s="22" t="s">
        <v>1184</v>
      </c>
      <c r="H23" s="22" t="s">
        <v>1185</v>
      </c>
      <c r="I23" s="43" t="s">
        <v>1186</v>
      </c>
      <c r="J23" s="43" t="s">
        <v>1187</v>
      </c>
      <c r="K23" s="44" t="s">
        <v>1188</v>
      </c>
      <c r="L23" s="45">
        <v>44843</v>
      </c>
      <c r="M23" s="44">
        <v>44901</v>
      </c>
      <c r="N23" s="53" t="s">
        <v>317</v>
      </c>
      <c r="O23" s="54">
        <v>5</v>
      </c>
      <c r="P23" s="44">
        <v>44922</v>
      </c>
      <c r="Q23" s="44"/>
      <c r="R23" s="22" t="s">
        <v>392</v>
      </c>
      <c r="S23" s="68">
        <v>44901</v>
      </c>
      <c r="T23" s="68">
        <v>44901</v>
      </c>
      <c r="U23" s="68" t="s">
        <v>42</v>
      </c>
      <c r="V23" s="68">
        <v>44902</v>
      </c>
      <c r="W23" s="68">
        <v>44902</v>
      </c>
      <c r="X23" s="44" t="s">
        <v>149</v>
      </c>
      <c r="Z23" s="22" t="s">
        <v>1020</v>
      </c>
      <c r="AA23" s="18" t="s">
        <v>724</v>
      </c>
      <c r="AB23" s="18" t="s">
        <v>724</v>
      </c>
      <c r="AC23" s="32"/>
      <c r="AD23" s="32"/>
      <c r="AE23" s="32"/>
      <c r="AN23" s="133" t="s">
        <v>1189</v>
      </c>
    </row>
    <row r="24" ht="90" hidden="1" customHeight="1" spans="1:40">
      <c r="A24" s="18">
        <v>19</v>
      </c>
      <c r="B24" s="19" t="s">
        <v>1190</v>
      </c>
      <c r="C24" s="18" t="s">
        <v>1191</v>
      </c>
      <c r="D24" s="29" t="s">
        <v>1192</v>
      </c>
      <c r="E24" s="21" t="s">
        <v>1193</v>
      </c>
      <c r="F24" s="22" t="s">
        <v>324</v>
      </c>
      <c r="G24" s="22" t="s">
        <v>1194</v>
      </c>
      <c r="H24" s="22" t="s">
        <v>1195</v>
      </c>
      <c r="I24" s="43" t="s">
        <v>1196</v>
      </c>
      <c r="J24" s="43" t="s">
        <v>1197</v>
      </c>
      <c r="K24" s="44" t="s">
        <v>1198</v>
      </c>
      <c r="L24" s="45">
        <v>44831</v>
      </c>
      <c r="M24" s="44">
        <v>44893</v>
      </c>
      <c r="N24" s="53" t="s">
        <v>317</v>
      </c>
      <c r="O24" s="54">
        <v>1.2</v>
      </c>
      <c r="P24" s="44">
        <v>44939</v>
      </c>
      <c r="Q24" s="44"/>
      <c r="R24" s="22" t="s">
        <v>445</v>
      </c>
      <c r="S24" s="68">
        <v>44897</v>
      </c>
      <c r="T24" s="68">
        <v>44897</v>
      </c>
      <c r="U24" s="68" t="s">
        <v>42</v>
      </c>
      <c r="V24" s="68">
        <v>44896</v>
      </c>
      <c r="W24" s="68">
        <v>44896</v>
      </c>
      <c r="X24" s="44" t="s">
        <v>1199</v>
      </c>
      <c r="Z24" s="22" t="s">
        <v>993</v>
      </c>
      <c r="AA24" s="18"/>
      <c r="AB24" s="18"/>
      <c r="AC24" s="75" t="s">
        <v>994</v>
      </c>
      <c r="AD24" s="75" t="s">
        <v>994</v>
      </c>
      <c r="AE24" s="32"/>
      <c r="AN24" s="133" t="s">
        <v>1200</v>
      </c>
    </row>
    <row r="25" s="3" customFormat="1" ht="90" customHeight="1" spans="1:40">
      <c r="A25" s="24">
        <v>20</v>
      </c>
      <c r="B25" s="25" t="s">
        <v>1201</v>
      </c>
      <c r="C25" s="24" t="s">
        <v>1202</v>
      </c>
      <c r="D25" s="31"/>
      <c r="E25" s="25" t="s">
        <v>1203</v>
      </c>
      <c r="F25" s="24" t="s">
        <v>1204</v>
      </c>
      <c r="G25" s="131" t="s">
        <v>1205</v>
      </c>
      <c r="H25" s="24" t="s">
        <v>1206</v>
      </c>
      <c r="I25" s="48" t="s">
        <v>1207</v>
      </c>
      <c r="J25" s="48" t="s">
        <v>1208</v>
      </c>
      <c r="K25" s="49" t="s">
        <v>1209</v>
      </c>
      <c r="L25" s="49">
        <v>44831</v>
      </c>
      <c r="M25" s="50">
        <v>44893</v>
      </c>
      <c r="N25" s="51" t="s">
        <v>317</v>
      </c>
      <c r="O25" s="52">
        <v>0.2</v>
      </c>
      <c r="P25" s="50">
        <v>44939</v>
      </c>
      <c r="Q25" s="50"/>
      <c r="R25" s="24" t="s">
        <v>445</v>
      </c>
      <c r="S25" s="70">
        <v>44897</v>
      </c>
      <c r="T25" s="70">
        <v>44897</v>
      </c>
      <c r="U25" s="70" t="s">
        <v>42</v>
      </c>
      <c r="V25" s="70">
        <v>44896</v>
      </c>
      <c r="W25" s="70">
        <v>44896</v>
      </c>
      <c r="X25" s="50" t="s">
        <v>1199</v>
      </c>
      <c r="Z25" s="24" t="s">
        <v>1020</v>
      </c>
      <c r="AA25" s="24" t="s">
        <v>724</v>
      </c>
      <c r="AB25" s="73" t="s">
        <v>1021</v>
      </c>
      <c r="AC25" s="74"/>
      <c r="AD25" s="75"/>
      <c r="AE25" s="75"/>
      <c r="AN25" s="136" t="s">
        <v>1210</v>
      </c>
    </row>
    <row r="26" ht="90" hidden="1" customHeight="1" spans="1:40">
      <c r="A26" s="18">
        <v>1</v>
      </c>
      <c r="B26" s="19" t="s">
        <v>1211</v>
      </c>
      <c r="C26" s="18" t="s">
        <v>1070</v>
      </c>
      <c r="D26" s="23" t="s">
        <v>1212</v>
      </c>
      <c r="E26" s="21" t="s">
        <v>1213</v>
      </c>
      <c r="F26" s="22" t="s">
        <v>332</v>
      </c>
      <c r="G26" s="128" t="s">
        <v>1214</v>
      </c>
      <c r="H26" s="18" t="s">
        <v>1070</v>
      </c>
      <c r="I26" s="43" t="s">
        <v>1215</v>
      </c>
      <c r="J26" s="22" t="s">
        <v>1216</v>
      </c>
      <c r="K26" s="44" t="s">
        <v>1217</v>
      </c>
      <c r="L26" s="45">
        <v>44981</v>
      </c>
      <c r="M26" s="44">
        <v>45030</v>
      </c>
      <c r="N26" s="53" t="s">
        <v>317</v>
      </c>
      <c r="O26" s="54">
        <v>5</v>
      </c>
      <c r="P26" s="44">
        <v>45054</v>
      </c>
      <c r="Q26" s="44"/>
      <c r="R26" s="22" t="s">
        <v>445</v>
      </c>
      <c r="S26" s="68">
        <v>45034</v>
      </c>
      <c r="T26" s="68">
        <v>45034</v>
      </c>
      <c r="U26" s="68" t="s">
        <v>42</v>
      </c>
      <c r="V26" s="68">
        <v>45034</v>
      </c>
      <c r="W26" s="68">
        <v>45034</v>
      </c>
      <c r="X26" s="44" t="s">
        <v>1218</v>
      </c>
      <c r="Z26" s="18" t="s">
        <v>1219</v>
      </c>
      <c r="AA26" s="18" t="s">
        <v>724</v>
      </c>
      <c r="AB26" s="18" t="s">
        <v>724</v>
      </c>
      <c r="AC26" s="32"/>
      <c r="AD26" s="32"/>
      <c r="AE26" s="32"/>
      <c r="AN26" s="133" t="s">
        <v>1220</v>
      </c>
    </row>
    <row r="27" ht="90" hidden="1" customHeight="1" spans="1:40">
      <c r="A27" s="18">
        <v>2</v>
      </c>
      <c r="B27" s="19" t="s">
        <v>1221</v>
      </c>
      <c r="C27" s="18" t="s">
        <v>1222</v>
      </c>
      <c r="D27" s="28" t="s">
        <v>1223</v>
      </c>
      <c r="E27" s="21" t="s">
        <v>1224</v>
      </c>
      <c r="F27" s="22" t="s">
        <v>425</v>
      </c>
      <c r="G27" s="128" t="s">
        <v>1225</v>
      </c>
      <c r="H27" s="22" t="s">
        <v>610</v>
      </c>
      <c r="I27" s="43" t="s">
        <v>1226</v>
      </c>
      <c r="J27" s="22" t="s">
        <v>1227</v>
      </c>
      <c r="K27" s="44" t="s">
        <v>1228</v>
      </c>
      <c r="L27" s="45">
        <v>44994</v>
      </c>
      <c r="M27" s="44">
        <v>45054</v>
      </c>
      <c r="N27" s="53" t="s">
        <v>317</v>
      </c>
      <c r="O27" s="54">
        <v>0.2</v>
      </c>
      <c r="P27" s="44">
        <v>45070</v>
      </c>
      <c r="Q27" s="44"/>
      <c r="R27" s="22" t="s">
        <v>875</v>
      </c>
      <c r="S27" s="68">
        <v>45056</v>
      </c>
      <c r="T27" s="68">
        <v>45056</v>
      </c>
      <c r="U27" s="68" t="s">
        <v>42</v>
      </c>
      <c r="V27" s="68">
        <v>45055</v>
      </c>
      <c r="W27" s="68">
        <v>45055</v>
      </c>
      <c r="X27" s="44" t="s">
        <v>1218</v>
      </c>
      <c r="Z27" s="18" t="s">
        <v>1219</v>
      </c>
      <c r="AA27" s="18" t="s">
        <v>724</v>
      </c>
      <c r="AB27" s="18" t="s">
        <v>724</v>
      </c>
      <c r="AC27" s="32"/>
      <c r="AD27" s="32"/>
      <c r="AE27" s="32"/>
      <c r="AN27" s="133" t="s">
        <v>1229</v>
      </c>
    </row>
    <row r="28" ht="90" hidden="1" customHeight="1" spans="1:40">
      <c r="A28" s="18">
        <v>3</v>
      </c>
      <c r="B28" s="19" t="s">
        <v>1230</v>
      </c>
      <c r="C28" s="18" t="s">
        <v>1222</v>
      </c>
      <c r="D28" s="28"/>
      <c r="E28" s="21" t="s">
        <v>1231</v>
      </c>
      <c r="F28" s="22" t="s">
        <v>432</v>
      </c>
      <c r="G28" s="128" t="s">
        <v>1232</v>
      </c>
      <c r="H28" s="22" t="s">
        <v>610</v>
      </c>
      <c r="I28" s="43" t="s">
        <v>1233</v>
      </c>
      <c r="J28" s="22" t="s">
        <v>1234</v>
      </c>
      <c r="K28" s="44" t="s">
        <v>1235</v>
      </c>
      <c r="L28" s="45">
        <v>44994</v>
      </c>
      <c r="M28" s="44">
        <v>45054</v>
      </c>
      <c r="N28" s="53" t="s">
        <v>317</v>
      </c>
      <c r="O28" s="54">
        <v>0.2</v>
      </c>
      <c r="P28" s="44">
        <v>45070</v>
      </c>
      <c r="Q28" s="44"/>
      <c r="R28" s="22" t="s">
        <v>875</v>
      </c>
      <c r="S28" s="68">
        <v>45056</v>
      </c>
      <c r="T28" s="68">
        <v>45056</v>
      </c>
      <c r="U28" s="68" t="s">
        <v>42</v>
      </c>
      <c r="V28" s="68">
        <v>45055</v>
      </c>
      <c r="W28" s="68">
        <v>45055</v>
      </c>
      <c r="X28" s="44" t="s">
        <v>1218</v>
      </c>
      <c r="Z28" s="18" t="s">
        <v>1219</v>
      </c>
      <c r="AA28" s="18" t="s">
        <v>724</v>
      </c>
      <c r="AB28" s="18" t="s">
        <v>724</v>
      </c>
      <c r="AC28" s="32"/>
      <c r="AD28" s="32"/>
      <c r="AE28" s="32"/>
      <c r="AN28" s="133" t="s">
        <v>1236</v>
      </c>
    </row>
    <row r="29" ht="90" hidden="1" customHeight="1" spans="1:40">
      <c r="A29" s="18">
        <v>4</v>
      </c>
      <c r="B29" s="19" t="s">
        <v>1237</v>
      </c>
      <c r="C29" s="18" t="s">
        <v>1222</v>
      </c>
      <c r="D29" s="28"/>
      <c r="E29" s="21" t="s">
        <v>1238</v>
      </c>
      <c r="F29" s="22" t="s">
        <v>332</v>
      </c>
      <c r="G29" s="128" t="s">
        <v>1239</v>
      </c>
      <c r="H29" s="22" t="s">
        <v>610</v>
      </c>
      <c r="I29" s="43" t="s">
        <v>1240</v>
      </c>
      <c r="J29" s="22" t="s">
        <v>1241</v>
      </c>
      <c r="K29" s="44" t="s">
        <v>1242</v>
      </c>
      <c r="L29" s="45">
        <v>44994</v>
      </c>
      <c r="M29" s="44">
        <v>45054</v>
      </c>
      <c r="N29" s="53" t="s">
        <v>317</v>
      </c>
      <c r="O29" s="54">
        <v>1.2</v>
      </c>
      <c r="P29" s="44">
        <v>45076</v>
      </c>
      <c r="Q29" s="44"/>
      <c r="R29" s="22" t="s">
        <v>875</v>
      </c>
      <c r="S29" s="68">
        <v>45056</v>
      </c>
      <c r="T29" s="68">
        <v>45056</v>
      </c>
      <c r="U29" s="68" t="s">
        <v>42</v>
      </c>
      <c r="V29" s="68">
        <v>45055</v>
      </c>
      <c r="W29" s="68">
        <v>45055</v>
      </c>
      <c r="X29" s="44" t="s">
        <v>1218</v>
      </c>
      <c r="Z29" s="18" t="s">
        <v>1219</v>
      </c>
      <c r="AA29" s="18" t="s">
        <v>724</v>
      </c>
      <c r="AB29" s="18" t="s">
        <v>724</v>
      </c>
      <c r="AC29" s="32"/>
      <c r="AD29" s="32"/>
      <c r="AE29" s="32"/>
      <c r="AN29" s="133" t="s">
        <v>1243</v>
      </c>
    </row>
    <row r="30" ht="90" hidden="1" customHeight="1" spans="1:40">
      <c r="A30" s="18">
        <v>5</v>
      </c>
      <c r="B30" s="19" t="s">
        <v>1244</v>
      </c>
      <c r="C30" s="18" t="s">
        <v>1245</v>
      </c>
      <c r="D30" s="27" t="s">
        <v>1246</v>
      </c>
      <c r="E30" s="21" t="s">
        <v>269</v>
      </c>
      <c r="F30" s="22" t="s">
        <v>332</v>
      </c>
      <c r="G30" s="128" t="s">
        <v>270</v>
      </c>
      <c r="H30" s="22" t="s">
        <v>634</v>
      </c>
      <c r="I30" s="43" t="s">
        <v>1247</v>
      </c>
      <c r="J30" s="22" t="s">
        <v>1248</v>
      </c>
      <c r="K30" s="44" t="s">
        <v>1249</v>
      </c>
      <c r="L30" s="45">
        <v>45001</v>
      </c>
      <c r="M30" s="44">
        <v>45062</v>
      </c>
      <c r="N30" s="53" t="s">
        <v>317</v>
      </c>
      <c r="O30" s="54">
        <v>1.2</v>
      </c>
      <c r="P30" s="44">
        <v>45076</v>
      </c>
      <c r="Q30" s="44"/>
      <c r="R30" s="22" t="s">
        <v>392</v>
      </c>
      <c r="S30" s="68">
        <v>45064</v>
      </c>
      <c r="T30" s="68">
        <v>45064</v>
      </c>
      <c r="U30" s="68" t="s">
        <v>42</v>
      </c>
      <c r="V30" s="68">
        <v>45064</v>
      </c>
      <c r="W30" s="68">
        <v>45064</v>
      </c>
      <c r="X30" s="44" t="s">
        <v>1218</v>
      </c>
      <c r="Z30" s="18" t="s">
        <v>1219</v>
      </c>
      <c r="AA30" s="18" t="s">
        <v>724</v>
      </c>
      <c r="AB30" s="18" t="s">
        <v>724</v>
      </c>
      <c r="AC30" s="32"/>
      <c r="AD30" s="32"/>
      <c r="AE30" s="32"/>
      <c r="AN30" s="133" t="s">
        <v>1250</v>
      </c>
    </row>
    <row r="31" ht="90" hidden="1" customHeight="1" spans="1:40">
      <c r="A31" s="18">
        <v>6</v>
      </c>
      <c r="B31" s="19" t="s">
        <v>1251</v>
      </c>
      <c r="C31" s="18" t="s">
        <v>1252</v>
      </c>
      <c r="D31" s="27"/>
      <c r="E31" s="21" t="s">
        <v>1253</v>
      </c>
      <c r="F31" s="22" t="s">
        <v>425</v>
      </c>
      <c r="G31" s="128" t="s">
        <v>1254</v>
      </c>
      <c r="H31" s="22" t="s">
        <v>1255</v>
      </c>
      <c r="I31" s="43" t="s">
        <v>1256</v>
      </c>
      <c r="J31" s="22" t="s">
        <v>1257</v>
      </c>
      <c r="K31" s="44" t="s">
        <v>1258</v>
      </c>
      <c r="L31" s="45">
        <v>45001</v>
      </c>
      <c r="M31" s="44">
        <v>45062</v>
      </c>
      <c r="N31" s="53" t="s">
        <v>317</v>
      </c>
      <c r="O31" s="54">
        <v>0.2</v>
      </c>
      <c r="P31" s="44">
        <v>45076</v>
      </c>
      <c r="Q31" s="44"/>
      <c r="R31" s="22" t="s">
        <v>392</v>
      </c>
      <c r="S31" s="68">
        <v>45064</v>
      </c>
      <c r="T31" s="68">
        <v>45064</v>
      </c>
      <c r="U31" s="68" t="s">
        <v>42</v>
      </c>
      <c r="V31" s="68">
        <v>45064</v>
      </c>
      <c r="W31" s="68">
        <v>45064</v>
      </c>
      <c r="X31" s="44" t="s">
        <v>1218</v>
      </c>
      <c r="Z31" s="18" t="s">
        <v>1219</v>
      </c>
      <c r="AA31" s="18" t="s">
        <v>724</v>
      </c>
      <c r="AB31" s="18" t="s">
        <v>724</v>
      </c>
      <c r="AC31" s="32"/>
      <c r="AD31" s="32"/>
      <c r="AE31" s="32"/>
      <c r="AN31" s="133" t="s">
        <v>1259</v>
      </c>
    </row>
    <row r="32" ht="90" hidden="1" customHeight="1" spans="1:40">
      <c r="A32" s="18">
        <v>7</v>
      </c>
      <c r="B32" s="19" t="s">
        <v>1260</v>
      </c>
      <c r="C32" s="18" t="s">
        <v>1261</v>
      </c>
      <c r="D32" s="23"/>
      <c r="E32" s="21" t="s">
        <v>1262</v>
      </c>
      <c r="F32" s="22" t="s">
        <v>432</v>
      </c>
      <c r="G32" s="128" t="s">
        <v>1263</v>
      </c>
      <c r="H32" s="22" t="s">
        <v>1264</v>
      </c>
      <c r="I32" s="43" t="s">
        <v>1265</v>
      </c>
      <c r="J32" s="22" t="s">
        <v>1266</v>
      </c>
      <c r="K32" s="44" t="s">
        <v>1267</v>
      </c>
      <c r="L32" s="45">
        <v>45001</v>
      </c>
      <c r="M32" s="44">
        <v>45062</v>
      </c>
      <c r="N32" s="53" t="s">
        <v>317</v>
      </c>
      <c r="O32" s="54">
        <v>0.2</v>
      </c>
      <c r="P32" s="44">
        <v>45076</v>
      </c>
      <c r="Q32" s="44"/>
      <c r="R32" s="22" t="s">
        <v>392</v>
      </c>
      <c r="S32" s="68">
        <v>45064</v>
      </c>
      <c r="T32" s="68">
        <v>45064</v>
      </c>
      <c r="U32" s="68" t="s">
        <v>42</v>
      </c>
      <c r="V32" s="68">
        <v>45064</v>
      </c>
      <c r="W32" s="68">
        <v>45064</v>
      </c>
      <c r="X32" s="44" t="s">
        <v>1218</v>
      </c>
      <c r="Z32" s="18" t="s">
        <v>1219</v>
      </c>
      <c r="AA32" s="18" t="s">
        <v>724</v>
      </c>
      <c r="AB32" s="18" t="s">
        <v>724</v>
      </c>
      <c r="AC32" s="32"/>
      <c r="AD32" s="32"/>
      <c r="AE32" s="32"/>
      <c r="AN32" s="133" t="s">
        <v>1268</v>
      </c>
    </row>
    <row r="33" ht="90" hidden="1" customHeight="1" spans="1:40">
      <c r="A33" s="18">
        <v>8</v>
      </c>
      <c r="B33" s="19" t="s">
        <v>1269</v>
      </c>
      <c r="C33" s="18" t="s">
        <v>1270</v>
      </c>
      <c r="D33" s="23" t="s">
        <v>1271</v>
      </c>
      <c r="E33" s="21" t="s">
        <v>1050</v>
      </c>
      <c r="F33" s="22" t="s">
        <v>332</v>
      </c>
      <c r="G33" s="128" t="s">
        <v>1051</v>
      </c>
      <c r="H33" s="22" t="s">
        <v>1145</v>
      </c>
      <c r="I33" s="43" t="s">
        <v>1272</v>
      </c>
      <c r="J33" s="22" t="s">
        <v>1273</v>
      </c>
      <c r="K33" s="44" t="s">
        <v>1274</v>
      </c>
      <c r="L33" s="45">
        <v>45009</v>
      </c>
      <c r="M33" s="44">
        <v>45092</v>
      </c>
      <c r="N33" s="53" t="s">
        <v>317</v>
      </c>
      <c r="O33" s="54">
        <v>10</v>
      </c>
      <c r="P33" s="44">
        <v>45111</v>
      </c>
      <c r="Q33" s="44"/>
      <c r="R33" s="22" t="s">
        <v>875</v>
      </c>
      <c r="S33" s="68">
        <v>45093</v>
      </c>
      <c r="T33" s="68">
        <v>45093</v>
      </c>
      <c r="U33" s="68" t="s">
        <v>42</v>
      </c>
      <c r="V33" s="68">
        <v>45093</v>
      </c>
      <c r="W33" s="68">
        <v>45093</v>
      </c>
      <c r="X33" s="44" t="s">
        <v>195</v>
      </c>
      <c r="Z33" s="18" t="s">
        <v>1275</v>
      </c>
      <c r="AA33" s="72" t="s">
        <v>724</v>
      </c>
      <c r="AB33" s="72" t="s">
        <v>724</v>
      </c>
      <c r="AC33" s="76"/>
      <c r="AD33" s="32"/>
      <c r="AE33" s="32"/>
      <c r="AN33" s="133" t="s">
        <v>1276</v>
      </c>
    </row>
    <row r="34" ht="90" hidden="1" customHeight="1" spans="1:40">
      <c r="A34" s="18">
        <v>9</v>
      </c>
      <c r="B34" s="19" t="s">
        <v>1277</v>
      </c>
      <c r="C34" s="18" t="s">
        <v>1278</v>
      </c>
      <c r="D34" s="27" t="s">
        <v>1121</v>
      </c>
      <c r="E34" s="21" t="s">
        <v>1279</v>
      </c>
      <c r="F34" s="22" t="s">
        <v>332</v>
      </c>
      <c r="G34" s="128" t="s">
        <v>1280</v>
      </c>
      <c r="H34" s="22" t="s">
        <v>1145</v>
      </c>
      <c r="I34" s="43" t="s">
        <v>1281</v>
      </c>
      <c r="J34" s="22" t="s">
        <v>1282</v>
      </c>
      <c r="K34" s="44" t="s">
        <v>1283</v>
      </c>
      <c r="L34" s="45">
        <v>45013</v>
      </c>
      <c r="M34" s="44">
        <v>45092</v>
      </c>
      <c r="N34" s="53" t="s">
        <v>317</v>
      </c>
      <c r="O34" s="54">
        <v>10</v>
      </c>
      <c r="P34" s="44">
        <v>45103</v>
      </c>
      <c r="Q34" s="44"/>
      <c r="R34" s="22" t="s">
        <v>875</v>
      </c>
      <c r="S34" s="68">
        <v>45093</v>
      </c>
      <c r="T34" s="68">
        <v>45093</v>
      </c>
      <c r="U34" s="68" t="s">
        <v>42</v>
      </c>
      <c r="V34" s="68">
        <v>45093</v>
      </c>
      <c r="W34" s="68">
        <v>45093</v>
      </c>
      <c r="X34" s="44" t="s">
        <v>1218</v>
      </c>
      <c r="Z34" s="18" t="s">
        <v>1219</v>
      </c>
      <c r="AA34" s="18" t="s">
        <v>724</v>
      </c>
      <c r="AB34" s="18" t="s">
        <v>724</v>
      </c>
      <c r="AC34" s="32"/>
      <c r="AD34" s="32"/>
      <c r="AE34" s="32"/>
      <c r="AN34" s="133" t="s">
        <v>1284</v>
      </c>
    </row>
    <row r="35" ht="90" hidden="1" customHeight="1" spans="1:40">
      <c r="A35" s="18">
        <v>10</v>
      </c>
      <c r="B35" s="19" t="s">
        <v>1285</v>
      </c>
      <c r="C35" s="18" t="s">
        <v>1286</v>
      </c>
      <c r="D35" s="23"/>
      <c r="E35" s="21" t="s">
        <v>1287</v>
      </c>
      <c r="F35" s="22" t="s">
        <v>324</v>
      </c>
      <c r="G35" s="128" t="s">
        <v>1288</v>
      </c>
      <c r="H35" s="22" t="s">
        <v>1145</v>
      </c>
      <c r="I35" s="43" t="s">
        <v>1289</v>
      </c>
      <c r="J35" s="22" t="s">
        <v>1290</v>
      </c>
      <c r="K35" s="44" t="s">
        <v>1291</v>
      </c>
      <c r="L35" s="45">
        <v>45013</v>
      </c>
      <c r="M35" s="44">
        <v>45092</v>
      </c>
      <c r="N35" s="53" t="s">
        <v>317</v>
      </c>
      <c r="O35" s="54">
        <v>10</v>
      </c>
      <c r="P35" s="44">
        <v>45111</v>
      </c>
      <c r="Q35" s="44"/>
      <c r="R35" s="22" t="s">
        <v>875</v>
      </c>
      <c r="S35" s="68">
        <v>45093</v>
      </c>
      <c r="T35" s="68">
        <v>45093</v>
      </c>
      <c r="U35" s="68" t="s">
        <v>42</v>
      </c>
      <c r="V35" s="68">
        <v>45093</v>
      </c>
      <c r="W35" s="68">
        <v>45093</v>
      </c>
      <c r="X35" s="44" t="s">
        <v>195</v>
      </c>
      <c r="Z35" s="18" t="s">
        <v>1468</v>
      </c>
      <c r="AA35" s="18" t="s">
        <v>724</v>
      </c>
      <c r="AB35" s="18" t="s">
        <v>724</v>
      </c>
      <c r="AC35" s="76"/>
      <c r="AD35" s="32"/>
      <c r="AE35" s="32"/>
      <c r="AN35" s="133" t="s">
        <v>1292</v>
      </c>
    </row>
    <row r="36" ht="90" hidden="1" customHeight="1" spans="1:40">
      <c r="A36" s="18">
        <v>11</v>
      </c>
      <c r="B36" s="19" t="s">
        <v>1293</v>
      </c>
      <c r="C36" s="18" t="s">
        <v>1294</v>
      </c>
      <c r="D36" s="28" t="s">
        <v>1295</v>
      </c>
      <c r="E36" s="21" t="s">
        <v>1296</v>
      </c>
      <c r="F36" s="22" t="s">
        <v>324</v>
      </c>
      <c r="G36" s="128" t="s">
        <v>1297</v>
      </c>
      <c r="H36" s="22" t="s">
        <v>1070</v>
      </c>
      <c r="I36" s="43" t="s">
        <v>1298</v>
      </c>
      <c r="J36" s="22" t="s">
        <v>1299</v>
      </c>
      <c r="K36" s="44" t="s">
        <v>1300</v>
      </c>
      <c r="L36" s="45">
        <v>45014</v>
      </c>
      <c r="M36" s="44">
        <v>45077</v>
      </c>
      <c r="N36" s="53" t="s">
        <v>317</v>
      </c>
      <c r="O36" s="54">
        <v>5</v>
      </c>
      <c r="P36" s="44">
        <v>45086</v>
      </c>
      <c r="Q36" s="44"/>
      <c r="R36" s="22" t="s">
        <v>445</v>
      </c>
      <c r="S36" s="68">
        <v>45079</v>
      </c>
      <c r="T36" s="68">
        <v>45079</v>
      </c>
      <c r="U36" s="68" t="s">
        <v>42</v>
      </c>
      <c r="V36" s="68">
        <v>45078</v>
      </c>
      <c r="W36" s="68">
        <v>45077</v>
      </c>
      <c r="X36" s="44" t="s">
        <v>1218</v>
      </c>
      <c r="Z36" s="18" t="s">
        <v>1219</v>
      </c>
      <c r="AA36" s="18" t="s">
        <v>724</v>
      </c>
      <c r="AB36" s="18" t="s">
        <v>724</v>
      </c>
      <c r="AC36" s="32"/>
      <c r="AD36" s="32"/>
      <c r="AE36" s="32"/>
      <c r="AN36" s="133" t="s">
        <v>1301</v>
      </c>
    </row>
    <row r="37" ht="90" hidden="1" customHeight="1" spans="1:40">
      <c r="A37" s="18">
        <v>12</v>
      </c>
      <c r="B37" s="19" t="s">
        <v>1302</v>
      </c>
      <c r="C37" s="18" t="s">
        <v>1303</v>
      </c>
      <c r="D37" s="29" t="s">
        <v>1304</v>
      </c>
      <c r="E37" s="21" t="s">
        <v>1305</v>
      </c>
      <c r="F37" s="22" t="s">
        <v>324</v>
      </c>
      <c r="G37" s="128" t="s">
        <v>1306</v>
      </c>
      <c r="H37" s="22" t="s">
        <v>1307</v>
      </c>
      <c r="I37" s="43" t="s">
        <v>1308</v>
      </c>
      <c r="J37" s="22" t="s">
        <v>1309</v>
      </c>
      <c r="K37" s="44" t="s">
        <v>1310</v>
      </c>
      <c r="L37" s="45">
        <v>45033</v>
      </c>
      <c r="M37" s="44">
        <v>45112</v>
      </c>
      <c r="N37" s="46" t="s">
        <v>317</v>
      </c>
      <c r="O37" s="54">
        <v>1.2</v>
      </c>
      <c r="P37" s="44">
        <v>45138</v>
      </c>
      <c r="Q37" s="44"/>
      <c r="R37" s="22" t="s">
        <v>445</v>
      </c>
      <c r="S37" s="68">
        <v>45114</v>
      </c>
      <c r="T37" s="68">
        <v>45114</v>
      </c>
      <c r="U37" s="68" t="s">
        <v>42</v>
      </c>
      <c r="V37" s="68">
        <v>45117</v>
      </c>
      <c r="W37" s="68">
        <v>45113</v>
      </c>
      <c r="X37" s="44" t="s">
        <v>195</v>
      </c>
      <c r="Z37" s="18" t="s">
        <v>1275</v>
      </c>
      <c r="AA37" s="72" t="s">
        <v>724</v>
      </c>
      <c r="AB37" s="72" t="s">
        <v>724</v>
      </c>
      <c r="AC37" s="76"/>
      <c r="AD37" s="32"/>
      <c r="AE37" s="32"/>
      <c r="AN37" s="133" t="s">
        <v>1311</v>
      </c>
    </row>
    <row r="38" s="3" customFormat="1" ht="90" customHeight="1" spans="1:40">
      <c r="A38" s="24">
        <v>13</v>
      </c>
      <c r="B38" s="25" t="s">
        <v>1312</v>
      </c>
      <c r="C38" s="24" t="s">
        <v>1313</v>
      </c>
      <c r="D38" s="31"/>
      <c r="E38" s="25" t="s">
        <v>1314</v>
      </c>
      <c r="F38" s="24" t="s">
        <v>1315</v>
      </c>
      <c r="G38" s="131" t="s">
        <v>1316</v>
      </c>
      <c r="H38" s="24" t="s">
        <v>1317</v>
      </c>
      <c r="I38" s="48" t="s">
        <v>1318</v>
      </c>
      <c r="J38" s="24" t="s">
        <v>1319</v>
      </c>
      <c r="K38" s="49" t="s">
        <v>1320</v>
      </c>
      <c r="L38" s="49">
        <v>45033</v>
      </c>
      <c r="M38" s="50">
        <v>45112</v>
      </c>
      <c r="N38" s="51" t="s">
        <v>317</v>
      </c>
      <c r="O38" s="52">
        <v>0.2</v>
      </c>
      <c r="P38" s="50">
        <v>45138</v>
      </c>
      <c r="Q38" s="50"/>
      <c r="R38" s="24" t="s">
        <v>445</v>
      </c>
      <c r="S38" s="70">
        <v>45114</v>
      </c>
      <c r="T38" s="70">
        <v>45114</v>
      </c>
      <c r="U38" s="70" t="s">
        <v>42</v>
      </c>
      <c r="V38" s="70">
        <v>45117</v>
      </c>
      <c r="W38" s="70">
        <v>45113</v>
      </c>
      <c r="X38" s="50" t="s">
        <v>195</v>
      </c>
      <c r="Z38" s="77"/>
      <c r="AA38" s="73" t="s">
        <v>1021</v>
      </c>
      <c r="AB38" s="78" t="s">
        <v>724</v>
      </c>
      <c r="AC38" s="79"/>
      <c r="AD38" s="75"/>
      <c r="AE38" s="75"/>
      <c r="AN38" s="136" t="s">
        <v>1322</v>
      </c>
    </row>
    <row r="39" ht="90" hidden="1" customHeight="1" spans="1:40">
      <c r="A39" s="18">
        <v>14</v>
      </c>
      <c r="B39" s="19" t="s">
        <v>1323</v>
      </c>
      <c r="C39" s="18" t="s">
        <v>1324</v>
      </c>
      <c r="D39" s="28" t="s">
        <v>1325</v>
      </c>
      <c r="E39" s="21" t="s">
        <v>1326</v>
      </c>
      <c r="F39" s="22" t="s">
        <v>324</v>
      </c>
      <c r="G39" s="128" t="s">
        <v>1327</v>
      </c>
      <c r="H39" s="22" t="s">
        <v>634</v>
      </c>
      <c r="I39" s="43" t="s">
        <v>1328</v>
      </c>
      <c r="J39" s="22" t="s">
        <v>1329</v>
      </c>
      <c r="K39" s="44" t="s">
        <v>1330</v>
      </c>
      <c r="L39" s="45">
        <v>45039</v>
      </c>
      <c r="M39" s="44">
        <v>45105</v>
      </c>
      <c r="N39" s="53" t="s">
        <v>317</v>
      </c>
      <c r="O39" s="54">
        <v>1.2</v>
      </c>
      <c r="P39" s="44">
        <v>45124</v>
      </c>
      <c r="Q39" s="44"/>
      <c r="R39" s="22" t="s">
        <v>392</v>
      </c>
      <c r="S39" s="68">
        <v>45107</v>
      </c>
      <c r="T39" s="68">
        <v>45113</v>
      </c>
      <c r="U39" s="68" t="s">
        <v>42</v>
      </c>
      <c r="V39" s="68">
        <v>45106</v>
      </c>
      <c r="W39" s="68">
        <v>45106</v>
      </c>
      <c r="X39" s="44" t="s">
        <v>195</v>
      </c>
      <c r="Z39" s="18" t="s">
        <v>1275</v>
      </c>
      <c r="AA39" s="72" t="s">
        <v>724</v>
      </c>
      <c r="AB39" s="72" t="s">
        <v>724</v>
      </c>
      <c r="AC39" s="76"/>
      <c r="AD39" s="32"/>
      <c r="AE39" s="32"/>
      <c r="AN39" s="133" t="s">
        <v>1331</v>
      </c>
    </row>
    <row r="40" ht="90" hidden="1" customHeight="1" spans="1:40">
      <c r="A40" s="18">
        <v>15</v>
      </c>
      <c r="B40" s="19" t="s">
        <v>1332</v>
      </c>
      <c r="C40" s="18" t="s">
        <v>1333</v>
      </c>
      <c r="D40" s="28"/>
      <c r="E40" s="21" t="s">
        <v>1334</v>
      </c>
      <c r="F40" s="22" t="s">
        <v>667</v>
      </c>
      <c r="G40" s="128" t="s">
        <v>1335</v>
      </c>
      <c r="H40" s="22" t="s">
        <v>1255</v>
      </c>
      <c r="I40" s="43" t="s">
        <v>1336</v>
      </c>
      <c r="J40" s="22" t="s">
        <v>1337</v>
      </c>
      <c r="K40" s="44" t="s">
        <v>1338</v>
      </c>
      <c r="L40" s="45">
        <v>45039</v>
      </c>
      <c r="M40" s="44">
        <v>45105</v>
      </c>
      <c r="N40" s="53" t="s">
        <v>317</v>
      </c>
      <c r="O40" s="54">
        <v>0.2</v>
      </c>
      <c r="P40" s="44">
        <v>45124</v>
      </c>
      <c r="Q40" s="44"/>
      <c r="R40" s="22" t="s">
        <v>392</v>
      </c>
      <c r="S40" s="68">
        <v>45107</v>
      </c>
      <c r="T40" s="68">
        <v>45113</v>
      </c>
      <c r="U40" s="68" t="s">
        <v>42</v>
      </c>
      <c r="V40" s="68">
        <v>45106</v>
      </c>
      <c r="W40" s="68">
        <v>45106</v>
      </c>
      <c r="X40" s="44" t="s">
        <v>195</v>
      </c>
      <c r="Z40" s="18" t="s">
        <v>1275</v>
      </c>
      <c r="AA40" s="72" t="s">
        <v>724</v>
      </c>
      <c r="AB40" s="72" t="s">
        <v>724</v>
      </c>
      <c r="AC40" s="76"/>
      <c r="AD40" s="32"/>
      <c r="AE40" s="32"/>
      <c r="AN40" s="133" t="s">
        <v>1339</v>
      </c>
    </row>
    <row r="41" ht="90" hidden="1" customHeight="1" spans="1:40">
      <c r="A41" s="18">
        <v>16</v>
      </c>
      <c r="B41" s="19" t="s">
        <v>1340</v>
      </c>
      <c r="C41" s="18" t="s">
        <v>1341</v>
      </c>
      <c r="D41" s="28"/>
      <c r="E41" s="21" t="s">
        <v>1342</v>
      </c>
      <c r="F41" s="22" t="s">
        <v>675</v>
      </c>
      <c r="G41" s="128" t="s">
        <v>1343</v>
      </c>
      <c r="H41" s="22" t="s">
        <v>1264</v>
      </c>
      <c r="I41" s="43" t="s">
        <v>1344</v>
      </c>
      <c r="J41" s="22" t="s">
        <v>1345</v>
      </c>
      <c r="K41" s="44" t="s">
        <v>1346</v>
      </c>
      <c r="L41" s="45">
        <v>45039</v>
      </c>
      <c r="M41" s="44">
        <v>45105</v>
      </c>
      <c r="N41" s="53" t="s">
        <v>317</v>
      </c>
      <c r="O41" s="54">
        <v>0.2</v>
      </c>
      <c r="P41" s="44">
        <v>45124</v>
      </c>
      <c r="Q41" s="44"/>
      <c r="R41" s="22" t="s">
        <v>392</v>
      </c>
      <c r="S41" s="68">
        <v>45107</v>
      </c>
      <c r="T41" s="68">
        <v>45113</v>
      </c>
      <c r="U41" s="68" t="s">
        <v>42</v>
      </c>
      <c r="V41" s="68">
        <v>45106</v>
      </c>
      <c r="W41" s="68">
        <v>45106</v>
      </c>
      <c r="X41" s="44" t="s">
        <v>195</v>
      </c>
      <c r="Z41" s="18" t="s">
        <v>1468</v>
      </c>
      <c r="AA41" s="72" t="s">
        <v>724</v>
      </c>
      <c r="AB41" s="72" t="s">
        <v>724</v>
      </c>
      <c r="AC41" s="76"/>
      <c r="AD41" s="32"/>
      <c r="AE41" s="32"/>
      <c r="AN41" s="133" t="s">
        <v>1347</v>
      </c>
    </row>
    <row r="42" ht="90" hidden="1" customHeight="1" spans="1:40">
      <c r="A42" s="18">
        <v>17</v>
      </c>
      <c r="B42" s="19" t="s">
        <v>1348</v>
      </c>
      <c r="C42" s="18" t="s">
        <v>1349</v>
      </c>
      <c r="D42" s="28" t="s">
        <v>1350</v>
      </c>
      <c r="E42" s="21" t="s">
        <v>331</v>
      </c>
      <c r="F42" s="22" t="s">
        <v>332</v>
      </c>
      <c r="G42" s="128" t="s">
        <v>1351</v>
      </c>
      <c r="H42" s="22" t="s">
        <v>1154</v>
      </c>
      <c r="I42" s="43" t="s">
        <v>1352</v>
      </c>
      <c r="J42" s="22" t="s">
        <v>1353</v>
      </c>
      <c r="K42" s="44" t="s">
        <v>1354</v>
      </c>
      <c r="L42" s="45">
        <v>45054</v>
      </c>
      <c r="M42" s="44">
        <v>45105</v>
      </c>
      <c r="N42" s="53" t="s">
        <v>317</v>
      </c>
      <c r="O42" s="54">
        <v>5</v>
      </c>
      <c r="P42" s="44">
        <v>45124</v>
      </c>
      <c r="Q42" s="44"/>
      <c r="R42" s="22" t="s">
        <v>392</v>
      </c>
      <c r="S42" s="68">
        <v>45107</v>
      </c>
      <c r="T42" s="68">
        <v>45113</v>
      </c>
      <c r="U42" s="68" t="s">
        <v>42</v>
      </c>
      <c r="V42" s="68">
        <v>45106</v>
      </c>
      <c r="W42" s="68">
        <v>45106</v>
      </c>
      <c r="X42" s="44" t="s">
        <v>195</v>
      </c>
      <c r="Z42" s="18" t="s">
        <v>1468</v>
      </c>
      <c r="AA42" s="72" t="s">
        <v>724</v>
      </c>
      <c r="AB42" s="72" t="s">
        <v>724</v>
      </c>
      <c r="AC42" s="76"/>
      <c r="AD42" s="32"/>
      <c r="AE42" s="32"/>
      <c r="AN42" s="133" t="s">
        <v>1355</v>
      </c>
    </row>
    <row r="43" ht="90" hidden="1" customHeight="1" spans="1:40">
      <c r="A43" s="18">
        <v>18</v>
      </c>
      <c r="B43" s="19" t="s">
        <v>1356</v>
      </c>
      <c r="C43" s="22" t="s">
        <v>1357</v>
      </c>
      <c r="D43" s="28" t="s">
        <v>1358</v>
      </c>
      <c r="E43" s="21" t="s">
        <v>1359</v>
      </c>
      <c r="F43" s="22" t="s">
        <v>332</v>
      </c>
      <c r="G43" s="128" t="s">
        <v>1360</v>
      </c>
      <c r="H43" s="22" t="s">
        <v>1361</v>
      </c>
      <c r="I43" s="43" t="s">
        <v>1362</v>
      </c>
      <c r="J43" s="22" t="s">
        <v>1363</v>
      </c>
      <c r="K43" s="44" t="s">
        <v>1364</v>
      </c>
      <c r="L43" s="45">
        <v>45077</v>
      </c>
      <c r="M43" s="44">
        <v>45153</v>
      </c>
      <c r="N43" s="53" t="s">
        <v>317</v>
      </c>
      <c r="O43" s="54">
        <v>10</v>
      </c>
      <c r="P43" s="44">
        <v>45159</v>
      </c>
      <c r="Q43" s="44"/>
      <c r="R43" s="22" t="s">
        <v>445</v>
      </c>
      <c r="S43" s="68">
        <v>45159</v>
      </c>
      <c r="T43" s="68">
        <v>45159</v>
      </c>
      <c r="U43" s="68" t="s">
        <v>42</v>
      </c>
      <c r="V43" s="68">
        <v>45154</v>
      </c>
      <c r="W43" s="68">
        <v>45154</v>
      </c>
      <c r="X43" s="44" t="s">
        <v>195</v>
      </c>
      <c r="Z43" s="18" t="s">
        <v>1468</v>
      </c>
      <c r="AA43" s="72" t="s">
        <v>724</v>
      </c>
      <c r="AB43" s="72" t="s">
        <v>724</v>
      </c>
      <c r="AC43" s="76"/>
      <c r="AD43" s="32"/>
      <c r="AE43" s="32"/>
      <c r="AN43" s="133" t="s">
        <v>1365</v>
      </c>
    </row>
    <row r="44" ht="90" hidden="1" customHeight="1" spans="1:40">
      <c r="A44" s="18">
        <v>19</v>
      </c>
      <c r="B44" s="19" t="s">
        <v>1366</v>
      </c>
      <c r="C44" s="18" t="s">
        <v>1367</v>
      </c>
      <c r="D44" s="28" t="s">
        <v>1368</v>
      </c>
      <c r="E44" s="21" t="s">
        <v>1369</v>
      </c>
      <c r="F44" s="22" t="s">
        <v>332</v>
      </c>
      <c r="G44" s="128" t="s">
        <v>1370</v>
      </c>
      <c r="H44" s="22" t="s">
        <v>1371</v>
      </c>
      <c r="I44" s="43" t="s">
        <v>1372</v>
      </c>
      <c r="J44" s="22" t="s">
        <v>1373</v>
      </c>
      <c r="K44" s="44" t="s">
        <v>1374</v>
      </c>
      <c r="L44" s="45">
        <v>45085</v>
      </c>
      <c r="M44" s="44">
        <v>45154</v>
      </c>
      <c r="N44" s="53" t="s">
        <v>317</v>
      </c>
      <c r="O44" s="54">
        <v>5</v>
      </c>
      <c r="P44" s="44">
        <v>45163</v>
      </c>
      <c r="Q44" s="44"/>
      <c r="R44" s="22" t="s">
        <v>392</v>
      </c>
      <c r="S44" s="68">
        <v>45156</v>
      </c>
      <c r="T44" s="68">
        <v>45159</v>
      </c>
      <c r="U44" s="68" t="s">
        <v>42</v>
      </c>
      <c r="V44" s="68">
        <v>45156</v>
      </c>
      <c r="W44" s="68">
        <v>45156</v>
      </c>
      <c r="X44" s="44" t="s">
        <v>195</v>
      </c>
      <c r="Z44" s="18" t="s">
        <v>1275</v>
      </c>
      <c r="AA44" s="72" t="s">
        <v>724</v>
      </c>
      <c r="AB44" s="72" t="s">
        <v>724</v>
      </c>
      <c r="AC44" s="76"/>
      <c r="AD44" s="32"/>
      <c r="AE44" s="32"/>
      <c r="AN44" s="133" t="s">
        <v>1375</v>
      </c>
    </row>
    <row r="45" ht="90" hidden="1" customHeight="1" spans="1:40">
      <c r="A45" s="18">
        <v>20</v>
      </c>
      <c r="B45" s="19" t="s">
        <v>1376</v>
      </c>
      <c r="C45" s="18" t="s">
        <v>1307</v>
      </c>
      <c r="D45" s="20" t="s">
        <v>1377</v>
      </c>
      <c r="E45" s="21" t="s">
        <v>1378</v>
      </c>
      <c r="F45" s="22" t="s">
        <v>324</v>
      </c>
      <c r="G45" s="128" t="s">
        <v>1379</v>
      </c>
      <c r="H45" s="22" t="s">
        <v>1307</v>
      </c>
      <c r="I45" s="43" t="s">
        <v>1380</v>
      </c>
      <c r="J45" s="22" t="s">
        <v>1381</v>
      </c>
      <c r="K45" s="44" t="s">
        <v>1382</v>
      </c>
      <c r="L45" s="45">
        <v>45092</v>
      </c>
      <c r="M45" s="44">
        <v>45180</v>
      </c>
      <c r="N45" s="46" t="s">
        <v>317</v>
      </c>
      <c r="O45" s="54">
        <v>1.2</v>
      </c>
      <c r="P45" s="44">
        <v>45189</v>
      </c>
      <c r="Q45" s="44"/>
      <c r="R45" s="22" t="s">
        <v>445</v>
      </c>
      <c r="S45" s="68">
        <v>45180</v>
      </c>
      <c r="T45" s="68">
        <v>45181</v>
      </c>
      <c r="U45" s="68" t="s">
        <v>42</v>
      </c>
      <c r="V45" s="68">
        <v>45180</v>
      </c>
      <c r="W45" s="68">
        <v>45180</v>
      </c>
      <c r="X45" s="44" t="s">
        <v>195</v>
      </c>
      <c r="Z45" s="18" t="s">
        <v>1275</v>
      </c>
      <c r="AA45" s="72" t="s">
        <v>724</v>
      </c>
      <c r="AB45" s="72" t="s">
        <v>724</v>
      </c>
      <c r="AC45" s="76"/>
      <c r="AD45" s="32"/>
      <c r="AE45" s="32"/>
      <c r="AN45" s="133" t="s">
        <v>1383</v>
      </c>
    </row>
    <row r="46" ht="90" hidden="1" customHeight="1" spans="1:40">
      <c r="A46" s="18">
        <v>21</v>
      </c>
      <c r="B46" s="19" t="s">
        <v>1384</v>
      </c>
      <c r="C46" s="18" t="s">
        <v>1307</v>
      </c>
      <c r="D46" s="23"/>
      <c r="E46" s="21" t="s">
        <v>1385</v>
      </c>
      <c r="F46" s="22" t="s">
        <v>667</v>
      </c>
      <c r="G46" s="128" t="s">
        <v>1386</v>
      </c>
      <c r="H46" s="22" t="s">
        <v>1307</v>
      </c>
      <c r="I46" s="43" t="s">
        <v>1387</v>
      </c>
      <c r="J46" s="22" t="s">
        <v>1388</v>
      </c>
      <c r="K46" s="44" t="s">
        <v>1389</v>
      </c>
      <c r="L46" s="45">
        <v>45092</v>
      </c>
      <c r="M46" s="44">
        <v>45180</v>
      </c>
      <c r="N46" s="46" t="s">
        <v>317</v>
      </c>
      <c r="O46" s="54">
        <v>0.2</v>
      </c>
      <c r="P46" s="44">
        <v>45189</v>
      </c>
      <c r="Q46" s="44"/>
      <c r="R46" s="22" t="s">
        <v>445</v>
      </c>
      <c r="S46" s="68">
        <v>45180</v>
      </c>
      <c r="T46" s="68">
        <v>45181</v>
      </c>
      <c r="U46" s="68" t="s">
        <v>42</v>
      </c>
      <c r="V46" s="68">
        <v>45180</v>
      </c>
      <c r="W46" s="68">
        <v>45180</v>
      </c>
      <c r="X46" s="44" t="s">
        <v>195</v>
      </c>
      <c r="Z46" s="18" t="s">
        <v>1275</v>
      </c>
      <c r="AA46" s="72" t="s">
        <v>724</v>
      </c>
      <c r="AB46" s="72" t="s">
        <v>724</v>
      </c>
      <c r="AC46" s="76"/>
      <c r="AD46" s="32"/>
      <c r="AE46" s="32"/>
      <c r="AN46" s="133" t="s">
        <v>1390</v>
      </c>
    </row>
    <row r="47" s="4" customFormat="1" ht="90" hidden="1" customHeight="1" spans="1:40">
      <c r="A47" s="22">
        <v>22</v>
      </c>
      <c r="B47" s="21" t="s">
        <v>1391</v>
      </c>
      <c r="C47" s="22" t="s">
        <v>1392</v>
      </c>
      <c r="D47" s="23" t="s">
        <v>1393</v>
      </c>
      <c r="E47" s="21" t="s">
        <v>1378</v>
      </c>
      <c r="F47" s="22" t="s">
        <v>324</v>
      </c>
      <c r="G47" s="128" t="s">
        <v>1379</v>
      </c>
      <c r="H47" s="22" t="s">
        <v>1294</v>
      </c>
      <c r="I47" s="43" t="s">
        <v>1394</v>
      </c>
      <c r="J47" s="22" t="s">
        <v>1395</v>
      </c>
      <c r="K47" s="44" t="s">
        <v>1396</v>
      </c>
      <c r="L47" s="45">
        <v>45126</v>
      </c>
      <c r="M47" s="44">
        <v>45208</v>
      </c>
      <c r="N47" s="53" t="s">
        <v>317</v>
      </c>
      <c r="O47" s="54">
        <v>5</v>
      </c>
      <c r="P47" s="44">
        <v>45222</v>
      </c>
      <c r="Q47" s="44"/>
      <c r="R47" s="22" t="s">
        <v>392</v>
      </c>
      <c r="S47" s="68">
        <v>45208</v>
      </c>
      <c r="T47" s="68">
        <v>45208</v>
      </c>
      <c r="U47" s="68" t="s">
        <v>42</v>
      </c>
      <c r="V47" s="68">
        <v>45209</v>
      </c>
      <c r="W47" s="68">
        <v>45208</v>
      </c>
      <c r="X47" s="44"/>
      <c r="Z47" s="22"/>
      <c r="AA47" s="72" t="s">
        <v>724</v>
      </c>
      <c r="AB47" s="72" t="s">
        <v>724</v>
      </c>
      <c r="AC47" s="57"/>
      <c r="AD47" s="57"/>
      <c r="AE47" s="57"/>
      <c r="AN47" s="133" t="s">
        <v>1398</v>
      </c>
    </row>
    <row r="48" s="4" customFormat="1" ht="90" hidden="1" customHeight="1" spans="1:40">
      <c r="A48" s="22">
        <v>23</v>
      </c>
      <c r="B48" s="21" t="s">
        <v>1399</v>
      </c>
      <c r="C48" s="22" t="s">
        <v>1400</v>
      </c>
      <c r="D48" s="23" t="s">
        <v>1401</v>
      </c>
      <c r="E48" s="21" t="s">
        <v>1402</v>
      </c>
      <c r="F48" s="22" t="s">
        <v>332</v>
      </c>
      <c r="G48" s="128" t="s">
        <v>1403</v>
      </c>
      <c r="H48" s="22" t="s">
        <v>1145</v>
      </c>
      <c r="I48" s="43" t="s">
        <v>1404</v>
      </c>
      <c r="J48" s="22" t="s">
        <v>1405</v>
      </c>
      <c r="K48" s="44" t="s">
        <v>1406</v>
      </c>
      <c r="L48" s="45">
        <v>45131</v>
      </c>
      <c r="M48" s="44">
        <v>45219</v>
      </c>
      <c r="N48" s="53" t="s">
        <v>317</v>
      </c>
      <c r="O48" s="54">
        <v>10</v>
      </c>
      <c r="P48" s="44">
        <v>45237</v>
      </c>
      <c r="Q48" s="44"/>
      <c r="R48" s="22" t="s">
        <v>445</v>
      </c>
      <c r="S48" s="68">
        <v>45222</v>
      </c>
      <c r="T48" s="68">
        <v>45222</v>
      </c>
      <c r="U48" s="68" t="s">
        <v>42</v>
      </c>
      <c r="V48" s="68">
        <v>45223</v>
      </c>
      <c r="W48" s="68">
        <v>45222</v>
      </c>
      <c r="X48" s="44"/>
      <c r="Z48" s="22"/>
      <c r="AA48" s="24"/>
      <c r="AB48" s="24"/>
      <c r="AC48" s="57"/>
      <c r="AD48" s="57"/>
      <c r="AE48" s="57"/>
      <c r="AN48" s="133" t="s">
        <v>1407</v>
      </c>
    </row>
    <row r="49" s="4" customFormat="1" ht="90" hidden="1" customHeight="1" spans="1:40">
      <c r="A49" s="22">
        <v>24</v>
      </c>
      <c r="B49" s="21" t="s">
        <v>1408</v>
      </c>
      <c r="C49" s="22" t="s">
        <v>576</v>
      </c>
      <c r="D49" s="27" t="s">
        <v>1409</v>
      </c>
      <c r="E49" s="21" t="s">
        <v>1410</v>
      </c>
      <c r="F49" s="22" t="s">
        <v>332</v>
      </c>
      <c r="G49" s="128" t="s">
        <v>1411</v>
      </c>
      <c r="H49" s="22" t="s">
        <v>576</v>
      </c>
      <c r="I49" s="43" t="s">
        <v>1412</v>
      </c>
      <c r="J49" s="22" t="s">
        <v>1413</v>
      </c>
      <c r="K49" s="44" t="s">
        <v>1414</v>
      </c>
      <c r="L49" s="45">
        <v>45135</v>
      </c>
      <c r="M49" s="44">
        <v>45219</v>
      </c>
      <c r="N49" s="53" t="s">
        <v>317</v>
      </c>
      <c r="O49" s="54">
        <v>1.2</v>
      </c>
      <c r="P49" s="44">
        <v>45236</v>
      </c>
      <c r="Q49" s="44"/>
      <c r="R49" s="22" t="s">
        <v>445</v>
      </c>
      <c r="S49" s="68">
        <v>45222</v>
      </c>
      <c r="T49" s="68">
        <v>45222</v>
      </c>
      <c r="U49" s="68" t="s">
        <v>42</v>
      </c>
      <c r="V49" s="68">
        <v>45223</v>
      </c>
      <c r="W49" s="68">
        <v>45222</v>
      </c>
      <c r="X49" s="44"/>
      <c r="Z49" s="22"/>
      <c r="AA49" s="72" t="s">
        <v>724</v>
      </c>
      <c r="AB49" s="72" t="s">
        <v>724</v>
      </c>
      <c r="AC49" s="57"/>
      <c r="AD49" s="57"/>
      <c r="AE49" s="57"/>
      <c r="AN49" s="133" t="s">
        <v>1415</v>
      </c>
    </row>
    <row r="50" s="4" customFormat="1" ht="90" hidden="1" customHeight="1" spans="1:40">
      <c r="A50" s="22">
        <v>25</v>
      </c>
      <c r="B50" s="21" t="s">
        <v>1416</v>
      </c>
      <c r="C50" s="22" t="s">
        <v>1417</v>
      </c>
      <c r="D50" s="27"/>
      <c r="E50" s="21" t="s">
        <v>1418</v>
      </c>
      <c r="F50" s="22" t="s">
        <v>425</v>
      </c>
      <c r="G50" s="128" t="s">
        <v>1419</v>
      </c>
      <c r="H50" s="22" t="s">
        <v>1417</v>
      </c>
      <c r="I50" s="43" t="s">
        <v>1420</v>
      </c>
      <c r="J50" s="22" t="s">
        <v>1421</v>
      </c>
      <c r="K50" s="44" t="s">
        <v>1422</v>
      </c>
      <c r="L50" s="45">
        <v>45135</v>
      </c>
      <c r="M50" s="44">
        <v>45219</v>
      </c>
      <c r="N50" s="53" t="s">
        <v>317</v>
      </c>
      <c r="O50" s="54">
        <v>0.2</v>
      </c>
      <c r="P50" s="44">
        <v>45236</v>
      </c>
      <c r="Q50" s="44"/>
      <c r="R50" s="22" t="s">
        <v>445</v>
      </c>
      <c r="S50" s="68">
        <v>45222</v>
      </c>
      <c r="T50" s="68">
        <v>45222</v>
      </c>
      <c r="U50" s="68" t="s">
        <v>42</v>
      </c>
      <c r="V50" s="68">
        <v>45223</v>
      </c>
      <c r="W50" s="68">
        <v>45222</v>
      </c>
      <c r="X50" s="44"/>
      <c r="Z50" s="22"/>
      <c r="AA50" s="72" t="s">
        <v>724</v>
      </c>
      <c r="AB50" s="72" t="s">
        <v>724</v>
      </c>
      <c r="AC50" s="57"/>
      <c r="AD50" s="57"/>
      <c r="AE50" s="57"/>
      <c r="AN50" s="133" t="s">
        <v>1423</v>
      </c>
    </row>
    <row r="51" s="4" customFormat="1" ht="90" hidden="1" customHeight="1" spans="1:40">
      <c r="A51" s="22">
        <v>26</v>
      </c>
      <c r="B51" s="21" t="s">
        <v>1424</v>
      </c>
      <c r="C51" s="22" t="s">
        <v>1425</v>
      </c>
      <c r="D51" s="23"/>
      <c r="E51" s="21" t="s">
        <v>1426</v>
      </c>
      <c r="F51" s="22" t="s">
        <v>432</v>
      </c>
      <c r="G51" s="128" t="s">
        <v>1427</v>
      </c>
      <c r="H51" s="22" t="s">
        <v>1425</v>
      </c>
      <c r="I51" s="43" t="s">
        <v>1428</v>
      </c>
      <c r="J51" s="22" t="s">
        <v>1429</v>
      </c>
      <c r="K51" s="44" t="s">
        <v>1430</v>
      </c>
      <c r="L51" s="45">
        <v>45135</v>
      </c>
      <c r="M51" s="44">
        <v>45219</v>
      </c>
      <c r="N51" s="53" t="s">
        <v>317</v>
      </c>
      <c r="O51" s="54">
        <v>0.2</v>
      </c>
      <c r="P51" s="44">
        <v>45236</v>
      </c>
      <c r="Q51" s="44"/>
      <c r="R51" s="22" t="s">
        <v>445</v>
      </c>
      <c r="S51" s="68">
        <v>45222</v>
      </c>
      <c r="T51" s="68">
        <v>45222</v>
      </c>
      <c r="U51" s="68" t="s">
        <v>42</v>
      </c>
      <c r="V51" s="68">
        <v>45223</v>
      </c>
      <c r="W51" s="68">
        <v>45222</v>
      </c>
      <c r="X51" s="44"/>
      <c r="Z51" s="22"/>
      <c r="AA51" s="72" t="s">
        <v>724</v>
      </c>
      <c r="AB51" s="72" t="s">
        <v>724</v>
      </c>
      <c r="AC51" s="57"/>
      <c r="AD51" s="57"/>
      <c r="AE51" s="57"/>
      <c r="AN51" s="133" t="s">
        <v>1431</v>
      </c>
    </row>
    <row r="52" hidden="1" spans="1:31">
      <c r="A52" s="18"/>
      <c r="B52" s="19"/>
      <c r="C52" s="18" t="str">
        <f>_xlfn.CONCAT(E52,H52,"行政处罚案")</f>
        <v>行政处罚案</v>
      </c>
      <c r="D52" s="28"/>
      <c r="E52" s="21"/>
      <c r="F52" s="22"/>
      <c r="G52" s="22"/>
      <c r="H52" s="22"/>
      <c r="I52" s="43"/>
      <c r="J52" s="22"/>
      <c r="K52" s="44"/>
      <c r="L52" s="45"/>
      <c r="M52" s="44"/>
      <c r="N52" s="53"/>
      <c r="O52" s="47"/>
      <c r="P52" s="44"/>
      <c r="Q52" s="44"/>
      <c r="R52" s="22"/>
      <c r="S52" s="68"/>
      <c r="T52" s="22"/>
      <c r="U52" s="22"/>
      <c r="V52" s="22"/>
      <c r="W52" s="69"/>
      <c r="X52" s="44"/>
      <c r="Z52" s="18"/>
      <c r="AA52" s="18"/>
      <c r="AB52" s="18"/>
      <c r="AC52" s="32"/>
      <c r="AD52" s="32"/>
      <c r="AE52" s="32"/>
    </row>
    <row r="53" ht="30" hidden="1" customHeight="1" spans="1:24">
      <c r="A53" s="32"/>
      <c r="B53" s="33"/>
      <c r="C53" s="34"/>
      <c r="D53" s="34"/>
      <c r="E53" s="32"/>
      <c r="F53" s="32"/>
      <c r="G53" s="32"/>
      <c r="H53" s="32"/>
      <c r="I53" s="56"/>
      <c r="J53" s="56"/>
      <c r="K53" s="57"/>
      <c r="L53" s="58" t="s">
        <v>1456</v>
      </c>
      <c r="M53" s="59" t="s">
        <v>1457</v>
      </c>
      <c r="N53" s="60"/>
      <c r="O53" s="61" t="s">
        <v>1458</v>
      </c>
      <c r="P53" s="58" t="s">
        <v>1459</v>
      </c>
      <c r="Q53" s="58"/>
      <c r="R53" s="32"/>
      <c r="S53" s="71"/>
      <c r="T53" s="32"/>
      <c r="U53" s="32"/>
      <c r="V53" s="32"/>
      <c r="W53" s="32"/>
      <c r="X53" s="58"/>
    </row>
    <row r="54" ht="30" hidden="1" customHeight="1" spans="1:24">
      <c r="A54" s="32"/>
      <c r="B54" s="33"/>
      <c r="C54" s="34"/>
      <c r="D54" s="34"/>
      <c r="E54" s="32"/>
      <c r="F54" s="32"/>
      <c r="G54" s="32"/>
      <c r="H54" s="32"/>
      <c r="I54" s="56"/>
      <c r="J54" s="56"/>
      <c r="K54" s="62" t="s">
        <v>1460</v>
      </c>
      <c r="L54" s="63">
        <v>0</v>
      </c>
      <c r="M54" s="64">
        <v>0</v>
      </c>
      <c r="N54" s="64"/>
      <c r="O54" s="65">
        <v>0</v>
      </c>
      <c r="P54" s="63">
        <v>0</v>
      </c>
      <c r="Q54" s="58"/>
      <c r="R54" s="32"/>
      <c r="S54" s="71"/>
      <c r="T54" s="32"/>
      <c r="U54" s="32"/>
      <c r="V54" s="32"/>
      <c r="W54" s="32"/>
      <c r="X54" s="58"/>
    </row>
    <row r="55" ht="30" hidden="1" customHeight="1" spans="1:24">
      <c r="A55" s="32"/>
      <c r="B55" s="33"/>
      <c r="C55" s="34"/>
      <c r="D55" s="34"/>
      <c r="E55" s="32"/>
      <c r="F55" s="32"/>
      <c r="G55" s="32"/>
      <c r="H55" s="32"/>
      <c r="I55" s="56"/>
      <c r="J55" s="56"/>
      <c r="K55" s="62" t="s">
        <v>1461</v>
      </c>
      <c r="L55" s="63">
        <f>COUNTA(L26:L52)</f>
        <v>26</v>
      </c>
      <c r="M55" s="64">
        <f>COUNTA(M26:M52)</f>
        <v>26</v>
      </c>
      <c r="N55" s="64"/>
      <c r="O55" s="65">
        <f>SUM(O26:O52)</f>
        <v>84.2</v>
      </c>
      <c r="P55" s="63">
        <f>COUNTA(P26:P52)</f>
        <v>26</v>
      </c>
      <c r="Q55" s="58"/>
      <c r="R55" s="32"/>
      <c r="S55" s="71"/>
      <c r="T55" s="32"/>
      <c r="U55" s="32"/>
      <c r="V55" s="32"/>
      <c r="W55" s="32"/>
      <c r="X55" s="58"/>
    </row>
    <row r="56" ht="30" hidden="1" customHeight="1" spans="1:24">
      <c r="A56" s="32"/>
      <c r="B56" s="33"/>
      <c r="C56" s="34"/>
      <c r="D56" s="34"/>
      <c r="E56" s="32"/>
      <c r="F56" s="32"/>
      <c r="G56" s="32"/>
      <c r="H56" s="32"/>
      <c r="I56" s="56"/>
      <c r="J56" s="56"/>
      <c r="K56" s="62" t="s">
        <v>277</v>
      </c>
      <c r="L56" s="63">
        <f t="shared" ref="L56:P56" si="0">SUM(L54:L55)</f>
        <v>26</v>
      </c>
      <c r="M56" s="64">
        <f t="shared" si="0"/>
        <v>26</v>
      </c>
      <c r="N56" s="64"/>
      <c r="O56" s="65">
        <f t="shared" si="0"/>
        <v>84.2</v>
      </c>
      <c r="P56" s="63">
        <f t="shared" si="0"/>
        <v>26</v>
      </c>
      <c r="Q56" s="58"/>
      <c r="R56" s="32"/>
      <c r="S56" s="71"/>
      <c r="T56" s="32"/>
      <c r="U56" s="32"/>
      <c r="V56" s="32"/>
      <c r="W56" s="32"/>
      <c r="X56" s="58"/>
    </row>
  </sheetData>
  <autoFilter ref="A2:AN56">
    <filterColumn colId="4">
      <colorFilter dxfId="1"/>
    </filterColumn>
    <extLst/>
  </autoFilter>
  <mergeCells count="13">
    <mergeCell ref="A1:P1"/>
    <mergeCell ref="D3:D4"/>
    <mergeCell ref="D6:D8"/>
    <mergeCell ref="D11:D12"/>
    <mergeCell ref="D13:D16"/>
    <mergeCell ref="D24:D25"/>
    <mergeCell ref="D27:D29"/>
    <mergeCell ref="D30:D32"/>
    <mergeCell ref="D34:D35"/>
    <mergeCell ref="D37:D38"/>
    <mergeCell ref="D39:D41"/>
    <mergeCell ref="D45:D46"/>
    <mergeCell ref="D49:D51"/>
  </mergeCells>
  <conditionalFormatting sqref="V10">
    <cfRule type="timePeriod" dxfId="0" priority="41" timePeriod="tomorrow">
      <formula>FLOOR(V10,1)=TODAY()+1</formula>
    </cfRule>
  </conditionalFormatting>
  <conditionalFormatting sqref="S18">
    <cfRule type="timePeriod" dxfId="0" priority="38" timePeriod="tomorrow">
      <formula>FLOOR(S18,1)=TODAY()+1</formula>
    </cfRule>
  </conditionalFormatting>
  <conditionalFormatting sqref="T18">
    <cfRule type="timePeriod" dxfId="0" priority="37" timePeriod="tomorrow">
      <formula>FLOOR(T18,1)=TODAY()+1</formula>
    </cfRule>
  </conditionalFormatting>
  <conditionalFormatting sqref="T19">
    <cfRule type="timePeriod" dxfId="0" priority="30" timePeriod="tomorrow">
      <formula>FLOOR(T19,1)=TODAY()+1</formula>
    </cfRule>
  </conditionalFormatting>
  <conditionalFormatting sqref="S21">
    <cfRule type="timePeriod" dxfId="0" priority="31" timePeriod="tomorrow">
      <formula>FLOOR(S21,1)=TODAY()+1</formula>
    </cfRule>
  </conditionalFormatting>
  <conditionalFormatting sqref="T21">
    <cfRule type="timePeriod" dxfId="0" priority="29" timePeriod="tomorrow">
      <formula>FLOOR(T21,1)=TODAY()+1</formula>
    </cfRule>
  </conditionalFormatting>
  <conditionalFormatting sqref="V21">
    <cfRule type="timePeriod" dxfId="0" priority="39" timePeriod="tomorrow">
      <formula>FLOOR(V21,1)=TODAY()+1</formula>
    </cfRule>
  </conditionalFormatting>
  <conditionalFormatting sqref="W21">
    <cfRule type="timePeriod" dxfId="0" priority="40" timePeriod="tomorrow">
      <formula>FLOOR(W21,1)=TODAY()+1</formula>
    </cfRule>
  </conditionalFormatting>
  <conditionalFormatting sqref="S23">
    <cfRule type="timePeriod" dxfId="0" priority="36" timePeriod="tomorrow">
      <formula>FLOOR(S23,1)=TODAY()+1</formula>
    </cfRule>
  </conditionalFormatting>
  <conditionalFormatting sqref="T23">
    <cfRule type="timePeriod" dxfId="0" priority="26" timePeriod="tomorrow">
      <formula>FLOOR(T23,1)=TODAY()+1</formula>
    </cfRule>
  </conditionalFormatting>
  <conditionalFormatting sqref="U23">
    <cfRule type="timePeriod" dxfId="0" priority="33" timePeriod="tomorrow">
      <formula>FLOOR(U23,1)=TODAY()+1</formula>
    </cfRule>
    <cfRule type="timePeriod" dxfId="0" priority="34" timePeriod="tomorrow">
      <formula>FLOOR(U23,1)=TODAY()+1</formula>
    </cfRule>
  </conditionalFormatting>
  <conditionalFormatting sqref="V23">
    <cfRule type="timePeriod" dxfId="0" priority="25" timePeriod="tomorrow">
      <formula>FLOOR(V23,1)=TODAY()+1</formula>
    </cfRule>
  </conditionalFormatting>
  <conditionalFormatting sqref="W23">
    <cfRule type="timePeriod" dxfId="0" priority="35" timePeriod="tomorrow">
      <formula>FLOOR(W23,1)=TODAY()+1</formula>
    </cfRule>
  </conditionalFormatting>
  <conditionalFormatting sqref="T24">
    <cfRule type="timePeriod" dxfId="0" priority="28" timePeriod="tomorrow">
      <formula>FLOOR(T24,1)=TODAY()+1</formula>
    </cfRule>
  </conditionalFormatting>
  <conditionalFormatting sqref="T33">
    <cfRule type="timePeriod" dxfId="0" priority="18" timePeriod="tomorrow">
      <formula>FLOOR(T33,1)=TODAY()+1</formula>
    </cfRule>
  </conditionalFormatting>
  <conditionalFormatting sqref="V33">
    <cfRule type="timePeriod" dxfId="0" priority="16" timePeriod="tomorrow">
      <formula>FLOOR(V33,1)=TODAY()+1</formula>
    </cfRule>
  </conditionalFormatting>
  <conditionalFormatting sqref="T37">
    <cfRule type="timePeriod" dxfId="0" priority="7" timePeriod="tomorrow">
      <formula>FLOOR(T37,1)=TODAY()+1</formula>
    </cfRule>
  </conditionalFormatting>
  <conditionalFormatting sqref="S38:T38">
    <cfRule type="timePeriod" dxfId="0" priority="6" timePeriod="tomorrow">
      <formula>FLOOR(S38,1)=TODAY()+1</formula>
    </cfRule>
  </conditionalFormatting>
  <conditionalFormatting sqref="S40">
    <cfRule type="timePeriod" dxfId="0" priority="13" timePeriod="tomorrow">
      <formula>FLOOR(S40,1)=TODAY()+1</formula>
    </cfRule>
  </conditionalFormatting>
  <conditionalFormatting sqref="T40">
    <cfRule type="timePeriod" dxfId="0" priority="10" timePeriod="tomorrow">
      <formula>FLOOR(T40,1)=TODAY()+1</formula>
    </cfRule>
  </conditionalFormatting>
  <conditionalFormatting sqref="S41">
    <cfRule type="timePeriod" dxfId="0" priority="12" timePeriod="tomorrow">
      <formula>FLOOR(S41,1)=TODAY()+1</formula>
    </cfRule>
  </conditionalFormatting>
  <conditionalFormatting sqref="T41">
    <cfRule type="timePeriod" dxfId="0" priority="9" timePeriod="tomorrow">
      <formula>FLOOR(T41,1)=TODAY()+1</formula>
    </cfRule>
  </conditionalFormatting>
  <conditionalFormatting sqref="S42">
    <cfRule type="timePeriod" dxfId="0" priority="11" timePeriod="tomorrow">
      <formula>FLOOR(S42,1)=TODAY()+1</formula>
    </cfRule>
  </conditionalFormatting>
  <conditionalFormatting sqref="T42">
    <cfRule type="timePeriod" dxfId="0" priority="8" timePeriod="tomorrow">
      <formula>FLOOR(T42,1)=TODAY()+1</formula>
    </cfRule>
  </conditionalFormatting>
  <conditionalFormatting sqref="S34:S35">
    <cfRule type="timePeriod" dxfId="0" priority="19" timePeriod="tomorrow">
      <formula>FLOOR(S34,1)=TODAY()+1</formula>
    </cfRule>
  </conditionalFormatting>
  <conditionalFormatting sqref="S45:S46">
    <cfRule type="timePeriod" dxfId="0" priority="4" timePeriod="tomorrow">
      <formula>FLOOR(S45,1)=TODAY()+1</formula>
    </cfRule>
  </conditionalFormatting>
  <conditionalFormatting sqref="T27:T29">
    <cfRule type="timePeriod" dxfId="0" priority="23" timePeriod="tomorrow">
      <formula>FLOOR(T27,1)=TODAY()+1</formula>
    </cfRule>
  </conditionalFormatting>
  <conditionalFormatting sqref="T30:T32">
    <cfRule type="timePeriod" dxfId="0" priority="22" timePeriod="tomorrow">
      <formula>FLOOR(T30,1)=TODAY()+1</formula>
    </cfRule>
  </conditionalFormatting>
  <conditionalFormatting sqref="T34:T35">
    <cfRule type="timePeriod" dxfId="0" priority="17" timePeriod="tomorrow">
      <formula>FLOOR(T34,1)=TODAY()+1</formula>
    </cfRule>
  </conditionalFormatting>
  <conditionalFormatting sqref="T48:T51">
    <cfRule type="timePeriod" dxfId="0" priority="3" timePeriod="tomorrow">
      <formula>FLOOR(T48,1)=TODAY()+1</formula>
    </cfRule>
  </conditionalFormatting>
  <conditionalFormatting sqref="V6:V8">
    <cfRule type="timePeriod" dxfId="0" priority="44" timePeriod="tomorrow">
      <formula>FLOOR(V6,1)=TODAY()+1</formula>
    </cfRule>
  </conditionalFormatting>
  <conditionalFormatting sqref="V11:V12">
    <cfRule type="timePeriod" dxfId="0" priority="43" timePeriod="tomorrow">
      <formula>FLOOR(V11,1)=TODAY()+1</formula>
    </cfRule>
  </conditionalFormatting>
  <conditionalFormatting sqref="V27:V29">
    <cfRule type="timePeriod" dxfId="0" priority="24" timePeriod="tomorrow">
      <formula>FLOOR(V27,1)=TODAY()+1</formula>
    </cfRule>
  </conditionalFormatting>
  <conditionalFormatting sqref="V30:V32">
    <cfRule type="timePeriod" dxfId="0" priority="20" timePeriod="tomorrow">
      <formula>FLOOR(V30,1)=TODAY()+1</formula>
    </cfRule>
  </conditionalFormatting>
  <conditionalFormatting sqref="V34:V35">
    <cfRule type="timePeriod" dxfId="0" priority="15" timePeriod="tomorrow">
      <formula>FLOOR(V34,1)=TODAY()+1</formula>
    </cfRule>
  </conditionalFormatting>
  <conditionalFormatting sqref="V39:V42">
    <cfRule type="timePeriod" dxfId="0" priority="14" timePeriod="tomorrow">
      <formula>FLOOR(V39,1)=TODAY()+1</formula>
    </cfRule>
  </conditionalFormatting>
  <conditionalFormatting sqref="V45:V46">
    <cfRule type="timePeriod" dxfId="0" priority="5" timePeriod="tomorrow">
      <formula>FLOOR(V45,1)=TODAY()+1</formula>
    </cfRule>
  </conditionalFormatting>
  <conditionalFormatting sqref="V48:V51">
    <cfRule type="timePeriod" dxfId="0" priority="2" timePeriod="tomorrow">
      <formula>FLOOR(V48,1)=TODAY()+1</formula>
    </cfRule>
  </conditionalFormatting>
  <conditionalFormatting sqref="W30:W32">
    <cfRule type="timePeriod" dxfId="0" priority="21" timePeriod="tomorrow">
      <formula>FLOOR(W30,1)=TODAY()+1</formula>
    </cfRule>
  </conditionalFormatting>
  <conditionalFormatting sqref="W48:W51">
    <cfRule type="timePeriod" dxfId="0" priority="1" timePeriod="tomorrow">
      <formula>FLOOR(W48,1)=TODAY()+1</formula>
    </cfRule>
  </conditionalFormatting>
  <conditionalFormatting sqref="S1:V2 S3:S10 S43:S44 S47:S51 S13:S17 S39 S36:S37 S24:S33 S22 S19:S20 S52:V1048576">
    <cfRule type="timePeriod" dxfId="0" priority="67" timePeriod="tomorrow">
      <formula>FLOOR(S1,1)=TODAY()+1</formula>
    </cfRule>
  </conditionalFormatting>
  <conditionalFormatting sqref="T22 T20 T13:T17 T3:T10">
    <cfRule type="timePeriod" dxfId="0" priority="45" timePeriod="tomorrow">
      <formula>FLOOR(T3,1)=TODAY()+1</formula>
    </cfRule>
  </conditionalFormatting>
  <conditionalFormatting sqref="U24:U51 U3:U22">
    <cfRule type="timePeriod" dxfId="0" priority="63" timePeriod="tomorrow">
      <formula>FLOOR(U3,1)=TODAY()+1</formula>
    </cfRule>
    <cfRule type="timePeriod" dxfId="0" priority="64" timePeriod="tomorrow">
      <formula>FLOOR(U3,1)=TODAY()+1</formula>
    </cfRule>
  </conditionalFormatting>
  <conditionalFormatting sqref="V22 V13:V20 V9 V3:V5">
    <cfRule type="timePeriod" dxfId="0" priority="61" timePeriod="tomorrow">
      <formula>FLOOR(V3,1)=TODAY()+1</formula>
    </cfRule>
  </conditionalFormatting>
  <conditionalFormatting sqref="W3:W20 W33:W47 W24:W29 W22 W52">
    <cfRule type="timePeriod" dxfId="0" priority="66" timePeriod="tomorrow">
      <formula>FLOOR(W3,1)=TODAY()+1</formula>
    </cfRule>
  </conditionalFormatting>
  <conditionalFormatting sqref="S11:T12">
    <cfRule type="timePeriod" dxfId="0" priority="42" timePeriod="tomorrow">
      <formula>FLOOR(S11,1)=TODAY()+1</formula>
    </cfRule>
  </conditionalFormatting>
  <conditionalFormatting sqref="V24:V26 V43:V44 V47 V36:V38">
    <cfRule type="timePeriod" dxfId="0" priority="32" timePeriod="tomorrow">
      <formula>FLOOR(V24,1)=TODAY()+1</formula>
    </cfRule>
  </conditionalFormatting>
  <conditionalFormatting sqref="T25:T26 T43:T47 T39 T36">
    <cfRule type="timePeriod" dxfId="0" priority="27" timePeriod="tomorrow">
      <formula>FLOOR(T25,1)=TODAY()+1</formula>
    </cfRule>
  </conditionalFormatting>
  <printOptions horizontalCentered="1"/>
  <pageMargins left="0.751388888888889" right="0.751388888888889" top="0.802777777777778" bottom="0.802777777777778" header="0.511805555555556" footer="0.511805555555556"/>
  <pageSetup paperSize="9" scale="57" fitToHeight="0" orientation="portrait" horizontalDpi="600"/>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4</vt:i4>
      </vt:variant>
    </vt:vector>
  </HeadingPairs>
  <TitlesOfParts>
    <vt:vector size="4" baseType="lpstr">
      <vt:lpstr>行政检查</vt:lpstr>
      <vt:lpstr>行政处罚</vt: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邱礼聪</dc:creator>
  <cp:lastModifiedBy>张秋敏</cp:lastModifiedBy>
  <dcterms:created xsi:type="dcterms:W3CDTF">2021-05-17T22:10:00Z</dcterms:created>
  <dcterms:modified xsi:type="dcterms:W3CDTF">2023-12-29T06:20:01Z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2052-11.8.2.9022</vt:lpwstr>
  </property>
  <property fmtid="{D5CDD505-2E9C-101B-9397-08002B2CF9AE}" pid="3" name="ICV">
    <vt:lpwstr>F0EC109AB925439997E17BA4A51872B2</vt:lpwstr>
  </property>
</Properties>
</file>