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bookViews>
    <workbookView windowWidth="28800" windowHeight="12465" activeTab="1"/>
  </bookViews>
  <sheets>
    <sheet name="行政检查" sheetId="2" r:id="rId1"/>
    <sheet name="行政处罚" sheetId="1" r:id="rId2"/>
    <sheet name="Sheet1" sheetId="3" r:id="rId3"/>
  </sheets>
  <definedNames>
    <definedName name="_xlnm._FilterDatabase" localSheetId="0" hidden="1">行政检查!$A$2:$AA$30</definedName>
    <definedName name="_xlnm._FilterDatabase" localSheetId="1" hidden="1">行政处罚!$A$2:$Z$151</definedName>
    <definedName name="_xlnm.Print_Titles" localSheetId="1">行政处罚!$2:$2</definedName>
  </definedNames>
  <calcPr calcId="144525"/>
</workbook>
</file>

<file path=xl/sharedStrings.xml><?xml version="1.0" encoding="utf-8"?>
<sst xmlns="http://schemas.openxmlformats.org/spreadsheetml/2006/main" count="2654" uniqueCount="1276">
  <si>
    <t>南山区安监站行政检查台账</t>
  </si>
  <si>
    <t>序号</t>
  </si>
  <si>
    <t>检查编号
（司法局系统）</t>
  </si>
  <si>
    <t>案卷名称</t>
  </si>
  <si>
    <t>涉案项目名称</t>
  </si>
  <si>
    <t>检查对象企业名称/人员名称</t>
  </si>
  <si>
    <t>企业（人员）编码</t>
  </si>
  <si>
    <t>地址*</t>
  </si>
  <si>
    <t>现场联系人</t>
  </si>
  <si>
    <t>联系电话</t>
  </si>
  <si>
    <t>所属区</t>
  </si>
  <si>
    <t>所属街道</t>
  </si>
  <si>
    <t>检查内容</t>
  </si>
  <si>
    <t>检查结果</t>
  </si>
  <si>
    <t>登记书文号</t>
  </si>
  <si>
    <t>检查日期</t>
  </si>
  <si>
    <t>发现问题</t>
  </si>
  <si>
    <t>处罚措施</t>
  </si>
  <si>
    <t>处罚文书号</t>
  </si>
  <si>
    <t>处罚文书决定日期</t>
  </si>
  <si>
    <t>结案日期</t>
  </si>
  <si>
    <t>监督组</t>
  </si>
  <si>
    <t>省执法公示
（20个工作日）</t>
  </si>
  <si>
    <t>结果报送区司法局/局法制科（5日内）</t>
  </si>
  <si>
    <t>市司法系统
（7个自然日）</t>
  </si>
  <si>
    <t>区政府在线公开栏目</t>
  </si>
  <si>
    <t>市市管局双随机监管平台</t>
  </si>
  <si>
    <t>抽查情况</t>
  </si>
  <si>
    <t>11440305007542160G20201000014</t>
  </si>
  <si>
    <t>双随机一公开行政检查深圳市望海路微波山隧道工程施工安全</t>
  </si>
  <si>
    <t>深圳市望海路微波山隧道工程</t>
  </si>
  <si>
    <t>中建三局集团有限公司</t>
  </si>
  <si>
    <t>91420000757013137p</t>
  </si>
  <si>
    <t>公司地址：湖北省武汉市洪山区关山路552号；
项目地址：深圳市望海路微波山隧道工程工地</t>
  </si>
  <si>
    <t>李治辉</t>
  </si>
  <si>
    <t>南山区</t>
  </si>
  <si>
    <t>招商街道</t>
  </si>
  <si>
    <t>1.工地是否按照市住建局文件要求落实停工，是否存在工人施工作业。2.项目经理、安全员是否在岗履职。3.现场是否存在违法违规行为。</t>
  </si>
  <si>
    <t>现场未发现违法行为</t>
  </si>
  <si>
    <t>深南住建检登〔2020〕13号</t>
  </si>
  <si>
    <t>/</t>
  </si>
  <si>
    <t>董继峰，付泽正</t>
  </si>
  <si>
    <t>全流程系统登记</t>
  </si>
  <si>
    <t>11440305007542160G20201000015</t>
  </si>
  <si>
    <t>对前湾片区（5号冷站）供冷管网项目-前湾三路（紫荆西街至听海大道）北侧绿化带供冷管网工程施工安全的双随机抽查</t>
  </si>
  <si>
    <t>前湾片区（5号冷站）供冷管网项目-前湾三路（紫荆西街至听海大道）北侧绿化带供冷管网工程</t>
  </si>
  <si>
    <t>中铁十六局集团有限公司</t>
  </si>
  <si>
    <t>911100001016367613</t>
  </si>
  <si>
    <t>公司地址：北京市北京市朝阳区红松园北里2号；
项目地址：前湾三路北侧、金岸中街东侧</t>
  </si>
  <si>
    <t>王志新</t>
  </si>
  <si>
    <t>南山街道</t>
  </si>
  <si>
    <t>安全防护措施的落实和安全警示标志的设置</t>
  </si>
  <si>
    <t>深南住建检登〔2020〕12号</t>
  </si>
  <si>
    <t>宗海根，高健</t>
  </si>
  <si>
    <t>对中南大学深圳产学研大楼施工总承包工程施工安全的双随机抽查</t>
  </si>
  <si>
    <t>中南大学深圳产学研大楼施工总承包工程</t>
  </si>
  <si>
    <t>深圳泛华工程集团有限公司</t>
  </si>
  <si>
    <t>91440300192241801L</t>
  </si>
  <si>
    <t>公司地址：广东省深圳市福田区景田北七街民华大厦5楼（限办公）
项目地址：南山区粤海街道白石路南侧、科苑南路东侧中南大学深圳产学研大楼施工总承包工程项目部</t>
  </si>
  <si>
    <t>王金明</t>
  </si>
  <si>
    <t>粤海街道</t>
  </si>
  <si>
    <t>特种作业人员持证上岗、人员教育交底、安全管理人员安全生产考核合格证</t>
  </si>
  <si>
    <t>深南住建检登〔2020〕15号</t>
  </si>
  <si>
    <t>对仙鼓路（仙元路-仙洞路）市政道路施工工程施工安全的双随机抽查</t>
  </si>
  <si>
    <t>仙鼓路（仙元路-仙洞路）市政道路施工工程</t>
  </si>
  <si>
    <t>深圳市西部城建工程有限公司</t>
  </si>
  <si>
    <t>91440300192410273N</t>
  </si>
  <si>
    <t>公司地址：广东省深圳市南山区桃园西路南山市政大厦五楼；
项目地址：南山区西丽街道仙鼓路（仙元路-仙洞路之间）</t>
  </si>
  <si>
    <t>贺科文</t>
  </si>
  <si>
    <t>西丽街道</t>
  </si>
  <si>
    <t>施工单位公司安全生产许可证、安全管理人员安全生产考核合格证</t>
  </si>
  <si>
    <t>深南住建检登〔2020〕16号</t>
  </si>
  <si>
    <t>前海桂湾公园III标绿化景观工程施工总承包</t>
  </si>
  <si>
    <t>深圳中绿环境集团有限公司</t>
  </si>
  <si>
    <t>9144030073882644XR</t>
  </si>
  <si>
    <t>公司地址：广东省深圳市龙岗区龙岗街道南联社区圳埔岭路2号F栋三楼301
项目地址：深圳市前海合作区桂湾</t>
  </si>
  <si>
    <t>黄文良</t>
  </si>
  <si>
    <t>深南住建检登〔2020〕20号</t>
  </si>
  <si>
    <t>谭亮，贺爱军</t>
  </si>
  <si>
    <t>前海滨海岸线（桂湾、前湾段）功能配套完善及改造工程-景观照明提升工程</t>
  </si>
  <si>
    <t>深圳市金照明科技股份有限公司</t>
  </si>
  <si>
    <t>914403007152226004</t>
  </si>
  <si>
    <t>公司地址：广东省深圳市宝安区新安街道兴东社区67区高新奇厂房AB601
项目地址：前海深港现代服务业合作区桂湾、前湾段</t>
  </si>
  <si>
    <t>张超</t>
  </si>
  <si>
    <t>现场安全生产管理人员配备情况</t>
  </si>
  <si>
    <t>深南住建检登〔2020〕19号</t>
  </si>
  <si>
    <t>双随机一公开行政检查前海合作区铲湾渠土地平整和软基处理工程施工安全</t>
  </si>
  <si>
    <t>前海合作区铲湾渠土地平整和软基处理工程</t>
  </si>
  <si>
    <t>深圳市勘察测绘院（集团）有限公司</t>
  </si>
  <si>
    <t>91440300192200874Y</t>
  </si>
  <si>
    <t>公司地址：广东省深圳市福田区上步中路1043 号；
项目地址：前海合作区铲湾渠土地平整和软基处理工程工地</t>
  </si>
  <si>
    <t>陈凤</t>
  </si>
  <si>
    <t>1.抽查项目经理、安全员在岗情况。2.抽查特种作业人员持证上岗、三级教育、专项安全技术交底情况。3.抽查现场临时用电是否存在违法违规情况。4.抽查现场作业人员健康申报情况。5.抽查现场泥头车作业情况。</t>
  </si>
  <si>
    <t>深南住建检登〔2020〕17号</t>
  </si>
  <si>
    <t>双随机一公开行政检查诚信三街等道路工程施工安全</t>
  </si>
  <si>
    <t>诚信三街等道路工程</t>
  </si>
  <si>
    <t>中国建筑一局（集团）有限公司</t>
  </si>
  <si>
    <t>91110000101107173B</t>
  </si>
  <si>
    <t>公司地址：北京市北京市丰台区西四环南路52号；
项目地址：诚信三街等道路工程工地</t>
  </si>
  <si>
    <t>王铁俊</t>
  </si>
  <si>
    <t>1.抽查项目经理、安全员在岗情况。2.抽查工人三级教育、专项安全技术交底情况。3.抽查现场是否存在违法违规作业。</t>
  </si>
  <si>
    <t>深南住建检登〔2020〕18号</t>
  </si>
  <si>
    <t>对深圳市南山区科技中一路北延段工程施工总承包工程施工安全的双随机抽查</t>
  </si>
  <si>
    <t>深圳市南山区科技中一路北延段工程施工总承包工程</t>
  </si>
  <si>
    <t>深圳市诚信鸿建设工程有限公司</t>
  </si>
  <si>
    <t>91440300586722421Q</t>
  </si>
  <si>
    <t>广东省深圳市南山区桃源街道福光社区留仙大道3333号塘朗城广场（西区）A座、B座、C座A座2201</t>
  </si>
  <si>
    <t>赵万胜</t>
  </si>
  <si>
    <t>安全管理人员持证上岗情况</t>
  </si>
  <si>
    <t>深南住建检登〔2021〕3号</t>
  </si>
  <si>
    <t>法制科已归档</t>
  </si>
  <si>
    <t>对蛇口文体公园主体工程施工安全的双随机检查</t>
  </si>
  <si>
    <t>蛇口文体公园主体工程</t>
  </si>
  <si>
    <t>广东联富建设工程有限公司</t>
  </si>
  <si>
    <t>91440300789223032R</t>
  </si>
  <si>
    <t>广东省深圳市大鹏新区葵涌街道三溪社区金业大道140号生命科学产业园B2栋107-108</t>
  </si>
  <si>
    <t>赖晓敏</t>
  </si>
  <si>
    <t>蛇口街道</t>
  </si>
  <si>
    <t>深南住建检登〔2021〕4号</t>
  </si>
  <si>
    <t>谭亮，李云</t>
  </si>
  <si>
    <t>双随机一公开行政检查腾讯音乐科兴科学园D3栋室内装修工程施工安全</t>
  </si>
  <si>
    <t>腾讯音乐科兴科学园D3栋室内装修工程</t>
  </si>
  <si>
    <t>穆氏建筑设计(上海)有限公司</t>
  </si>
  <si>
    <t>9131000074929336XW</t>
  </si>
  <si>
    <t>上海市静安区南山路100号南山大厦8层04座</t>
  </si>
  <si>
    <t>邢旭辉</t>
  </si>
  <si>
    <t>1.抽查项目经理、安全员在岗情况。2.抽查工人三级教育、专项安全技术交底情况。3.抽查施工许可证、项目经理任命书、项目经理部人员设置通知书、施工合同。</t>
  </si>
  <si>
    <t>深南住建检登〔2021〕5号</t>
  </si>
  <si>
    <t>2021.7.13区司法局</t>
  </si>
  <si>
    <t>20221000105</t>
  </si>
  <si>
    <t>对深圳清华大学研究院新大楼建设项目机电工程Ⅰ标段双随机抽查</t>
  </si>
  <si>
    <t>深圳清华大学研究院新大楼建设项目机电工程Ⅰ标段</t>
  </si>
  <si>
    <t>中建四局第五建筑工程有限公司</t>
  </si>
  <si>
    <t>91522701216250420B</t>
  </si>
  <si>
    <t>广东省深圳市南山区南山街道南新路阳光科创中心一期A座1001</t>
  </si>
  <si>
    <t>吴小明</t>
  </si>
  <si>
    <t>1.抽查项目主要管理人员（项目经理、总监）在岗履职情况。2.抽查扬尘防治6个100%落实情况。3.抽查项目围挡是否全封闭、公益广告宣传画是否存在污损情况。</t>
  </si>
  <si>
    <t>深南住建检登〔2022〕36号</t>
  </si>
  <si>
    <t>付泽正，高健</t>
  </si>
  <si>
    <t>20221000102</t>
  </si>
  <si>
    <t>对南山区第二阶段优质饮用水入户工程（二期）施工总承包(Ⅴ标段)(快速发包)工程双随机抽查</t>
  </si>
  <si>
    <t>南山区第二阶段优质饮用水入户工程（二期）施工总承包（Ⅴ标段）（快速发包）</t>
  </si>
  <si>
    <t>广东省源天工程有限公司</t>
  </si>
  <si>
    <t>914400001903224486</t>
  </si>
  <si>
    <t>广东省广州市增城区新塘镇广深大道中46号</t>
  </si>
  <si>
    <t>邓程鹏</t>
  </si>
  <si>
    <t>13348647366</t>
  </si>
  <si>
    <t>深南住建检登〔2022〕35号</t>
  </si>
  <si>
    <t>付泽正，宗海根</t>
  </si>
  <si>
    <t>2023.4.6区司法局</t>
  </si>
  <si>
    <t>20221000100</t>
  </si>
  <si>
    <t>对南山区档案服务大厦室内装饰工程双随机抽查</t>
  </si>
  <si>
    <t>南山区档案服务大厦室内装饰工程</t>
  </si>
  <si>
    <t>深圳市中航装饰设计工程有限公司</t>
  </si>
  <si>
    <t>914403001922681237</t>
  </si>
  <si>
    <t>广东省深圳市南山区粤海街道滨海社区海天一路19号、17号、18号软件产业基地4栋C11层1101-18</t>
  </si>
  <si>
    <t>田广平</t>
  </si>
  <si>
    <t>南头街道</t>
  </si>
  <si>
    <t>深南住建检登〔2022〕34号</t>
  </si>
  <si>
    <t>20221000086</t>
  </si>
  <si>
    <t>对海境界家园二期精装修工程第四标段（B座住宅平层室内精装修工程、一二层公共区域精装修工程）双随机抽查</t>
  </si>
  <si>
    <t>海境界家园二期精装修工程第四标段（B座住宅平层室内精装修工程、一二层公共区域精装修工程）</t>
  </si>
  <si>
    <t>深圳市中深建装饰设计工程有限公司</t>
  </si>
  <si>
    <t>91440300715212445L</t>
  </si>
  <si>
    <t>广东省深圳市福田区吉莲大厦二层</t>
  </si>
  <si>
    <t>米双令</t>
  </si>
  <si>
    <t>深南住建检登〔2022〕30号</t>
  </si>
  <si>
    <t>宗海根，董继峰</t>
  </si>
  <si>
    <t>20221000098</t>
  </si>
  <si>
    <t>对南山医院改扩建（二期一段）机电安装工程双随机抽查</t>
  </si>
  <si>
    <t>南山医院改扩建（二期一段）机电安装工程</t>
  </si>
  <si>
    <t>深圳市建工集团股份有限公司</t>
  </si>
  <si>
    <t>91440300192189548K</t>
  </si>
  <si>
    <t>广东省深圳市南山区粤海街道科苑路8号迅美科技广场2号楼21楼</t>
  </si>
  <si>
    <t>周启良</t>
  </si>
  <si>
    <t>深南住建检登〔2022〕33号</t>
  </si>
  <si>
    <t>董继峰，谭亮</t>
  </si>
  <si>
    <t>20221000095</t>
  </si>
  <si>
    <t>对杜鹃东1街、九纵五街、紫荆街中段、勒杜鹃街东段道路工程双随机抽查</t>
  </si>
  <si>
    <t>杜鹃东1街、九纵五街、紫荆街中段、勒杜鹃街东段道路工程</t>
  </si>
  <si>
    <t>深圳市路桥建设集团有限公司</t>
  </si>
  <si>
    <t>914403001921815704</t>
  </si>
  <si>
    <t>广东省深圳市罗湖区泥岗路红岗东村路桥大厦19-23层</t>
  </si>
  <si>
    <t>吴毅莽</t>
  </si>
  <si>
    <t>深南住建检登〔2022〕32号</t>
  </si>
  <si>
    <t>谭亮，董继峰</t>
  </si>
  <si>
    <t>前海合作区跨街公园(G9、G10)项目景观绿化工程</t>
  </si>
  <si>
    <t>深圳市前海合作区桂湾片区</t>
  </si>
  <si>
    <t>南山区百校焕新工程第二年度Ⅲ标段施工</t>
  </si>
  <si>
    <t>深圳市南山区西丽街道</t>
  </si>
  <si>
    <t>李云，谭亮</t>
  </si>
  <si>
    <t>深圳湾文化广场（深圳创意设计馆和深圳科技生活馆）施工总承包工程</t>
  </si>
  <si>
    <t>中建科工集团有限公司</t>
  </si>
  <si>
    <t>南山区粤海街道科苑南路以东，登良路以北</t>
  </si>
  <si>
    <t>深圳普瑞眼科医院室内装修改造工程</t>
  </si>
  <si>
    <t>广西华辉装饰集团有限公司</t>
  </si>
  <si>
    <t>深圳市南山区南头街道桃园路新桃园大厦</t>
  </si>
  <si>
    <t>前海合作区桂湾片区支路二期（供冷管网）工程</t>
  </si>
  <si>
    <t>中建五局安装工程有限公司</t>
  </si>
  <si>
    <t>南山区前海合作区桂湾片区</t>
  </si>
  <si>
    <t>九纵二街（公正大街—公正北一街段）和公正大街（九纵二街—九纵三街段）道路及通道工程</t>
  </si>
  <si>
    <t>深圳市新达基建设集团有限公司</t>
  </si>
  <si>
    <t>深圳市南山区前海片区09-03-02地块</t>
  </si>
  <si>
    <t>前海合作区智能公交站台（二期）</t>
  </si>
  <si>
    <t>中建五局土木工程有限公司</t>
  </si>
  <si>
    <t>深圳市南山区</t>
  </si>
  <si>
    <t>抽查扬尘防治6个100%落实情况</t>
  </si>
  <si>
    <t>李云，高健</t>
  </si>
  <si>
    <t>创新7街（创新6街-创新8街）道路工程</t>
  </si>
  <si>
    <t>深圳市南山区创新7街（创新6街—十一号路）</t>
  </si>
  <si>
    <t>付泽正，谭亮</t>
  </si>
  <si>
    <t>烯创科技大厦项目主体工程</t>
  </si>
  <si>
    <t>中建五局华南建设有限公司</t>
  </si>
  <si>
    <t>留仙洞总部基地留仙大道与仙鼓路交汇处西南角</t>
  </si>
  <si>
    <t>23年检查</t>
  </si>
  <si>
    <t>合计</t>
  </si>
  <si>
    <t>南山区安监站行政处罚台账（标绿为文明施工类）</t>
  </si>
  <si>
    <t>市司法局系统案件编号</t>
  </si>
  <si>
    <t>案件名称</t>
  </si>
  <si>
    <t>处罚企业名称/人员名称</t>
  </si>
  <si>
    <t>企业（人员）角色</t>
  </si>
  <si>
    <t>社会信用代码/个人身份证号码</t>
  </si>
  <si>
    <t>案由</t>
  </si>
  <si>
    <t>处罚原因（标绿为文明施工类）</t>
  </si>
  <si>
    <t>立案编号</t>
  </si>
  <si>
    <t>行政处罚
决定书文号</t>
  </si>
  <si>
    <t>立案时间</t>
  </si>
  <si>
    <t>处罚决定时间</t>
  </si>
  <si>
    <t>处罚金额
（万元）</t>
  </si>
  <si>
    <t>结案时间</t>
  </si>
  <si>
    <t>归档号</t>
  </si>
  <si>
    <t>经办监督组</t>
  </si>
  <si>
    <r>
      <rPr>
        <sz val="12"/>
        <rFont val="黑体"/>
        <charset val="134"/>
      </rPr>
      <t xml:space="preserve">省执法公示
</t>
    </r>
    <r>
      <rPr>
        <b/>
        <sz val="12"/>
        <color rgb="FFFF0000"/>
        <rFont val="黑体"/>
        <charset val="134"/>
      </rPr>
      <t>（7个工作日）</t>
    </r>
  </si>
  <si>
    <r>
      <rPr>
        <sz val="12"/>
        <rFont val="黑体"/>
        <charset val="134"/>
      </rPr>
      <t>结果报送区司法局/局法制科</t>
    </r>
    <r>
      <rPr>
        <b/>
        <sz val="12"/>
        <color rgb="FFFF0000"/>
        <rFont val="黑体"/>
        <charset val="134"/>
      </rPr>
      <t>（5日内）</t>
    </r>
  </si>
  <si>
    <r>
      <rPr>
        <sz val="12"/>
        <rFont val="黑体"/>
        <charset val="134"/>
      </rPr>
      <t>市司法系统
（</t>
    </r>
    <r>
      <rPr>
        <b/>
        <sz val="12"/>
        <color rgb="FFFF0000"/>
        <rFont val="黑体"/>
        <charset val="134"/>
      </rPr>
      <t>7个自然日</t>
    </r>
    <r>
      <rPr>
        <sz val="12"/>
        <rFont val="黑体"/>
        <charset val="134"/>
      </rPr>
      <t>）</t>
    </r>
  </si>
  <si>
    <r>
      <rPr>
        <sz val="12"/>
        <rFont val="黑体"/>
        <charset val="134"/>
      </rPr>
      <t>区政务平台
（</t>
    </r>
    <r>
      <rPr>
        <b/>
        <sz val="12"/>
        <color rgb="FFFF0000"/>
        <rFont val="黑体"/>
        <charset val="134"/>
      </rPr>
      <t>7个自然日</t>
    </r>
    <r>
      <rPr>
        <sz val="12"/>
        <rFont val="黑体"/>
        <charset val="134"/>
      </rPr>
      <t>）</t>
    </r>
  </si>
  <si>
    <t>市住建局智慧监管平台</t>
  </si>
  <si>
    <t>南山智园D区土石方及基坑支护工程</t>
  </si>
  <si>
    <t>徐士春</t>
  </si>
  <si>
    <t>专职安全生产管理人员徐士春安全生产考核证执业单位未变更</t>
  </si>
  <si>
    <t>深南住建安罚[2016]101号</t>
  </si>
  <si>
    <t>罚款</t>
  </si>
  <si>
    <t>北京大学深圳研究生院跨大沙河人行桥工程</t>
  </si>
  <si>
    <t>龚吉保</t>
  </si>
  <si>
    <t>项目专职安全管理人员龚吉保未按规定每天对该项目开展安全检查，根据《建筑施工企业主要责任人、项目负责人和专职安全生产管理人员安全生产管理规定》第二十条“项目专职安全生产管理人员应当每天在施工现场开展安全检查，现场监督危险性较大的分部分项工程安全专项施工方案实施。对检查中发现的安全事故隐患，应当立即处理；不能处理的，应当及时报告项目负责人和企业安全生产管理机构。项目负责人应当及时处理，检查及处理情况应当记入项目安全管理档案</t>
  </si>
  <si>
    <t>深南住建安罚[2017]301号</t>
  </si>
  <si>
    <t>华润城润府三期地下室工程</t>
  </si>
  <si>
    <t>上海颐东机械施工工程有限公司</t>
  </si>
  <si>
    <t>专业分包单位</t>
  </si>
  <si>
    <t>施工现场安装塔式起重机，未按规定办理安装告知手续</t>
  </si>
  <si>
    <t>深南住建安罚[2017]101号</t>
  </si>
  <si>
    <t>华润置地（深圳）有限公司</t>
  </si>
  <si>
    <t>建设单位</t>
  </si>
  <si>
    <t>施工现场安装塔式起重机，未按规定办理安装告知手续，在接到监理单位报告后，未责令安装单位立即停工整改，涉嫌违反《建筑起重机械安全监督管理规定》第三十三条的规定</t>
  </si>
  <si>
    <t>深南住建安罚[2017]103号</t>
  </si>
  <si>
    <t>华润建筑有限公司</t>
  </si>
  <si>
    <t>施工单位</t>
  </si>
  <si>
    <t>施工现场安装多台塔式起重机作业，未组织制定并实施防止塔式起重机相互碰撞的安全措施，上述行为违反《建筑起重机械安全监督管理规定》第二十一条“施工现场安装多台塔式起重机作业，未组织制定并实施防止塔式起重机相互碰撞的安全措施”</t>
  </si>
  <si>
    <t>深南住建安罚[2017]102号</t>
  </si>
  <si>
    <t>华润城学校总承包</t>
  </si>
  <si>
    <t>华润城学校总承包工程建设单位为华润置地（深圳）有限公司，改工程施工现场4台塔式起重机作业未办理安装告知手续，建设单位在接到监理单位报告后，未责令安装单位、使用单位立即停工整改，涉嫌违反《建筑起重机械安全监督管理规定》第三十三条</t>
  </si>
  <si>
    <t>深南住建安罚[2017]305号</t>
  </si>
  <si>
    <t>华润城学校总承包工程施工单位为华润建筑有限公司，该工程现场有4台塔式起重机，塔式起重机使用单位为华润建筑有限公司，改项目经理部未配备专职的设备管理人员，并造成一定后果。涉嫌违反《建筑起重机械安全监督管理规定》第十八条第四项的规定</t>
  </si>
  <si>
    <t>深南住建安罚[2017]303号</t>
  </si>
  <si>
    <t>北京远达国际工程管理咨询有限公司</t>
  </si>
  <si>
    <t>监理单位</t>
  </si>
  <si>
    <t>华润城学校总承包工程监理单位为北京远达国际工程管理咨询有限公司，该工程现场有4台塔式起重机，监理单位未按要求审核建筑起重机械安装单位资质证书、安全生产许可证和特种作业人员的特种作业操作资格证书。涉嫌违反《建筑起重机械安全监督管理规定》第二十二条第二项的规定。</t>
  </si>
  <si>
    <t>深南住建安罚[2017]304号</t>
  </si>
  <si>
    <t>深圳市苏中九鼎机械设备有限公司</t>
  </si>
  <si>
    <t>华润城学校总承包工程现场有4台塔式起重机，塔式起重机的安装单位为深圳市苏中九鼎机械设备有限公司。该工程塔式起重机安装施工作业未经监理审核、未书面告知工程所在地县级以上地方人民政府建设主管部门办理安装告知手续，涉嫌违反《建筑起重机械安全监督管理规定》第十二条第五项的规定。</t>
  </si>
  <si>
    <t>深南住建安罚[2017]302号</t>
  </si>
  <si>
    <t>南山区档案服务大厦工程</t>
  </si>
  <si>
    <t>中建钢构有限公司</t>
  </si>
  <si>
    <t>2017年9月10日现场施工过程中，对产生扬尘的施工作业未采取覆盖、洒
水抑尘等有限防尘降尘措施，涉嫌违反《中华人民共和国大气污染防治法》</t>
  </si>
  <si>
    <t>深南住建安罚[2017]306号</t>
  </si>
  <si>
    <t>华润城润府二期（一区）总承包工程</t>
  </si>
  <si>
    <t>深圳市华辉装饰工程有限公司</t>
  </si>
  <si>
    <t>未为从业人员提供符合国家标准或者行业标准的安全帽</t>
  </si>
  <si>
    <t>深南住建安罚[2017]202号</t>
  </si>
  <si>
    <t>海峡两岸学生棒球联赛总决赛场地建设项目代建</t>
  </si>
  <si>
    <t>项目现场搭设的悬挑脚手架，施工前项目管理的技术人员未对有关安全施工的技术要求向施工作业班组、作业人员作出详细说明，2017年9月26日已责令你单位限期整改，你单位逾期仍未整改到位。你单位上述的行为已违反了《建设工程安全生产管理条例》第二十七条的规定</t>
  </si>
  <si>
    <t>深南住建安罚[2017]201号</t>
  </si>
  <si>
    <t>兆邦基科技中心</t>
  </si>
  <si>
    <t>中果建筑第四工程局有限公司</t>
  </si>
  <si>
    <t>2#塔吊第一道附着装置四根拉杆中的外侧两根拉杆与建筑结构锚固的连接耳板断裂失效，内侧拉杆变形</t>
  </si>
  <si>
    <t>深南住建安罚[2017]203号</t>
  </si>
  <si>
    <t>大疆天空之城大厦、大疆天空之城大厦（二期)</t>
  </si>
  <si>
    <t>深圳市兆鹏机电设备有限公司</t>
  </si>
  <si>
    <t>经查，大疆天空之城大厦、大疆天空之城大厦（二期）项目工程现场有4台塔式起重机，塔式起重机的安装单位为深圳市兆鹏机电设备有限公司。该工程塔式起重机安装施工作业前安装单位未按规定告知工程所在地县级以上地方人民政府建设主管部门办理安装告知手续，涉嫌违反《建筑起重机械安全监督管理规定》第十二条“安装单位应当履行下列安全职责：（五）将建筑起重机械安装、拆卸工程专项施工方案，安装、拆卸人员名单，安装、拆卸时间等材料报施工总承包单位和监理单位审核后，告知工程所在地县级以上地方人民政府建设主管部门。”的规定。</t>
  </si>
  <si>
    <t>深南住建安罚[2018]304号</t>
  </si>
  <si>
    <t>三组</t>
  </si>
  <si>
    <t>中国建筑第四工程局有限公司</t>
  </si>
  <si>
    <t>经查，大疆天空之城大厦、大疆天空之城大厦（二期）项目工程现场有4台塔式起重机，该工程施工总承包单位为中国建筑第四工程局有限公司。该工程塔式起重机安装施工作业前，施工总承包单位未按规定审核安装单位的资质证书、安全生产许可证和特种作业人员的特种作业操作资格证书，未审核安装单位制定的建筑起重机械安全专项施工方案和生产安全事故应急救援预案，未审核使用单位制定的建筑起重机械生产安全事故应急救援预案，涉嫌违反《建筑起重机械安全监督管理规定》第二十一条第三、四、五项的规定。</t>
  </si>
  <si>
    <t>深南住建安罚[2018]305号</t>
  </si>
  <si>
    <t>深圳市大兴工程管理有限公司</t>
  </si>
  <si>
    <t>经查，大疆天空之城大厦、大疆天空之城大厦（二期）项目工程现场有4台塔式起重机，该工程的监理单位为深圳市大兴工程管理有限公司。该工程的建筑起重机械特种设备制造许可证、产品合格证、制造监督检验证明、备案证明等文件及建筑起重机械安装单位的资质证书、安全生产许可证和特种作业人员的特种作业操作资格证书等虽然合乎要求，但是监理单位未按规定审核，涉嫌违反《建筑起重机械安全监督管理规定》第二十二条“监理单位应当履行下列安全职责：（一）审核建筑起重机械特种设备制造许可证、产品合格证、制造监督检验证明、备案证明等文件；（二）审核建筑起重机械安装单位、使用单位的资质证书、安全生产许可证和特种作业人员的特种作业操作资格证书”的规定。</t>
  </si>
  <si>
    <t>深南住建安罚[2018]306号</t>
  </si>
  <si>
    <t>市法制办
2018-9-1</t>
  </si>
  <si>
    <r>
      <rPr>
        <b/>
        <sz val="12"/>
        <rFont val="楷体_GB2312"/>
        <charset val="134"/>
      </rPr>
      <t>长源京基御景</t>
    </r>
    <r>
      <rPr>
        <b/>
        <sz val="12"/>
        <rFont val="宋体"/>
        <charset val="134"/>
      </rPr>
      <t>峯</t>
    </r>
    <r>
      <rPr>
        <b/>
        <sz val="12"/>
        <rFont val="楷体_GB2312"/>
        <charset val="134"/>
      </rPr>
      <t>公馆工程</t>
    </r>
  </si>
  <si>
    <t>江苏省华建建设股份有限公司</t>
  </si>
  <si>
    <r>
      <rPr>
        <sz val="12"/>
        <rFont val="楷体_GB2312"/>
        <charset val="134"/>
      </rPr>
      <t>经查，长源京基御景</t>
    </r>
    <r>
      <rPr>
        <sz val="12"/>
        <rFont val="宋体"/>
        <charset val="134"/>
      </rPr>
      <t>峯</t>
    </r>
    <r>
      <rPr>
        <sz val="12"/>
        <rFont val="楷体_GB2312"/>
        <charset val="134"/>
      </rPr>
      <t>公馆施工总承包工程现场有4台塔式起重机和7台施工升降机，这11台建筑起重机械的安装单位为江苏省华建建设股份有限公司。该工程建筑起重机械安装前未按规定书面告知工程所在地县级以上地方人民政府建设主管部门办理安装告知手续，涉嫌违反《建筑起重机械安全监督管理规定》第十二条“安装单位应当履行下列安全职责：（五）将建筑起重机械安装、拆卸工程专项施工方案，安装、拆卸人员名单，安装、拆卸时间等材料报施工总承包单位和监理单位审核后，告知工程所在地县级以上地方人民政府建设主管部门。”的规定。</t>
    </r>
  </si>
  <si>
    <t>深南住建安罚[2018]301号</t>
  </si>
  <si>
    <t>深圳市九州建设技术股份有限公司</t>
  </si>
  <si>
    <r>
      <rPr>
        <sz val="12"/>
        <rFont val="楷体_GB2312"/>
        <charset val="134"/>
      </rPr>
      <t>经查，长源京基御景</t>
    </r>
    <r>
      <rPr>
        <sz val="12"/>
        <rFont val="宋体"/>
        <charset val="134"/>
      </rPr>
      <t>峯</t>
    </r>
    <r>
      <rPr>
        <sz val="12"/>
        <rFont val="楷体_GB2312"/>
        <charset val="134"/>
      </rPr>
      <t>公馆施工总承包工程的监理单位为深圳市九州建设技术股份有限公司。该工程现场有11台建筑起重机械，监理单位未按要求监督检查建筑起重机械的使用情况。涉嫌违反《建筑起重机械安全监督管理规定》第二十二条“监理单位应当履行下列安全职责：（五）监督检查建筑起重机械的使用情况”的规定。</t>
    </r>
  </si>
  <si>
    <t>深南住建安罚[2018]302号</t>
  </si>
  <si>
    <t>深圳市京基房地产股份有限公司</t>
  </si>
  <si>
    <r>
      <rPr>
        <sz val="12"/>
        <rFont val="楷体_GB2312"/>
        <charset val="134"/>
      </rPr>
      <t>经查，长源京基御景</t>
    </r>
    <r>
      <rPr>
        <sz val="12"/>
        <rFont val="宋体"/>
        <charset val="134"/>
      </rPr>
      <t>峯</t>
    </r>
    <r>
      <rPr>
        <sz val="12"/>
        <rFont val="楷体_GB2312"/>
        <charset val="134"/>
      </rPr>
      <t>公馆施工总承包工程的建设单位为深圳市京基房地产股份有限公司，该工程现场有4台塔式起重机和7台施工升降机。建设单位未按规定协调组织制定防止4台塔式起重机相互碰撞的安全措施。涉嫌违反《建筑起重机械安全监督管理规定》第三十三条“违反本规定，建设单位有下列行为之一的，由县级以上地方人民政府建设主管部门责令限期改正，予以警告，并处以5000元以上3万元以下罚款；逾期未改的，责令停止施工：（一）未按照规定协调组织制定防止多台塔式起重机相互碰撞的安全措施的”规定。</t>
    </r>
  </si>
  <si>
    <t>深南住建安罚[2018]303号</t>
  </si>
  <si>
    <t>关于常州达丰兆茂机械工程有限工程未办理安装告知手续擅自安装塔式起重机械案</t>
  </si>
  <si>
    <t>光启未来中心（基坑支护、边坡、土方）工程</t>
  </si>
  <si>
    <t>常州达丰兆茂机械工程有限工程</t>
  </si>
  <si>
    <t>91320400074745603C</t>
  </si>
  <si>
    <t>起重设备安装单位未办理安装告知手续擅自安装塔式起重机械</t>
  </si>
  <si>
    <t>经查，光启未来中心（基坑支护、边坡、土方）工程现场有一台塔式起重机，塔式起重机的安装单位为常州达丰兆茂机械工程有限公司。该工程台式起重机安装施工作业未经监理审核、未书面告知所在地县级以上地方人民政府建设主管部门办理安装告知手续，涉嫌违反《建筑起重机械安全监督管理规定》第十二条第五项的规定。</t>
  </si>
  <si>
    <t>NSAJ-2018101</t>
  </si>
  <si>
    <t>深南住建安罚〔2018〕101号</t>
  </si>
  <si>
    <t>一组</t>
  </si>
  <si>
    <t>2019/08/23已补录上报</t>
  </si>
  <si>
    <t>关于深圳市银建安工程项目管理有限公司未履行建筑起重机械安全监督管理职责案</t>
  </si>
  <si>
    <t>深圳市银建安工程项目管理有限公司</t>
  </si>
  <si>
    <t>914403001923249228</t>
  </si>
  <si>
    <t>监理单位未审核塔式起重机安装单位相关资料</t>
  </si>
  <si>
    <t>经查，光启未来中心（基坑支护、边坡、土方）工程的监理单位为深圳市银建安工程项目管理有限公司，该工程现场有一台塔式起重机，监理单位未按要求审核建筑起重进行安装工专项施工方案和生产安全事故应急救援预案。涉嫌违反《建筑起重机械安全监督管理规定》第二十二条第二项的规定。</t>
  </si>
  <si>
    <t>NSAJ-2018102</t>
  </si>
  <si>
    <t>深南住建安罚〔2018〕102号</t>
  </si>
  <si>
    <t>关于中国十九冶集团有限公司未履行建筑起重机械安全监督管理职责案</t>
  </si>
  <si>
    <t>中国十九冶集团有限公司</t>
  </si>
  <si>
    <t>91510400204350723Y</t>
  </si>
  <si>
    <t>施工单位未按要求审核安装单位制定的建筑起重机械安装工程专项施工方案和生产安全事故应急救援预案</t>
  </si>
  <si>
    <t>经查，光启未来中心（基坑支护、边坡、土方）工程的施工单位为中国十九冶集团有限公司，该工程现场有一台塔式起重机，施工单位未按要求审核安装单位制定的建筑起重机械安装工程专项施工方案和生产安全事故应急救援预案。涉嫌违反《建筑起重机械安全监督管理规定》第二十一条第四项的规定。</t>
  </si>
  <si>
    <t>NSAJ-2018103</t>
  </si>
  <si>
    <t>深南住建安罚〔2018〕103号</t>
  </si>
  <si>
    <t>关于浙江省一建建设集团有限公司未采取相应的施工安全防护措施案</t>
  </si>
  <si>
    <t>望海学校工程</t>
  </si>
  <si>
    <t>浙江省一建建设集团有限公司</t>
  </si>
  <si>
    <t>91330000142911125H</t>
  </si>
  <si>
    <t>施工单位未采取相应的施工安全防护措施</t>
  </si>
  <si>
    <t>经查，望海学校工程的施工单位为浙江省一建建设集团有限公司，该项目综合馆钢筋绑扎高出作业人员为采取相应的施工安全防护措施（无可靠立足点、未系挂安全带），我站签发了《责令整改通知书》（深南住建安改【2018】0028号）要求施工单位限期整改。在2018年3月20日整改复查时，抽查现场发现综合馆宿舍区二层梁板高出作业人员仍未采取相应的安全防护措施（未佩戴安全带），涉嫌违反《深圳经济特区建设工程施工安全条例》第二十七条的规定。</t>
  </si>
  <si>
    <t>NSAJ-2018104</t>
  </si>
  <si>
    <t>深南住建安罚〔2018〕104号</t>
  </si>
  <si>
    <t>国安委办
2019-5-13</t>
  </si>
  <si>
    <t>关于中国十九冶集团有限公司未重新审核和论证专项施工方案案</t>
  </si>
  <si>
    <t>光启未来中心</t>
  </si>
  <si>
    <t>施工单位危大工程因设计变更未按规定修改并重新审核和论证</t>
  </si>
  <si>
    <t>经查，光启未来中心项目的施工单位为中国十九冶集团有限公司，该工程现场首层高大模板已搭设，抽查发现超过一定规模的危险性较大的分部分项工程（抽查部位④轴950×1000的梁、④-⑤15m梁板）未编制专项施工方案并组织专家论证。经现场核查后发现，该工程高大模板专项施工方案组织专家论证后，设计发生了变更，但专项施工方案未按规定重新审核和论证。涉嫌违反《危险性较大的分部分项工程安全管理规定》（住建部令第37号）第十六条的规定。</t>
  </si>
  <si>
    <t>NSAJ-2018105</t>
  </si>
  <si>
    <t>深南住建安罚〔2018〕105号</t>
  </si>
  <si>
    <t>关于潘实沛未重新审核和论证专项施工方案案</t>
  </si>
  <si>
    <t>潘实沛</t>
  </si>
  <si>
    <t>施工单位项目经理</t>
  </si>
  <si>
    <t>510106198502131810</t>
  </si>
  <si>
    <t>施工单位项目经理未组织对发生变更的危大工程专项施工方案进行重新审核和论证</t>
  </si>
  <si>
    <t>NSAJ-2018106</t>
  </si>
  <si>
    <t>深南住建安罚〔2018〕106号</t>
  </si>
  <si>
    <t>关于刘平未重新审核和论证专项施工方案案</t>
  </si>
  <si>
    <t>刘平</t>
  </si>
  <si>
    <t>施工单位项目技术负责人</t>
  </si>
  <si>
    <t>510402196501023414</t>
  </si>
  <si>
    <t>施工单位技术负责人未组织对发生变更的危大工程专项施工方案进行重新审核和论证</t>
  </si>
  <si>
    <t>NSAJ-2018107</t>
  </si>
  <si>
    <t>深南住建安罚〔2018〕107号</t>
  </si>
  <si>
    <t>关于深圳市中唐建筑工程有限公司未定期开展事故隐患排查案</t>
  </si>
  <si>
    <t>南山区南山街道兴泰地块城市更新单元项目</t>
  </si>
  <si>
    <t>深圳市中唐建筑工程有限公司</t>
  </si>
  <si>
    <t>91440300319591498W</t>
  </si>
  <si>
    <t>施工单位未定期开展事故隐患排查</t>
  </si>
  <si>
    <t>经查，南山区南山街道兴泰地块城市更新单元项目的施工单位为深圳市中唐建筑工程有限公司。该施工单位在该工地北侧道路上搭设双排落地式钢管架，架设高度约5.5米左右。施工单位未按照规定对该双排钢管架开展隐患排查并记录隐患排查情况，涉嫌违反《深圳市生产经营单位安全生产主体责任规定》（深圳市人民政府令第308号）第三十三条第一款“生产经营单位应当定期开展事故隐患排查，发现隐患应当立即整改；不能立即整改的，生产经营单位应当设置警戒标识，采取应急措施，公示事故隐患的危害程度、影响范围，并落实整改措施、责任、资金、时限和事故应急预案。事故隐患消除后，生产经营单位应当组织验收，并做好事故预防工作”的规定。</t>
  </si>
  <si>
    <t>NSAJ-2018301</t>
  </si>
  <si>
    <t>深南住建罚〔2018〕7号</t>
  </si>
  <si>
    <t>区法制办
2018-10-31
国安委办
2019-5-13</t>
  </si>
  <si>
    <t>关于中建钢构有限公司擅自允许未密闭化车辆出场案</t>
  </si>
  <si>
    <t>南山区档案服务大厦</t>
  </si>
  <si>
    <t>914403006803525199</t>
  </si>
  <si>
    <t>施工单位擅自允许未密闭化车辆出场</t>
  </si>
  <si>
    <t>经查，南山区档案服务大厦工程的施工单位为中建钢构有限公司，该工程在2018年8月23日下午的土石方等建筑废弃物运输过程中，现场存在两台未密封化的车辆出入场的情况，车辆号牌分别为：粤BQ4507和粤BJ8789。施工单位允许这两台未密闭化的车辆进场，涉嫌违反《深圳市建筑废弃物运输和处置管理办法》（深圳市人民政府令第260号）第十六条第一款“建设单位、监理单位、施工单位不得允许有超载、未密闭化、车体不洁、车轮带泥、车厢外挂泥等情况的车辆出场，不得将建筑废弃物交给个人、未取得道路货物运输营运资质的运输单位或者未取得本办法第十九条规定的车辆检测合格证明的车辆运输”的规定。</t>
  </si>
  <si>
    <t>NSAJ-2018302</t>
  </si>
  <si>
    <t>深南住建罚〔2018〕18号</t>
  </si>
  <si>
    <t>区法制办
2018-10-31</t>
  </si>
  <si>
    <t>关于中建二局第一建筑工程有限公司未办理安装告知手续擅自安装塔式起重机械案</t>
  </si>
  <si>
    <r>
      <rPr>
        <b/>
        <sz val="12"/>
        <rFont val="楷体_GB2312"/>
        <charset val="134"/>
      </rPr>
      <t>长源御景</t>
    </r>
    <r>
      <rPr>
        <b/>
        <sz val="12"/>
        <rFont val="宋体"/>
        <charset val="134"/>
      </rPr>
      <t>峯</t>
    </r>
    <r>
      <rPr>
        <b/>
        <sz val="12"/>
        <rFont val="楷体_GB2312"/>
        <charset val="134"/>
      </rPr>
      <t>大厦</t>
    </r>
  </si>
  <si>
    <t>中建二局第一建筑工程有限公司</t>
  </si>
  <si>
    <t>91110000104341301L</t>
  </si>
  <si>
    <r>
      <rPr>
        <sz val="12"/>
        <rFont val="楷体_GB2312"/>
        <charset val="134"/>
      </rPr>
      <t>经查，长源御景</t>
    </r>
    <r>
      <rPr>
        <sz val="12"/>
        <rFont val="宋体"/>
        <charset val="134"/>
      </rPr>
      <t>峯</t>
    </r>
    <r>
      <rPr>
        <sz val="12"/>
        <rFont val="楷体_GB2312"/>
        <charset val="134"/>
      </rPr>
      <t>大厦现场有3台塔式起重机，其中一台编号为3号的塔式起重机安装单位为中建二局第一建筑工程有限公司。该塔式起重机安装前未按规定书面告知工程所在地县级以上地方人民政府建设主管部门，涉嫌违法《建筑起重机械安全监督管理规定》第十二条第五项的规定。</t>
    </r>
  </si>
  <si>
    <t>NSAJ-2018108</t>
  </si>
  <si>
    <t>深南住建罚〔2018〕8号</t>
  </si>
  <si>
    <t>关于中核华兴达丰机械械工程有限公司未办理安装告知手续擅自安装塔式起重机械案</t>
  </si>
  <si>
    <t>中核华兴达丰机械工程有限公司</t>
  </si>
  <si>
    <t>913210817635502973</t>
  </si>
  <si>
    <r>
      <rPr>
        <sz val="12"/>
        <rFont val="楷体_GB2312"/>
        <charset val="134"/>
      </rPr>
      <t>经查，长源御景</t>
    </r>
    <r>
      <rPr>
        <sz val="12"/>
        <rFont val="宋体"/>
        <charset val="134"/>
      </rPr>
      <t>峯</t>
    </r>
    <r>
      <rPr>
        <sz val="12"/>
        <rFont val="楷体_GB2312"/>
        <charset val="134"/>
      </rPr>
      <t>大厦现场有3台塔式起重机，其中两台编号为1号和2号的塔式起重机安装单位为中核华兴达丰机械工程有限公司。两台塔式起重机安装前未按规定书面告知工程所在地县级以上地方人民政府建设主管部门，涉嫌违法《建筑起重机械安全监督管理规定》第十二条第五项的规定。</t>
    </r>
  </si>
  <si>
    <t>NSAJ-2018109</t>
  </si>
  <si>
    <t>深南住建罚〔2018〕9号</t>
  </si>
  <si>
    <t>关于深圳市京基房地产股份有限公司未责令安装单位、使用单位立即停工整改案</t>
  </si>
  <si>
    <t>914403001923033209</t>
  </si>
  <si>
    <t>建设单位未责令停止安装、使用塔式起重机械</t>
  </si>
  <si>
    <r>
      <rPr>
        <sz val="12"/>
        <rFont val="楷体_GB2312"/>
        <charset val="134"/>
      </rPr>
      <t>经查，长源御景</t>
    </r>
    <r>
      <rPr>
        <sz val="12"/>
        <rFont val="宋体"/>
        <charset val="134"/>
      </rPr>
      <t>峯</t>
    </r>
    <r>
      <rPr>
        <sz val="12"/>
        <rFont val="楷体_GB2312"/>
        <charset val="134"/>
      </rPr>
      <t>大厦的建设单位为深圳市京基房地产股份有限公司，该工程现场有3台塔式起重机，塔式起重机在未告知工程所在地县级以上人民政府建设主管部门情况下进行安装作业并投入使用。建设单位接到监理单位报告后，未责令安装单位、使用单位立即停工整改。涉嫌违法《建筑起重机械安全监督管理规定》第三十三第二项的规定。</t>
    </r>
  </si>
  <si>
    <t>NSAJ-2018110</t>
  </si>
  <si>
    <t>深南住建罚〔2018〕10号</t>
  </si>
  <si>
    <t>关于深圳市九州建设技术股份有限公司未审核塔式起重机械安装单位相关材料案</t>
  </si>
  <si>
    <t>91440300192360878C</t>
  </si>
  <si>
    <r>
      <rPr>
        <sz val="12"/>
        <rFont val="楷体_GB2312"/>
        <charset val="134"/>
      </rPr>
      <t>经查，长源御景</t>
    </r>
    <r>
      <rPr>
        <sz val="12"/>
        <rFont val="宋体"/>
        <charset val="134"/>
      </rPr>
      <t>峯</t>
    </r>
    <r>
      <rPr>
        <sz val="12"/>
        <rFont val="楷体_GB2312"/>
        <charset val="134"/>
      </rPr>
      <t>大厦的监理单位为深圳市九州建设技术股份有限公司。该工程现场有3台塔式起重机，建筑起重机械安装单位资质证书、安全生产许可证和特种作业操作资格证书虽然合乎要求，但监理单位未审核。涉嫌违反《建筑起重机械安全监督管理规定》第二十二条第二项的规定。</t>
    </r>
  </si>
  <si>
    <t>NSAJ-2018111</t>
  </si>
  <si>
    <t>深南住建罚〔2018〕11号</t>
  </si>
  <si>
    <t>省司法厅
2019-4-8
国安委办
2019-5-13</t>
  </si>
  <si>
    <t>关于深圳市蛇口招商港湾工程有限公司未采用密闭式防尘网遮盖建筑土方案</t>
  </si>
  <si>
    <t>康佳集团总部厂区城市更新项目基坑支护与土石方工程</t>
  </si>
  <si>
    <t>深圳市蛇口招商港湾工程有限公司</t>
  </si>
  <si>
    <t>914403001924420643</t>
  </si>
  <si>
    <t>施工单位未对场地内对方的建筑土方采取遮盖措施</t>
  </si>
  <si>
    <t>场地内堆放的建筑土方未采取遮盖措施。涉嫌违反《中华人民共和国大气污染防治法》第六十九条。</t>
  </si>
  <si>
    <t>NSAJ-2018201</t>
  </si>
  <si>
    <t>深南住建安罚〔2018〕201号</t>
  </si>
  <si>
    <t>二组</t>
  </si>
  <si>
    <t>长源京基御领公馆</t>
  </si>
  <si>
    <t>经查，长源京基御领公馆现场有2台塔式起重机，这2台建筑起重机械的产权和安装单位为中建二局第一建筑工程有限公司，该工程建筑起重机械安装前未按规定书面告知工程所在地县级以上地方人民政府建设部门并办理安装告知手续，你单位违反了《建筑起重机械安全监督管理规定》第十二条第五项的规定。</t>
  </si>
  <si>
    <t>NSAJ-2018202</t>
  </si>
  <si>
    <t>深南住建安罚〔2018〕第202号</t>
  </si>
  <si>
    <t>关于深圳市九州建设技术股份有限公司未监督检查建筑起重机械使用情况案</t>
  </si>
  <si>
    <t>经查，长源京基御领公馆的监理单位为深圳市九州建设技术股份有限公司，该工程现场有5台建筑起重机械，监理单位未按要求监督检查建筑起重机械的使用情况，你单位违反了《建筑起重机械安全监督管理规定》第十二条第五项的规定。</t>
  </si>
  <si>
    <t>NSAJ-2018203</t>
  </si>
  <si>
    <t>深南住建安罚〔2018〕第203号</t>
  </si>
  <si>
    <t>经查，长源京基御领公馆的建设单位为深圳市京基房地产股份有限公司，该工程现场有2台塔式起重机和3台施工升降机，该工程塔式起重机、施工升降机未告知工程所在地县级以上地方人民政府建设部门下进行安装作业并投入使用，监理对其发的安全隐患整改报告，建设单位未责令安装单位、使用单位立即停工整改。你单位违反了《建筑起重机械安全监督管理规定》第三十三条第二项的规定。</t>
  </si>
  <si>
    <t>NSAJ-2018204</t>
  </si>
  <si>
    <t>深南住建安罚〔2018〕第204号</t>
  </si>
  <si>
    <r>
      <rPr>
        <sz val="12"/>
        <rFont val="楷体_GB2312"/>
        <charset val="134"/>
      </rPr>
      <t>关于广东省肇庆市</t>
    </r>
    <r>
      <rPr>
        <sz val="12"/>
        <rFont val="宋体"/>
        <charset val="134"/>
      </rPr>
      <t>燊</t>
    </r>
    <r>
      <rPr>
        <sz val="12"/>
        <rFont val="楷体_GB2312"/>
        <charset val="134"/>
      </rPr>
      <t>荣建筑安装装饰工程有限公司未办理安装告知手续擅自安装建筑起重机械案</t>
    </r>
  </si>
  <si>
    <r>
      <rPr>
        <sz val="12"/>
        <rFont val="楷体_GB2312"/>
        <charset val="134"/>
      </rPr>
      <t>广东省肇庆市</t>
    </r>
    <r>
      <rPr>
        <sz val="12"/>
        <rFont val="宋体"/>
        <charset val="134"/>
      </rPr>
      <t>燊</t>
    </r>
    <r>
      <rPr>
        <sz val="12"/>
        <rFont val="楷体_GB2312"/>
        <charset val="134"/>
      </rPr>
      <t>荣建筑安装装饰工程有限公司</t>
    </r>
  </si>
  <si>
    <t>91441200725081653X</t>
  </si>
  <si>
    <r>
      <rPr>
        <sz val="12"/>
        <rFont val="楷体_GB2312"/>
        <charset val="134"/>
      </rPr>
      <t>经查，长源京基御领公馆现场有3台施工升降机，这3台建筑起重机械安装单位为广东省肇庆市</t>
    </r>
    <r>
      <rPr>
        <sz val="12"/>
        <rFont val="宋体"/>
        <charset val="134"/>
      </rPr>
      <t>燊</t>
    </r>
    <r>
      <rPr>
        <sz val="12"/>
        <rFont val="楷体_GB2312"/>
        <charset val="134"/>
      </rPr>
      <t>荣建筑安装装饰工程有限公司，该工程建筑起重机械安装前未按规定书面告知工程所在地县级以上地方人民政府建设部门并办理安装告知手续，你单位违反了《建筑起重机械安全监督管理规定》第十二条第五项的规定。</t>
    </r>
  </si>
  <si>
    <t>NSAJ-2018205</t>
  </si>
  <si>
    <t>深南住建安罚〔2018〕第205号</t>
  </si>
  <si>
    <t>关于河南六建租赁有限公司未办理安装告知手续擅自安装塔式起重机械案</t>
  </si>
  <si>
    <t>临海揽山御园</t>
  </si>
  <si>
    <t>河南六建租赁有限公司</t>
  </si>
  <si>
    <t>91410300757136786Y</t>
  </si>
  <si>
    <t>经查，你单位作为临海揽山御园项目塔式起重机械的安装单位，在该工程安装的1台塔式起重机械安装前未书面告知工程所在地县级以上地方人民政府建设主管部门，你单位的上述行为违反了《建筑起重机械安全监督管理规定》第十二条第五款的规定。</t>
  </si>
  <si>
    <t>NSAJ-2018112</t>
  </si>
  <si>
    <t>深南住建罚〔2018〕31号</t>
  </si>
  <si>
    <t>关于深圳市宏丰机械设备有限公司未办理安装告知手续擅自安装塔式起重机械案</t>
  </si>
  <si>
    <t>深圳市宏丰机械设备有限公司</t>
  </si>
  <si>
    <t>914403003061516371</t>
  </si>
  <si>
    <t>经查，临海揽山御园项目现场有6台塔式起重机，其中5台编号1、2、3、4、5号的塔式起重机安装单位为深圳市宏丰达机械设备有限公司。该塔式起重机安装前未书面告知工程所在地县级以上地方人民政府建设主管部门，涉嫌违反《建筑起重机械安全监督管理规定》第十二条第五项的规定。</t>
  </si>
  <si>
    <t>NSAJ-2018113</t>
  </si>
  <si>
    <t>深南住建罚〔2018〕32号</t>
  </si>
  <si>
    <t>经查，临海揽山御园项目的监理单位为深圳市九州建设技术股份有限公司。该工程现场有6台塔式起重机，建筑起重机械安装单位资质证书、安全生产许可证和特种作业操作资格证书虽然合乎要求，但监理单位未审核。涉嫌违反《建筑起重机械安全监督管理规定》第二十二条第二项的规定。</t>
  </si>
  <si>
    <t>NSAJ-2018114</t>
  </si>
  <si>
    <t>深南住建罚〔2018〕33号</t>
  </si>
  <si>
    <t>关于深圳市富诺房地产开发有限公司未责令停止安装、使用塔式起重机械案</t>
  </si>
  <si>
    <t>深圳市富诺房地产开发有限公司</t>
  </si>
  <si>
    <t>91440300680363146B</t>
  </si>
  <si>
    <t>经查，临海揽山御园项目的建设单位为深圳市富诺房地产开发有限公司，该工程现场有6台塔式起重机。该塔式起重机安装前未书面告知工程所在地县级以上地方人民政府建设主管部门情况下进行安装作业并投入使用，建设单位接到监理单位报告后，未责令安装单位、使用单位立即停工整改。涉嫌违反《建筑起重机械安全监督管理规定》第三十三条第二项的规定。</t>
  </si>
  <si>
    <t>NSAJ-2018115</t>
  </si>
  <si>
    <t>深南住建罚〔2018〕34号</t>
  </si>
  <si>
    <t>关于湖南省第四工程有限公司未制定实施塔式起重机械安全措施案</t>
  </si>
  <si>
    <t>湖南省第四工程有限公司</t>
  </si>
  <si>
    <t>91430500185520490U</t>
  </si>
  <si>
    <t>施工单位未制定实施塔式起重机械安全措施</t>
  </si>
  <si>
    <t>经查，临海揽山御园项目的施工总承包单位为湖南省第四工程有限公司，该工程现场有6台塔式起重机，施工总承包未组织制定并实施防止塔式起重机相互碰撞的安全措施。涉嫌违反《建筑起重机械安全监督管理规定》第二十一条第七项的规定。</t>
  </si>
  <si>
    <t>NSAJ-2018116</t>
  </si>
  <si>
    <t>深南住建罚〔2018〕35号</t>
  </si>
  <si>
    <t>关于中建二局第一建筑工程有限公司未完成实名制安全教育培训案</t>
  </si>
  <si>
    <t>施工单位未组织施工人员完成实名制安全教育培训或未通过考试</t>
  </si>
  <si>
    <r>
      <rPr>
        <sz val="12"/>
        <rFont val="楷体_GB2312"/>
        <charset val="134"/>
      </rPr>
      <t>经查，你单位作为长源御景</t>
    </r>
    <r>
      <rPr>
        <sz val="12"/>
        <rFont val="宋体"/>
        <charset val="134"/>
      </rPr>
      <t>峯</t>
    </r>
    <r>
      <rPr>
        <sz val="12"/>
        <rFont val="楷体_GB2312"/>
        <charset val="134"/>
      </rPr>
      <t>大厦的施工单位，执法人员在2018年12月28日对项目落实实名制安全教育培训检查，抽查5名工人（罗文奇、刘兴强、石国贵、吴清才、吕成付）未完成实名制安全教育培训或未通过考试。你单位的行为违反了《中华人民共和国安全生产法》第二十五条。</t>
    </r>
  </si>
  <si>
    <t>深南住建行罚〔2019〕1号</t>
  </si>
  <si>
    <t>深南住建罚〔2019〕1号</t>
  </si>
  <si>
    <t>安监站自编号：NSAJ2019001</t>
  </si>
  <si>
    <t>已补录公示</t>
  </si>
  <si>
    <t>区法制办
2019-8-23</t>
  </si>
  <si>
    <t>关于森帝木业（深圳）有限公司未落实安全监督管理案</t>
  </si>
  <si>
    <t>光大宿舍C栋二次装修工程</t>
  </si>
  <si>
    <t>森帝木业（深圳）有限公司</t>
  </si>
  <si>
    <t>91440300618840095J</t>
  </si>
  <si>
    <t>建设单位收到监理单位下发停止施工通知书后未责令施工单位立即停工整改</t>
  </si>
  <si>
    <t>经查，光大宿舍C栋二次装修工程的建设单位为森帝木业（深圳）有限公司，该工程现场有1台施工电梯未办理使用登记手续违规使用。建设单位在2019年3月2日收到了监理公司下发的停止施工通知，但未责令施工单位立即停工整改。涉嫌违反《建筑起重机械安全监督管理规定》第二十三条的规定。</t>
  </si>
  <si>
    <t>深南住建行罚〔2019〕2号</t>
  </si>
  <si>
    <t>深南住建罚〔2019〕2号</t>
  </si>
  <si>
    <t>警告+罚款</t>
  </si>
  <si>
    <t>安监站自编号：NSAJ2019002</t>
  </si>
  <si>
    <t>已公示</t>
  </si>
  <si>
    <t>关于吕邦武未按规定办理安全生产考核合格证书变更案</t>
  </si>
  <si>
    <t>女娲路（北段）施工总承包工程</t>
  </si>
  <si>
    <t>吕邦武</t>
  </si>
  <si>
    <t>420683198411231259</t>
  </si>
  <si>
    <t>项目经理未按规定办理安全生产考核合格证书变更</t>
  </si>
  <si>
    <t>当事人吕邦武于2019年4月12日被任命为女娲路（北段）施工总承包工程的项目经理，其所在聘用企业是深圳市罗湖建筑安装工程有限公司，但其未按规定办理安全生产考核合格证书变更。当事人的上述行为涉嫌违反《建筑施工企业主要负责人、项目负责人和专职安全生产管理人员安全生产管理规定》（中华人民共和国住房和城乡建设部令第17号）第十一条的规定。</t>
  </si>
  <si>
    <t>NSAJ-2019301</t>
  </si>
  <si>
    <t>深南住建罚〔2019〕7号</t>
  </si>
  <si>
    <t>安监站自编号：NSAJ2019003</t>
  </si>
  <si>
    <t>关于深圳市设计装饰工程有限公司未按照规定对清洗作业工人进行安全生产教育和培训案</t>
  </si>
  <si>
    <t>龙苑学校施工总承包</t>
  </si>
  <si>
    <t>深圳市设计装饰工程有限公司</t>
  </si>
  <si>
    <t>91440300192194152Y</t>
  </si>
  <si>
    <t>生产经营单位未对从业人员进行安全教育和培训</t>
  </si>
  <si>
    <t>经查，你单位龙苑学校工地幕墙清洗作业工人在使用座板式单人吊具悬吊作业，执法人员检查教育和培训资料，发现施工单位未对作业人员就座板式单人吊具的操作规程进行培训。你单位的上述行为违反了《中华人民共和国安全生产法》第二十五条的规定。</t>
  </si>
  <si>
    <t>深南住建立〔2019〕203号</t>
  </si>
  <si>
    <t>深南住建罚〔2019〕16号</t>
  </si>
  <si>
    <t>安监站自编号：NSAJ2019004</t>
  </si>
  <si>
    <t>已录入上报</t>
  </si>
  <si>
    <t>关于深圳市深安企业有限公司未按规定建立危大工程安全管理档案案</t>
  </si>
  <si>
    <t>深圳湾中学学生宿舍、食堂扩建工程</t>
  </si>
  <si>
    <t>深圳市深安企业有限公司</t>
  </si>
  <si>
    <t>91440300192321692Q</t>
  </si>
  <si>
    <t>施工单位未按规定建立危大工程安全管理档案</t>
  </si>
  <si>
    <t>经查，你（单位）作为深圳湾中学学生宿舍、食堂扩建工程的施工单位，未将悬挑式脚手架方案交底记录纳入档案管理。你（单位）的上述行为违反了《危险性较大的分部分项工程安全管理规定》（住建部令第37号）第二十四条“施工、监理单位应当建立危大工程安全管理档案。施工单位应当将专项施工方案及审核、专家论证、交底、现场检查、验收及整改等相关资料纳入档案管理”的规定。</t>
  </si>
  <si>
    <t>深南住建立〔2019〕NSAJ-101号</t>
  </si>
  <si>
    <t>深南住建罚〔2019〕17号</t>
  </si>
  <si>
    <t>安监站自编号：NSAJ2019005</t>
  </si>
  <si>
    <t>市安委办备查2019-12-16
省安委办备查2020-1-17</t>
  </si>
  <si>
    <t>关于张驰未按规定建立危大工程安全管理档案案</t>
  </si>
  <si>
    <t>张驰</t>
  </si>
  <si>
    <t>622627198407263416</t>
  </si>
  <si>
    <t>经查，你（单位）作为深圳湾中学学生宿舍、食堂扩建工程施工单位的项目经理，未将悬挑式脚手架方案交底记录纳入档案管理。你（单位）的上述行为违反了《危险性较大的分部分项工程安全管理规定》（住建部令第37号）第二十四条“施工、监理单位应当建立危大工程安全管理档案。施工单位应当将专项施工方案及审核、专家论证、交底、现场检查、验收及整改等相关资料纳入档案管理”的规定。</t>
  </si>
  <si>
    <t>深南住建立〔2019〕NSAJ-102号</t>
  </si>
  <si>
    <t>深南住建罚〔2019〕18号</t>
  </si>
  <si>
    <t>安监站自编号：NSAJ2019006</t>
  </si>
  <si>
    <t>关于周浩未按规定建立危大工程安全管理档案案</t>
  </si>
  <si>
    <t>周浩</t>
  </si>
  <si>
    <t>430381199202205019</t>
  </si>
  <si>
    <t>经查，你（单位）作为深圳湾中学学生宿舍、食堂扩建工程的施工单位项目技术负责人，未将悬挑式脚手架方案交底记录纳入档案管理。你（单位）的上述行为违反了《危险性较大的分部分项工程安全管理规定》（住建部令第37号）第二十四条“施工、监理单位应当建立危大工程安全管理档案。施工单位应当将专项施工方案及审核、专家论证、交底、现场检查、验收及整改等相关资料纳入档案管理”的规定。</t>
  </si>
  <si>
    <t>深南住建立〔2019〕NSAJ-103号</t>
  </si>
  <si>
    <t>深南住建罚〔2019〕19号</t>
  </si>
  <si>
    <t>安监站自编号：NSAJ2019007</t>
  </si>
  <si>
    <t>关于深圳深安建筑工程有限公司未采取覆盖、洒水抑尘等有效防尘降尘措施案</t>
  </si>
  <si>
    <t>时代广场二期项目土石方、基坑支护工程</t>
  </si>
  <si>
    <t>深圳深安建筑工程有限公司</t>
  </si>
  <si>
    <t>91440300MA5D9LT25D</t>
  </si>
  <si>
    <t>施工工地未采取覆盖、洒水抑尘等有效防尘降尘措施</t>
  </si>
  <si>
    <t>经查，时代广场二期项目土石方、基坑支护工程的施工单位为深圳深安建筑工程有限公司，我站在2019年8月8日监督执法巡查该项目时，发现施工工地未采取覆盖、洒水抑尘等有效防尘降尘措施，涉嫌违反《中华人民共和国大气污染防治法》第六十九条的规定。</t>
  </si>
  <si>
    <t>深南住建立[2019]NSAJ-104号</t>
  </si>
  <si>
    <t>深南住建罚[2019]26号</t>
  </si>
  <si>
    <t>安监站自编号：NSAJ2019008</t>
  </si>
  <si>
    <t>2020/9/25已补录上报</t>
  </si>
  <si>
    <t>关于深圳市鹏城建筑集团有限公司未按规定建立危大工程安全管理档案案</t>
  </si>
  <si>
    <t>大沙河截流箱涵改造工程</t>
  </si>
  <si>
    <t>深圳市鹏城建筑集团有限公司</t>
  </si>
  <si>
    <t>914403001921735545</t>
  </si>
  <si>
    <t>未按规定建立危大工程安全管理档案</t>
  </si>
  <si>
    <t>经查，大沙河截流箱涵改造工程的施工单位为深圳市鹏城建筑集团有限公司，我站在2019年8月15日监督执法抽查该项目的危大工程（基坑支护与土方开挖）安全管理档案时，发现施工单位未按规定建立危大工程安全管理档案，涉嫌违反《危险性较大的分部分项工程安全管理规定》（住建部令第37号）第二十四条的规定。</t>
  </si>
  <si>
    <t>深南住建立[2019]NSAJ-105号</t>
  </si>
  <si>
    <t>深南住建罚[2019]27号</t>
  </si>
  <si>
    <t>安监站自编号：NSAJ2019009</t>
  </si>
  <si>
    <t>市司法局2019-11-15</t>
  </si>
  <si>
    <t>关于张志钢未按规定建立危大工程安全管理档案案</t>
  </si>
  <si>
    <t>张志钢</t>
  </si>
  <si>
    <t>510107197502190070</t>
  </si>
  <si>
    <t>经查，大沙河截流箱涵改造工程的施工单位项目经理为张志钢，我站在2019年8月15日监督执法抽查该项目的危大工程（基坑支护与土方开挖）安全管理档案时，发现施工单位未按规定建立危大工程安全管理档案，涉嫌违反《危险性较大的分部分项工程安全管理规定》（住建部令第37号）第二十四条的规定。</t>
  </si>
  <si>
    <t>深南住建立[2019]NSAJ-106号</t>
  </si>
  <si>
    <t>深南住建罚[2019]28号</t>
  </si>
  <si>
    <t>安监站自编号：NSAJ2019010</t>
  </si>
  <si>
    <t>关于唐潇未按规定建立危大工程安全管理档案案</t>
  </si>
  <si>
    <t>唐潇</t>
  </si>
  <si>
    <t>440923198509024817</t>
  </si>
  <si>
    <t>经查，大沙河截流箱涵改造工程的施工单位项目技术负责人为唐潇，我站在2019年8月15日监督执法抽查该项目的危大工程（基坑支护与土方开挖）安全管理档案时，发现施工单位未按规定建立危大工程安全管理档案，涉嫌违反《危险性较大的分部分项工程安全管理规定》（住建部令第37号）第二十四条的规定。</t>
  </si>
  <si>
    <t>深南住建立[2019]NSAJ-107号</t>
  </si>
  <si>
    <t>深南住建罚[2019]29号</t>
  </si>
  <si>
    <t>安监站自编号：NSAJ2019011</t>
  </si>
  <si>
    <t>中国二冶集团有限公司未按照规定组织危大工程验收行政处罚案</t>
  </si>
  <si>
    <t>留仙小学改扩建施工总承包工程（I期）</t>
  </si>
  <si>
    <t>中国二冶集团有限公司</t>
  </si>
  <si>
    <t>9115020011439356XY</t>
  </si>
  <si>
    <t>施工单位未按照规定组织危大工程验收</t>
  </si>
  <si>
    <t>经查，留仙小学改扩建施工总承包工程（I期）的施工单位为中国二冶集团有限公司。执法人员在2019年8月30日的监督执法检查过程中发现，该项目C区地下一层顶板混凝土模板支撑工程的搭设高度约为6.5米，属于《住房和城乡建设部办公厅关于实施&lt;危险性较大的分部分项工程安全管理规定&gt;有关问题的通知》中危险性较大的分部分项工程范围（以下简称危大工程）。施工单位未按照规定组织危大工程验收，涉嫌违反《危险性较大的分部分项工程安全管理规定》（中华人民共和国住房和城乡建设部令第37号）第二十一条第一款的规定。</t>
  </si>
  <si>
    <t>深南住建立[2019]NSAJ-302号</t>
  </si>
  <si>
    <t>深南住建罚[2019]33号</t>
  </si>
  <si>
    <t>安监站自编号：NSAJ2019012</t>
  </si>
  <si>
    <t>市安委办2019-12-16</t>
  </si>
  <si>
    <t>翟国光未按照规定组织危大工程验收行政处罚案</t>
  </si>
  <si>
    <t>翟国光</t>
  </si>
  <si>
    <t>150203197902140016</t>
  </si>
  <si>
    <t>项目经理作为直接负责的主管人员未按照规定组织危大工程验收</t>
  </si>
  <si>
    <t>经查，留仙小学改扩建施工总承包工程（I期）施工单位的项目经理为翟国光。执法人员在2019年8月30日的监督执法检查过程中发现，该项目C区地下一层顶板混凝土模板支撑工程的搭设高度约为6.5米，属于《住房和城乡建设部办公厅关于实施&lt;危险性较大的分部分项工程安全管理规定&gt;有关问题的通知》中危险性较大的分部分项工程范围（以下简称危大工程）。施工单位未按照规定组织危大工程验收，项目经理作为直接负责的主管人员涉嫌违反《危险性较大的分部分项工程安全管理规定》（中华人民共和国住房和城乡建设部令第37号）第二十一条第一款的规定。</t>
  </si>
  <si>
    <t>深南住建立[2019]NSAJ-303号</t>
  </si>
  <si>
    <t>深南住建罚[2019]34号</t>
  </si>
  <si>
    <t>安监站自编号：NSAJ2019013</t>
  </si>
  <si>
    <t>省安委办备查2020-1-17</t>
  </si>
  <si>
    <t>赵志伟未按照规定组织危大工程验收行政处罚案</t>
  </si>
  <si>
    <t>赵志伟</t>
  </si>
  <si>
    <t>150429198308095311</t>
  </si>
  <si>
    <t>项目技术负责人作为直接责任人员未按照规定组织危大工程验收</t>
  </si>
  <si>
    <t>经查，留仙小学改扩建施工总承包工程（I期）施工单位的项目技术负责人为赵志伟。执法人员在2019年8月30日的监督执法检查过程中发现，该项目C区地下一层顶板混凝土模板支撑工程的搭设高度约为6.5米，属于《住房和城乡建设部办公厅关于实施&lt;危险性较大的分部分项工程安全管理规定&gt;有关问题的通知》中危险性较大的分部分项工程范围（以下简称危大工程）。施工单位未按照规定组织危大工程验收，项目技术负责人作为直接责任人员涉嫌违反《危险性较大的分部分项工程安全管理规定》（中华人民共和国住房和城乡建设部令第37号）第二十一条第一款的规定。</t>
  </si>
  <si>
    <t>深南住建立[2019]NSAJ-304号</t>
  </si>
  <si>
    <t>深南住建罚[2019]35号</t>
  </si>
  <si>
    <t>安监站自编号：NSAJ2019014</t>
  </si>
  <si>
    <t>深圳市深业泰然建设工程有限公司未按规定建立危大工程安全管理档案行政处罚案</t>
  </si>
  <si>
    <t>绿景美景广场</t>
  </si>
  <si>
    <t>深圳市深业泰然建设工程有限公司</t>
  </si>
  <si>
    <t>914403001922554453</t>
  </si>
  <si>
    <t>经查，绿景美景广场门窗幕墙安装工程的施工单位为深圳市深业泰然建设工程有限公司，我站在2019年9月5日监督执法抽查该项目的危大工程（建筑幕墙安装工程）安全管理档案时，发现施工单位未按规定建立危大工程安全管理档案，涉嫌违反《危险性较大的分部分项工程安全管理规定》（住建部令第37号）第二十四条的规定。</t>
  </si>
  <si>
    <t>深南住建立[2019]204号</t>
  </si>
  <si>
    <t>深南住建罚[2019]30号</t>
  </si>
  <si>
    <t>安监站自编号：NSAJ2019015</t>
  </si>
  <si>
    <t>陈宇嘉未按规定建立危大工程安全管理档案行政处罚案</t>
  </si>
  <si>
    <t>陈宇嘉</t>
  </si>
  <si>
    <t>专业分包单位项目经理</t>
  </si>
  <si>
    <t>420111197702135570</t>
  </si>
  <si>
    <t>经查，绿景美景广场门窗幕墙安装工程施工单位的项目经理为陈宇嘉，我站在2019年9月5日监督执法抽查该项目的危大工程（建筑幕墙安装工程）安全管理档案时，发现施工单位未按规定建立危大工程安全管理档案，涉嫌违反《危险性较大的分部分项工程安全管理规定》（住建部令第37号）第二十四条的规定。</t>
  </si>
  <si>
    <t>深南住建立[2019]205号</t>
  </si>
  <si>
    <t>深南住建罚[2019]31号</t>
  </si>
  <si>
    <t>安监站自编号：NSAJ2019016</t>
  </si>
  <si>
    <t>谢培生未按规定建立危大工程安全管理档案行政处罚案</t>
  </si>
  <si>
    <t>谢培生</t>
  </si>
  <si>
    <t>专业分包单位项目技术负责人</t>
  </si>
  <si>
    <t>445281198401180017</t>
  </si>
  <si>
    <t>经查，绿景美景广场门窗幕墙安装工程施工单位的现场技术负责人为谢培生，我站在2019年9月5日监督执法抽查该项目的危大工程（建筑幕墙安装工程）安全管理档案时，发现施工单位未按规定建立危大工程安全管理档案，涉嫌违反《危险性较大的分部分项工程安全管理规定》（住建部令第37号）第二十四条的规定。</t>
  </si>
  <si>
    <t>深南住建立[2019]206号</t>
  </si>
  <si>
    <t>深南住建罚[2019]32号</t>
  </si>
  <si>
    <t>安监站自编号：NSAJ2019017</t>
  </si>
  <si>
    <t>深圳市优高雅建筑装饰有限公司未为从业人员提供劳动防护用品行政处罚案</t>
  </si>
  <si>
    <t>华润城润府三期总承包</t>
  </si>
  <si>
    <t>深圳市优高雅建筑装饰有限公司</t>
  </si>
  <si>
    <t>91440300779878836U</t>
  </si>
  <si>
    <t>未为从业人员提供劳动防护用品</t>
  </si>
  <si>
    <t>经查，华润城润府三期装饰装修工程的施工单位为深圳市优高雅建筑装饰有限公司，我站在2019年10月23日监督执法巡查该项目时，发现2栋地下负一层电梯前室有两名高处作业人员未按规定佩戴和使用安全带，涉嫌违反《中华人民共和国安全生产法》第四十二条的规定。</t>
  </si>
  <si>
    <t>深南住建立[2019]NSAJ-108号</t>
  </si>
  <si>
    <t>深南住建罚[2019]51号</t>
  </si>
  <si>
    <t>安监站自编号：NSAJ2019018</t>
  </si>
  <si>
    <t>未装订</t>
  </si>
  <si>
    <t>中铁十六局集团有限公司未按照规定对从业人员进行安全生产教育和培训行政处罚案</t>
  </si>
  <si>
    <t>前海08-01-01地块公共开放空间-冷站、公交场站等工程</t>
  </si>
  <si>
    <t>施工单位未按照规定对从业人员进行安全生产教育和培训</t>
  </si>
  <si>
    <t>经查，前海08-01-01地块公共开放空间-冷站、公交场站等基坑支护和土石方工程的施工单位为中铁十六局集团有限公司。执法人员在2019年10月24日的监督执法检查过程中发现，该项目未对现场作业工人李德琴、魏国庆进行入场三级教育和安全技术交底，涉嫌违反《中华人民共和国安全生产法》第二十五条第一款的规定。</t>
  </si>
  <si>
    <t>深南住建立[2019]NSAJ-306号</t>
  </si>
  <si>
    <t>深南住建罚[2019]49号</t>
  </si>
  <si>
    <t>安监站自编号：NSAJ2019019</t>
  </si>
  <si>
    <t>中铁十六局集团有限公司电焊工未按照规定持证上岗行政处罚案</t>
  </si>
  <si>
    <t>电焊工未按照规定持证上岗</t>
  </si>
  <si>
    <t>经查，前海08-01-01地块公共开放空间-冷站、公交场站等基坑支护和土石方工程的施工单位为中铁十六局集团有限公司。执法人员在2019年10月24日的监督执法检查过程中发现，该项目地下室D区第四道支撑梁进行电焊作业的工人吴进无焊工特种作业人员证件，涉嫌违反《中华人民共和国安全生产法》第二十七条第一款的规定。</t>
  </si>
  <si>
    <t>深南住建立[2019]NSAJ-305号</t>
  </si>
  <si>
    <t>深南住建罚[2019]48号</t>
  </si>
  <si>
    <t>安监站自编号：NSAJ2019020</t>
  </si>
  <si>
    <t>广东省工业设备安装有限公司未按照规定对从业人员进行安全生产教育和培训行政处罚案</t>
  </si>
  <si>
    <t>南海救助局深圳基地陆域工程</t>
  </si>
  <si>
    <t>广东省工业设备安装有限公司</t>
  </si>
  <si>
    <t>91440000190321373W</t>
  </si>
  <si>
    <t>未按照规定对从业人员进行安全生产教育和培训</t>
  </si>
  <si>
    <t>2019年10月25日我站监督员检查广东省工业设备安装有限公司南海救助局深圳基地陆域工程项目，现场抽查到2名作业工人（罗现团、罗腾），发现广东省工业设备安装有限公司未对其进行安全生产教育和培训，该单位的行为涉嫌违反了《中华人民共和国安全生产法》第二十五条。</t>
  </si>
  <si>
    <t>深南住建立[2019]207号</t>
  </si>
  <si>
    <t>深南住建罚[2019]50号</t>
  </si>
  <si>
    <t>安监站自编号：NSAJ2019021</t>
  </si>
  <si>
    <t>NSAJ2020001</t>
  </si>
  <si>
    <t>甘明彦未按规定办理安全生产考核合格证书变更行政处罚案</t>
  </si>
  <si>
    <t>大疆天空之城大厦</t>
  </si>
  <si>
    <t>甘明彦</t>
  </si>
  <si>
    <t>430111198811220332</t>
  </si>
  <si>
    <t>“安管人员”未按规定办理证书变更</t>
  </si>
  <si>
    <t>经查，甘明彦是大疆天空之城大厦项目的钢结构施工单位项目经理，检查发现甘明彦的安全生产考核合格证注册企业为广东艺皇装饰工程有限公司,不是目前所在工作单位深圳建升和钢结构建筑安装工程有限公司。“安管人员”未按规定办理证书变更，违反了《建筑施工企业主要负责人、项目负责人和专职安全生产管理人员安全生产管理规定》第十一条的规定。</t>
  </si>
  <si>
    <t>深南住建立[2019]NSAJ-307号</t>
  </si>
  <si>
    <t>深南住建罚[2020]3号</t>
  </si>
  <si>
    <t>安监站自编号：NSAJ2020001</t>
  </si>
  <si>
    <t>NSAJ2020002</t>
  </si>
  <si>
    <t>深圳市鼎基建设工程有限公司电焊工未按照规定持证上岗行政处罚案</t>
  </si>
  <si>
    <t>侨城北文体中心项目土石方、基坑支护工程</t>
  </si>
  <si>
    <t>深圳市鼎基建设工程有限公司</t>
  </si>
  <si>
    <t>9144030079259730XW</t>
  </si>
  <si>
    <t>经查，侨城北文体中心项目土石方、基坑支护工程的支护结构专业分包为深圳市鼎基建设工程有限公司。执法人员在2019年12月5日的监督执法检查过程中发现，该工程东侧冠梁进行钢筋电焊作业的一名工人王端玖无焊工证件，违反了《中华人民共和国安全生产法》第二十七条第一款的规定。</t>
  </si>
  <si>
    <t>深南住建立[2019]NSAJ-308号</t>
  </si>
  <si>
    <t>深南住建罚[2020]4号</t>
  </si>
  <si>
    <t>安监站自编号：NSAJ2020002</t>
  </si>
  <si>
    <t>NSAJ2020003</t>
  </si>
  <si>
    <t>上海市基础工程集团有限公司未建立扬尘污染防治工作台账行政处罚案</t>
  </si>
  <si>
    <t>华润城润玺二期花园基坑支护及土石方工程</t>
  </si>
  <si>
    <t>上海市基础工程集团有限公司</t>
  </si>
  <si>
    <t>91310000132414600T</t>
  </si>
  <si>
    <t>施工单位未建立扬尘污染防治工作台账</t>
  </si>
  <si>
    <t>经查，华润城润玺二期花园基坑支护及土石方工程的施工单位为上海市基础工程集团有限公司。执法人员在2019年12月31日的监督执法检查过程中发现，该施工单位未建立扬尘污染防治工作台账，违反了《广东省大气污染防治条例》第五十三条第一款的规定。</t>
  </si>
  <si>
    <t>深南住建立[2019]NSAJ-309号</t>
  </si>
  <si>
    <t>深南住建罚[2020]6号</t>
  </si>
  <si>
    <t>安监站自编号：NSAJ2020003</t>
  </si>
  <si>
    <t>已完工项目无法补录</t>
  </si>
  <si>
    <t>NSAJ2020004</t>
  </si>
  <si>
    <t>麒麟中学改扩建（南山实验学校初中部）代建施工总承包工程</t>
  </si>
  <si>
    <t>未按照规定组织危大工程验收</t>
  </si>
  <si>
    <t>经查，麒麟中学改扩建（南山实验学校初中部）代建施工总承包工程的施工单位为深圳市深安企业有限公司。在2020年5月19日监督执法抽查该项目的危大工程（H栋悬挑式脚手架）时，发现施工单位未按照规定组织危大工程验收，违反了《危险性较大的分部分项工程安全管理规定》（住建部令第37号）第二十一条第一款的规定。</t>
  </si>
  <si>
    <t>深南住建立[2020]2号</t>
  </si>
  <si>
    <t>深南住建罚[2020]008号</t>
  </si>
  <si>
    <t>安监站自编号：NSAJ2020004</t>
  </si>
  <si>
    <t>NSAJ2020005</t>
  </si>
  <si>
    <t>林明涛</t>
  </si>
  <si>
    <t>440582198810290055</t>
  </si>
  <si>
    <t>经查，麒麟中学改扩建（南山实验学校初中部）代建施工总承包工程的施工单位项目经理为林明涛。在2020年5月19日监督执法抽查该项目的危大工程（H栋悬挑式脚手架）时，发现施工单位未按照规定组织危大工程验收，违反《危险性较大的分部分项工程安全管理规定》（住建部令第37号）第二十一条第一款的规定。</t>
  </si>
  <si>
    <t>深南住建立[2020]3号</t>
  </si>
  <si>
    <t>深南住建罚[2020]009号</t>
  </si>
  <si>
    <t>安监站自编号：NSAJ2020005</t>
  </si>
  <si>
    <t>NSAJ2020006</t>
  </si>
  <si>
    <t>王烨炜</t>
  </si>
  <si>
    <t>432522199207250014</t>
  </si>
  <si>
    <t>经查，麒麟中学改扩建（南山实验学校初中部）代建施工总承包工程项目施工单位技术负责人为王烨炜。在2020年5月19日监督执法抽查该项目的危大工程（H栋悬挑式脚手架）时，发现未按照规定组织危大工程验收，违反《危险性较大的分部分项工程安全管理规定》（住建部令第37号）第二十一条第一款的规定。</t>
  </si>
  <si>
    <t>深南住建立[2020]4号</t>
  </si>
  <si>
    <t>深南住建罚[2020]010号</t>
  </si>
  <si>
    <t>安监站自编号：NSAJ2020006</t>
  </si>
  <si>
    <t>NSAJ2020007</t>
  </si>
  <si>
    <t>卜涵未按规定办理安全生产考核合格证书变更行政处罚案</t>
  </si>
  <si>
    <t>南山区南山街道福华厂区城市更新单元土石方、基坑支护工程</t>
  </si>
  <si>
    <t>卜涵</t>
  </si>
  <si>
    <t>施工单位项目专职安全员</t>
  </si>
  <si>
    <t>430981199612271118</t>
  </si>
  <si>
    <t>现场专职安全员卜涵未按规定办理安全生产考核合格证书变更</t>
  </si>
  <si>
    <t>执法人员于2020年5月21日对深圳市湛联基础建筑工程有限公司承建的南山区南山街道福华厂区城市更新单元土石方、基坑支护工程检查中，发现专职安全员卜涵的安全生产考核合格证书所登记的企业为深圳市远洪建筑劳务有限公司，未变更到深圳市湛联基础建筑工程有限公司，当事人违反了《建筑施工企业主要负责人、项目负责人和专职安全生产管理人员安全生产管理规定》（中华人民共和国住房和城乡建设部令第17号）第十一条的规定。</t>
  </si>
  <si>
    <t>深南住建立[2020]第005号</t>
  </si>
  <si>
    <t>深南住建罚[2020]007号</t>
  </si>
  <si>
    <t>安监站自编号：NSAJ2020007</t>
  </si>
  <si>
    <t>2020/9/23已补录上报</t>
  </si>
  <si>
    <t>不上报司法系统</t>
  </si>
  <si>
    <t>黄智丽未按规定履行安全管理职责行政处罚案</t>
  </si>
  <si>
    <t>2019年前海功能环境双提升工程-前海大道及前海国际会议中心周边道路工程</t>
  </si>
  <si>
    <t>黄智丽</t>
  </si>
  <si>
    <t>施工单位项目安全主任</t>
  </si>
  <si>
    <t>440281198604054841</t>
  </si>
  <si>
    <t>项目安全主任未按规定履行安全管理职责</t>
  </si>
  <si>
    <t>经查，黄智丽是2019年前海功能环境双提升工程-前海大道及前海国际会议中心周边道路工程的项目安全主任。执法人员在2020年5月27日的监督执法检查过程中发现，当事人未按规定每天在施工现场开展安全检查。现场存在安全隐患。当事人未按规定履行安全生产管理职责，违反《建筑施工企业主要负责人、项目负责人和专职安全生产管理人员安全生产管理规定》第二十条的规定。</t>
  </si>
  <si>
    <t>深南住建立[2020]第006号</t>
  </si>
  <si>
    <t>深南住建罚[2020]11号</t>
  </si>
  <si>
    <t>安监站自编号：NSAJ2020008</t>
  </si>
  <si>
    <t>已删除</t>
  </si>
  <si>
    <t>NSAJ2020009</t>
  </si>
  <si>
    <t>远洋天著华府（二期）主体工程</t>
  </si>
  <si>
    <t>远洋国际建设有限公司</t>
  </si>
  <si>
    <t>911100006738027452</t>
  </si>
  <si>
    <t>经查，远洋天著华府（二期）主体工程的施工单位为远洋国际建设有限公司。在2020年7月14日监督执法抽查该项目的危大工程（C栋附着式升降脚手架）时，发现施工单位未按照规定组织危大工程验收，违反《危险性较大的分部分项工程安全管理规定》（住建部令第37号）第二十一条第一款的规定。</t>
  </si>
  <si>
    <t>深南住建立[2020]第011号</t>
  </si>
  <si>
    <t>深南住建行罚决〔2020〕4号</t>
  </si>
  <si>
    <t>20200916095212</t>
  </si>
  <si>
    <t>2020/8/19已补录上报</t>
  </si>
  <si>
    <t>NSAJ2020010</t>
  </si>
  <si>
    <t>黄灵俊</t>
  </si>
  <si>
    <t>33082219900915003X</t>
  </si>
  <si>
    <t>经查，远洋天著华府（二期）主体工程的施工单位项目经理为黄灵俊。在2020年7月14日监督执法抽查该项目的危大工程（C栋附着式升降脚手架）时，发现施工单位未按照规定组织危大工程验收，违反《危险性较大的分部分项工程安全管理规定》（住建部令第37号）第二十一条第一款的规定。</t>
  </si>
  <si>
    <t>深南住建立[2020]第012号</t>
  </si>
  <si>
    <t>深南住建行罚决〔2020〕1号</t>
  </si>
  <si>
    <t>20200923105539</t>
  </si>
  <si>
    <t>NSAJ2020011</t>
  </si>
  <si>
    <t>姜海建</t>
  </si>
  <si>
    <t>110111197702196119</t>
  </si>
  <si>
    <t>经查，远洋天著华府（二期）主体工程施工单位技术负责人为姜海建。在2020年7月14日监督执法抽查该项目的危大工程（C栋附着式升降脚手架）时，发现未按照规定组织危大工程验收，违反《危险性较大的分部分项工程安全管理规定》（住建部令第37号）第二十一条第一款的规定。</t>
  </si>
  <si>
    <t>深南住建立[2020]第013号</t>
  </si>
  <si>
    <t>深南住建行罚决〔2020〕2号</t>
  </si>
  <si>
    <t>20200923110553</t>
  </si>
  <si>
    <t>NSAJ2020008</t>
  </si>
  <si>
    <t>项目专职安全生产管理人员未按规定履行安全生产管理职责</t>
  </si>
  <si>
    <t>刘广伟</t>
  </si>
  <si>
    <t>371525198706145996</t>
  </si>
  <si>
    <t>项目专职安全管理人员未按规定履行安全管理职责</t>
  </si>
  <si>
    <t>经调查，刘广伟是前海08-01-01地块公共开放空间-冷站、公交场站等工程的项目专职安全生产管理人员，作为项目专职安全生产管理人员，于2020年8月3日在该工程基坑西侧吊装作业区域存在未按规定对检查发现的安全事故隐患立即处理的行为，上述行为违反了《建筑施工企业主要负责人、项目负责人和专职安全生产管理人员管理规定》第二十条的规定。</t>
  </si>
  <si>
    <t>深南住建行罚决〔2020〕5号</t>
  </si>
  <si>
    <t>20201111111922</t>
  </si>
  <si>
    <t>11440305007542160G20203000001</t>
  </si>
  <si>
    <t>银广厦集团有限公司未按规定建立危大工程安全管理档案</t>
  </si>
  <si>
    <t>万汇停车场总承包工程</t>
  </si>
  <si>
    <t>银广厦集团有限公司</t>
  </si>
  <si>
    <t>914403007230271274</t>
  </si>
  <si>
    <t>本单位于2020年10月12日对万汇停车场总承包工程监督抽查，施工单位银广厦集团有限公司未将模板施工方案交底资料纳入档案管理，上述行为违反了《危险性较大的分部分项工程安全管理规定》（住建部令第37号）第二十四条第二款的规定。</t>
  </si>
  <si>
    <t>深南住建行罚立〔2020〕1 号</t>
  </si>
  <si>
    <t>深南住建行罚决〔2020〕6号</t>
  </si>
  <si>
    <t>万汇停车场总承包工程项目经理曾建平未按规定建立危大工程安全管理档案</t>
  </si>
  <si>
    <t>曾建平</t>
  </si>
  <si>
    <t>362430198510024812</t>
  </si>
  <si>
    <t>万汇停车场总承包工程项目经理曾某某未按规定建立危大工程安全管理档案</t>
  </si>
  <si>
    <t>本单位于2020年10月12日对万汇停车场总承包工程监督抽查，施工单位银广厦集团有限公司项目经理曾某某未将模板施工方案交底资料纳入档案管理，上述行为违反了《危险性较大的分部分项工程安全管理规定》（住建部令第37号）第二十四条第二款的规定。</t>
  </si>
  <si>
    <t>深南住建行罚立〔2020〕2 号</t>
  </si>
  <si>
    <t>深南住建行罚决〔2020〕7号</t>
  </si>
  <si>
    <t>万汇停车场总承包工程技术负责人蔡加云未按规定建立危大工程安全管理档案</t>
  </si>
  <si>
    <t>蔡加云</t>
  </si>
  <si>
    <t>432322196602210026</t>
  </si>
  <si>
    <t>万汇停车场总承包工程技术负责人蔡某某未按规定建立危大工程安全管理档案</t>
  </si>
  <si>
    <t>本单位于2020年10月12日对万汇停车场总承包工程监督抽查，施工单位银广厦集团有限公司项目技术负责人蔡某某未将模板施工方案交底资料纳入档案管理，上述行为违反了《危险性较大的分部分项工程安全管理规定》（住建部令第37号）第二十四条第二款的规定。</t>
  </si>
  <si>
    <t>深南住建行罚立〔2020〕3 号</t>
  </si>
  <si>
    <t>深南住建行罚决〔2020〕8号</t>
  </si>
  <si>
    <t>结转</t>
  </si>
  <si>
    <t>南山医院改扩建（二期）</t>
  </si>
  <si>
    <t>陈伟忠</t>
  </si>
  <si>
    <t>专业分包单位项目专职安全员</t>
  </si>
  <si>
    <t>440821196304151110</t>
  </si>
  <si>
    <t>经查，当事人作为深圳华创建筑装饰股份有限公司的项目安全员，未按规定办理安全生产考核合格证注册单位变更。上述行为违反了《建筑施工企业主要负责人、项目负责人和专职安全生产管理人员安全生产管理规定》第十一条的规定。</t>
  </si>
  <si>
    <t>深南住建行罚立〔2020〕6号</t>
  </si>
  <si>
    <t>深南住建罚〔2021〕3号</t>
  </si>
  <si>
    <t>20210409104559</t>
  </si>
  <si>
    <t>2022.1.7市安委办</t>
  </si>
  <si>
    <t>兆方投资大厦城市更新单元土石方、基坑支护工程</t>
  </si>
  <si>
    <t>董志军</t>
  </si>
  <si>
    <t>440924196901054735</t>
  </si>
  <si>
    <t>经查，当事人是兆方投资大厦城市更新单元土石方、基坑支护工程的项目专职安全生产管理人员。执法人员在2020年12月24日的日常巡查过程中发现，该工程基坑东侧进行钢筋吊装作业时存在未安排建筑起重信号司索工进行作业、未按规定设置作业警戒区、吊索具系结方法不安全可靠的安全隐患。当事人在现场开展安全检查时，未按规定对检查发现的上述安全事故隐患立即处理。上述行为违反了《建筑施工企业主要负责人、项目负责人和专职安全生产管理人员安全生产管理规定》第二十条的规定。</t>
  </si>
  <si>
    <t>深南住建行罚立〔2020〕7号</t>
  </si>
  <si>
    <t>深南住建罚〔2021〕4号</t>
  </si>
  <si>
    <t>南山供电营业中心招拍挂地块幕墙施工单位未按规定建立危大工程安全管理档案</t>
  </si>
  <si>
    <t>南山供电营业中心招拍挂地块</t>
  </si>
  <si>
    <t>深圳粤源建设有限责任公司</t>
  </si>
  <si>
    <t>91440300618820510P</t>
  </si>
  <si>
    <t>本单位在03月22日监督抽查南山供电营业中心招拍挂地块的危大工程（建筑幕墙安装工程）安全管理资料时，发现施工单位深圳粤源建设有限责任公司未按规定建立危大工程安全管理档案。当事人的行为违反了《危险性较大的分部分项工程安全管理规定》（住建部〔2018〕37号）第二十四条第一款的规定。《危险性较大的分部分项工程安全管理规定》（住建部〔2018〕37号）第三十五条第（五）项、《广东省住房和城乡建设系统行政处罚自由裁量权基准(工程建设与建筑业类）》B406.35.5。</t>
  </si>
  <si>
    <t>深南住建行罚立〔2021〕4号</t>
  </si>
  <si>
    <t>深南住建罚〔2021〕8号</t>
  </si>
  <si>
    <t>2021.7.15区司法局</t>
  </si>
  <si>
    <t>胡鹏</t>
  </si>
  <si>
    <t>320321197209170858</t>
  </si>
  <si>
    <t>本单位在03月22日监督抽查南山供电营业中心招拍挂地块的危大工程（建筑幕墙安装工程）安全管理资料时，发现施工单位深圳粤源建设有限责任公司未按规定建立危大工程安全管理档案。该行为违反了《危险性较大的分部分项工程安全管理规定》（住建部〔2018〕37号）第二十四条第一款的规定。经查明，当事人是施工单位的项目经理，是对违法行为直接负责的主管人员。《危险性较大的分部分项工程安全管理规定》（住建部〔2018〕37号）第三十五条第（五）项、《广东省住房和城乡建设系统行政处罚自由裁量权基准(工程建设与建筑业类）》B406.35.5</t>
  </si>
  <si>
    <t>深南住建行罚立〔2021〕5号</t>
  </si>
  <si>
    <t>深南住建罚〔2021〕7号</t>
  </si>
  <si>
    <t>2021.7.15区司法局
2022.1.7市安委办</t>
  </si>
  <si>
    <t>黄国林</t>
  </si>
  <si>
    <t>42092119841127343X</t>
  </si>
  <si>
    <t>本单位在03月22日监督抽查南山供电营业中心招拍挂地块的危大工程（建筑幕墙安装工程）安全管理资料时，发现施工单位深圳粤源建设有限责任公司未按规定建立危大工程安全管理档案,该行为违反了《危险性较大的分部分项工程安全管理规定》（住建部〔2018〕37号）第二十四条第一款的规定。经查明，当事人是施工单位的技术负责人，是违法行为的直接责任人员。《危险性较大的分部分项工程安全管理规定》（住建部〔2018〕37号）第三十五条第（五）项、《广东省住房和城乡建设系统行政处罚自由裁量权基准(工程建设与建筑业类）》B406.35.5 。</t>
  </si>
  <si>
    <t>深南住建行罚立〔2021〕6号</t>
  </si>
  <si>
    <t>深南住建罚〔2021〕6号</t>
  </si>
  <si>
    <t>建筑施工企业在施工工地未采取有效防尘措施</t>
  </si>
  <si>
    <t>仙元路（仙茶路-同发南路）市政道路工程</t>
  </si>
  <si>
    <t>914300001837904624</t>
  </si>
  <si>
    <t>施工单位在施工工地未采取有效防尘降尘措施</t>
  </si>
  <si>
    <t>经查，施工单位在仙元路（仙茶路-同发南路）市政道路工程工地内，未按照要求设置硬质围挡，并采取覆盖、洒水抑尘等有效防尘降尘措施，上述行为违反了《中华人民共和国大气污染防治法》第六十九条第三款的规定。</t>
  </si>
  <si>
    <t>深南住建行罚立〔2021〕7号</t>
  </si>
  <si>
    <t>深南住建罚〔2021〕16号</t>
  </si>
  <si>
    <t>2020.10.20区司法局</t>
  </si>
  <si>
    <t>江西洪明建筑工程有限公司未按照规定组织危大工程验收行政处罚案</t>
  </si>
  <si>
    <t>正天龙雅居</t>
  </si>
  <si>
    <t>江西洪明建筑工程有限公司</t>
  </si>
  <si>
    <t>91361002672442960R</t>
  </si>
  <si>
    <t>经查，当事人为正天龙雅居工程的施工单位，本单位在2021年5月10日监督执法抽查该项目六层南侧卸料平台已经安装完成并且开始使用。根据《住房城乡建设部办公厅关于实施&lt;危险性较大的分部分项工程安全管理规定&gt;有关问题的通知》附件1“危险性较大的分部分项工程范围”第四条第（五）项规定，卸料平台属于危大工程，但施工单位未按照规定组织危大工程验收，上述行为违反了《危险性较大的分部分项工程安全管理规定》（住建部令第37号）第二十一条第一款的规定</t>
  </si>
  <si>
    <t>深南住建行罚立〔2021〕8号</t>
  </si>
  <si>
    <t>深南住建罚〔2021〕13号</t>
  </si>
  <si>
    <t>南头</t>
  </si>
  <si>
    <t>何育平未按照规定组织危大工程验收行政处罚案</t>
  </si>
  <si>
    <t>何育平</t>
  </si>
  <si>
    <t>42232719781029461X</t>
  </si>
  <si>
    <t>经查，当事人为正天龙雅居工程的施工单位项目经理，本单位在2021年5月10日监督执法抽查该项目六层南侧卸料平台已经安装完成并且开始使用。根据《住房城乡建设部办公厅关于实施&lt;危险性较大的分部分项工程安全管理规定&gt;有关问题的通知》附件1“危险性较大的分部分项工程范围”第四条第（五）项规定，卸料平台属于危大工程，但施工单位未按照规定组织危大工程验收，上述行为违反了《危险性较大的分部分项工程安全管理规定》（住建部令第37号）第二十一条第一款的规定</t>
  </si>
  <si>
    <t>深南住建行罚立〔2021〕9号</t>
  </si>
  <si>
    <t>深南住建罚〔2021〕14号</t>
  </si>
  <si>
    <t>刘国然未按照规定组织危大工程验收行政处罚案</t>
  </si>
  <si>
    <t>刘国然</t>
  </si>
  <si>
    <t>360502197011085817</t>
  </si>
  <si>
    <t>经查，当事人为正天龙雅居工程的施工单位项目技术负责人，本单位在2021年5月10日监督执法抽查该项目六层南侧卸料平台已经安装完成并且开始使用。根据《住房城乡建设部办公厅关于实施&lt;危险性较大的分部分项工程安全管理规定&gt;有关问题的通知》附件1“危险性较大的分部分项工程范围”第四条第（五）项规定，卸料平台属于危大工程，但施工单位未按照规定组织危大工程验收，上述行为违反了《危险性较大的分部分项工程安全管理规定》（住建部令第37号）第二十一条第一款的规定</t>
  </si>
  <si>
    <t>深南住建行罚立〔2021〕10号</t>
  </si>
  <si>
    <t>深南住建罚〔2021〕15号</t>
  </si>
  <si>
    <t>2020.10.20区司法局
2022.1.7市安委办</t>
  </si>
  <si>
    <t>20213000088</t>
  </si>
  <si>
    <t>深圳市东深工程有限公司施工工地未采取覆盖、洒水抑尘等有效防尘降尘措施案</t>
  </si>
  <si>
    <r>
      <rPr>
        <b/>
        <sz val="12"/>
        <rFont val="楷体_GB2312"/>
        <charset val="134"/>
      </rPr>
      <t>麻</t>
    </r>
    <r>
      <rPr>
        <b/>
        <sz val="12"/>
        <rFont val="宋体"/>
        <charset val="134"/>
      </rPr>
      <t>磡</t>
    </r>
    <r>
      <rPr>
        <b/>
        <sz val="12"/>
        <rFont val="楷体_GB2312"/>
        <charset val="134"/>
      </rPr>
      <t>河流域综合治理工程（径流调蓄转输工程）</t>
    </r>
  </si>
  <si>
    <t>深圳市东深工程有限公司</t>
  </si>
  <si>
    <t>91440300192203266P</t>
  </si>
  <si>
    <r>
      <rPr>
        <sz val="12"/>
        <rFont val="楷体_GB2312"/>
        <charset val="134"/>
      </rPr>
      <t>经查，你单位在麻</t>
    </r>
    <r>
      <rPr>
        <sz val="12"/>
        <rFont val="宋体"/>
        <charset val="134"/>
      </rPr>
      <t>磡</t>
    </r>
    <r>
      <rPr>
        <sz val="12"/>
        <rFont val="楷体_GB2312"/>
        <charset val="134"/>
      </rPr>
      <t>河流域综合治理工程（径流调蓄转输工程）的施工工地未采取覆盖、洒水抑尘等有效防尘降尘措施，上述行为违反了《中华人民共和国大气污染防治法》第六十九条第三款的规定。</t>
    </r>
  </si>
  <si>
    <t>深南住建行罚立〔2021〕18号</t>
  </si>
  <si>
    <t>深南住建罚〔2021〕18号</t>
  </si>
  <si>
    <t>20213000103</t>
  </si>
  <si>
    <t>深圳百勤建设工程有限公司施工工地未采取覆盖、洒水抑尘等有效防尘降尘措施案</t>
  </si>
  <si>
    <t>马家龙工业区新力能源大厦基坑支护及土石方工程</t>
  </si>
  <si>
    <t>深圳百勤建设工程有限公司</t>
  </si>
  <si>
    <t>91440300334996450K</t>
  </si>
  <si>
    <t>经查，你单位在马家龙工业区新力能源大厦基坑支护及土石方工程的施工工地未按照要求采取覆盖、洒水抑尘等有效防尘降尘措施，上述行为违反了《中华人民共和国大气污染防治法》第六十九条第三款的规定。</t>
  </si>
  <si>
    <t>深南住建行罚立〔2021〕25号</t>
  </si>
  <si>
    <t>深南住建罚〔2021〕17号</t>
  </si>
  <si>
    <t>20213000105</t>
  </si>
  <si>
    <t>中海建筑有限公司施工工地未采取覆盖、洒水抑尘等有效防尘降尘措施案</t>
  </si>
  <si>
    <t>平山小学拆除重建九年一贯制学校施工总承包工程</t>
  </si>
  <si>
    <t>中海建筑有限公司</t>
  </si>
  <si>
    <t>91440300192565187U</t>
  </si>
  <si>
    <t>经查，你单位在平山小学拆除重建九年一贯制学校施工总承包工程的施工工地未采取覆盖、洒水抑尘等有效防尘降尘措施，上述行为违反了《中华人民共和国大气污染防治法》第六十九条第三款的规定。</t>
  </si>
  <si>
    <t>深南住建行罚立〔2021〕26号</t>
  </si>
  <si>
    <t>深南住建罚〔2021〕19号</t>
  </si>
  <si>
    <t>20213000107</t>
  </si>
  <si>
    <t>大学城配套学校项目一期（基坑支护、土石方、桩基）工程</t>
  </si>
  <si>
    <t>深圳市华杰建设集团有限公司</t>
  </si>
  <si>
    <t>91440300564214821Q</t>
  </si>
  <si>
    <t>经查，你单位在承建的大学城配套学校项目一期（基坑支护、土石方、桩基）工程工地内，存在未按照要求采取覆盖、洒水抑尘等有效防尘降尘措施行为，违反了《中华人民共和国大气污染防治法》第六十九条第三款的规定。</t>
  </si>
  <si>
    <t>深南住建行罚立〔2021〕27号</t>
  </si>
  <si>
    <t>深南住建罚〔2021〕20号</t>
  </si>
  <si>
    <t>20213000146</t>
  </si>
  <si>
    <t>施工单位在施工工地未采取有效防尘措施</t>
  </si>
  <si>
    <t>白芒河流域水环境综合治理工程（径流调蓄转输工程）</t>
  </si>
  <si>
    <t>中铁十七局集团有限公司</t>
  </si>
  <si>
    <t>911400001100708439</t>
  </si>
  <si>
    <t>经调查，你单位是深圳市南山区西丽街道白芒河流域水环境综合治理工程（径流调蓄转输工程）的施工单位，你单位于2021年8月18日未按照要求对白芒河流域水环境综合治理工程（径流调蓄转输工程）项目的施工工地采取洒水抑尘、冲洗地面等有效防尘措施，上述行为违反了《广东省环境保护条例》第四十条第二款的规定。</t>
  </si>
  <si>
    <t>深南住建行罚立〔2021〕28号</t>
  </si>
  <si>
    <t>深南住建罚〔2021〕44号</t>
  </si>
  <si>
    <t>20213000160</t>
  </si>
  <si>
    <t>粤海街道文体中心施工总承包</t>
  </si>
  <si>
    <t>蔡业宾</t>
  </si>
  <si>
    <t>452526198109291730</t>
  </si>
  <si>
    <t>经调查，蔡业宾作为深圳市华辉装饰工程有限公司的专职安全生产管理人员，于2021年11月3日被发现存在未按规定办理证书变更的行为，违反了《建筑施工企业主要责任人、项目负责人和专职安全生产管理人员安全生产管理规定》第十一条的规定。</t>
  </si>
  <si>
    <t>深南住建行罚立〔2021〕47号</t>
  </si>
  <si>
    <t>深南住建罚〔2021〕51号</t>
  </si>
  <si>
    <t>20213000185</t>
  </si>
  <si>
    <t>中建一局集团第五建筑有限公司施工工地未采取覆盖、洒水抑尘等有效防尘降尘措施案</t>
  </si>
  <si>
    <t>华侨城深圳湾新玺名苑项目一期主体施工工程</t>
  </si>
  <si>
    <t>中建一局集团第五建筑有限公司</t>
  </si>
  <si>
    <t>91110000101638302P</t>
  </si>
  <si>
    <t>经调查，你（单位）作为华侨城深圳湾新玺名苑项目一期主体施工工程的施工单位，于2021年12月9日存在施工工地未采取覆盖、洒水抑尘等有效防尘降尘措施的违法行为。经查询，截止至2021年12月9日止，你（单位）在1年内未被广东省执法机构认定实施过同类违法行为。上述行为违反了《广东省环境保护条例》第四十条第二款的规定。</t>
  </si>
  <si>
    <t>深南住建行罚立〔2021〕55号</t>
  </si>
  <si>
    <t>深南住建罚〔2022〕7号</t>
  </si>
  <si>
    <t>2022.4.6区司法局</t>
  </si>
  <si>
    <t>20213000187</t>
  </si>
  <si>
    <t>深高速总部（汉京金融中心）办公楼装修工程</t>
  </si>
  <si>
    <t>王刚</t>
  </si>
  <si>
    <t>320829197312081018</t>
  </si>
  <si>
    <t>经调查，2021年12月2日，我（单位）发现苏州金螳螂建筑装饰股份有限公司承建的深高速总部（汉京金融中心）办公楼装修工程施工工地41层走廊电缆拖地、开关箱未张贴电工巡视记录、46层至47层楼梯边防护栏杆刚度不足且缺少拦腰杆等安全事故隐患，你（单位）作为苏州金螳螂建筑装饰股份有限公司深高速总部（汉京金融中心）办公楼装修工程的专职安全生产管理人员，对于上述安全事故隐患存在没有立即处理的违法行为。上述行为违反了《建筑施工企业主要负责人、项目负责人和专职安全生产管理人员安全生产管理规定》第二十条的规定。</t>
  </si>
  <si>
    <t>深南住建行罚立〔2021〕51号</t>
  </si>
  <si>
    <t>深南住建罚〔2021〕61号</t>
  </si>
  <si>
    <t>20213000188</t>
  </si>
  <si>
    <t>项目负责人未按照规定现场履职</t>
  </si>
  <si>
    <t>南山区高新公寓棚户区改造项目设计采购施工总承包工程</t>
  </si>
  <si>
    <t>广州丰利达安防科技有限公司</t>
  </si>
  <si>
    <t>91440101MA59FPNW26</t>
  </si>
  <si>
    <t>经调查，你（单位）作为南山区高新公寓棚户区改造项目设计采购施工总承包工程项目的施工单位，在2021年12月7日，该项目施工工地1#楼附着式升降脚手架正在进行18层至19层提升作业时存在项目负责人未在施工现场履职的行为。上述行为违反了《危险性较大的分部分项工程安全管理规定》第十七条第一款的规定。</t>
  </si>
  <si>
    <t>深南住建行罚立〔2021〕57号</t>
  </si>
  <si>
    <t>深南住建罚〔2022〕5号</t>
  </si>
  <si>
    <t>20213000190</t>
  </si>
  <si>
    <t>孟良</t>
  </si>
  <si>
    <t>412726197710151615</t>
  </si>
  <si>
    <t>经调查，你（单位）作为南山区高新公寓棚户区改造项目设计采购施工总承包工程项目的项目负责人，在2021年12月7日，该项目施工工地1#楼附着式升降脚手架正在进行18层至19层提升作业时你（单位）存在未在施工现场履职的行为。上述行为违反了《危险性较大的分部分项工程安全管理规定》第十七条第一款的规定。</t>
  </si>
  <si>
    <t>深南住建行罚立〔2021〕58号</t>
  </si>
  <si>
    <t>深南住建罚〔2022〕6号</t>
  </si>
  <si>
    <t>20213000192</t>
  </si>
  <si>
    <t>广东吴川建筑安装工程有限公司施工工地未采取覆盖、洒水抑尘等有效防尘降尘措施案</t>
  </si>
  <si>
    <t>酷派信息港城市更新项目二期基坑支护工程</t>
  </si>
  <si>
    <t>广东吴川建筑安装工程有限公司</t>
  </si>
  <si>
    <t>91440883194670335F</t>
  </si>
  <si>
    <t>经调查，你（单位）作为酷派信息港城市更新项目二期基坑支护工程的施工单位，于2021年12月13日存在施工工地未采取覆盖、洒水抑尘等有效防尘降尘措施的违法行为。经查询，你（单位）分别于2021年2月25日、2021年3月1日被广东省行政执法信息公示平台认定过同类违法行为，本次违法行为系一年内第三次同类违法的行为。上述行为违反了《广东省环境保护条例》第四十条第二款的规定。</t>
  </si>
  <si>
    <t>深南住建行罚立〔2021〕59号</t>
  </si>
  <si>
    <t>深南住建罚〔2022〕10号</t>
  </si>
  <si>
    <t>20223000013</t>
  </si>
  <si>
    <t>太子湾学校西校区施工单位未按规定建立危大工程安全管理档案</t>
  </si>
  <si>
    <t>太子湾学校西校区项目</t>
  </si>
  <si>
    <t>该单位是太子湾学校西校区项目的施工单位，该项目混凝土模板支撑工程属于危险性较大的分部分项工程，于2022年1月17日被我单位发现存在未按规定建立危大工程（混凝土模板支撑工程）安全管理档案的行为。上述行为违反《危险性较大的分部分项工程安全管理规定》第二十四条第一款的规定。</t>
  </si>
  <si>
    <t>深南住建行罚立〔2022〕14号</t>
  </si>
  <si>
    <t>深南住建罚〔2022〕15号</t>
  </si>
  <si>
    <t>2022.4.6区司法局，2022.12.29区安委办</t>
  </si>
  <si>
    <t>20223000014</t>
  </si>
  <si>
    <t>陈振林</t>
  </si>
  <si>
    <t>420122198111055812</t>
  </si>
  <si>
    <t>当事人是施工单位中建科工集团有限公司太子湾学校西校区项目的项目经理，该项目混凝土模板支撑工程属于危险性较大的分部分项工程，于2022年1月17日被我单位发现存在未按规定建立危大工程（混凝土模板支撑工程）安全管理档案的行为。上述行为违反《危险性较大的分部分项工程安全管理规定》第二十四条第一款的规定。</t>
  </si>
  <si>
    <t>深南住建行罚立〔2022〕15号</t>
  </si>
  <si>
    <t>深南住建罚〔2022〕16号</t>
  </si>
  <si>
    <t>20223000015</t>
  </si>
  <si>
    <t>苏相岗</t>
  </si>
  <si>
    <t>411481199201067518</t>
  </si>
  <si>
    <t>当事人是施工单位中建科工集团有限公司太子湾学校西校区项目的技术负责人，该项目混凝土模板支撑工程属于危险性较大的分部分项工程，于2022年1月17日被我单位发现存在未按规定建立危大工程（混凝土模板支撑工程）安全管理档案的行为。上述行为违反《危险性较大的分部分项工程安全管理规定》第二十四条第一款的规定。</t>
  </si>
  <si>
    <t>深南住建行罚立〔2022〕16号</t>
  </si>
  <si>
    <t>深南住建罚〔2022〕17号</t>
  </si>
  <si>
    <t>2022.4.6区司法局
2022.10.18市司法局，2022.12.29区安委办</t>
  </si>
  <si>
    <t>20223000017</t>
  </si>
  <si>
    <t>中建二局第二建筑工程有限公司未实施防止塔式起重机相互碰撞的安全措施案</t>
  </si>
  <si>
    <t>砺剑大厦</t>
  </si>
  <si>
    <t>中建二局第二建筑工程有限公司</t>
  </si>
  <si>
    <t>914100001710718666</t>
  </si>
  <si>
    <t>未实施防止塔式起重机相互碰撞的安全措施</t>
  </si>
  <si>
    <t>经调查，你（单位）作为砺剑大厦项目的总承包单位，于2022年1月17日被我局发现该项目现场有2台塔式起重机作业，且存在未实施防止塔式起重机相互碰撞的安全措施（未按照方案要求在塔机上预备木楔，紧急情况下楔紧回转齿圈）的行为，上述行为违反了《建筑起重机械安全监督管理规定》第二十一条第（七）项的规定。</t>
  </si>
  <si>
    <t>深南住建行罚立〔2022〕3号</t>
  </si>
  <si>
    <t>深南住建罚〔2022〕14号</t>
  </si>
  <si>
    <t>2022.7.14区司法局，2022.12.29区安委办</t>
  </si>
  <si>
    <t>20223000067</t>
  </si>
  <si>
    <t>中建科工发展有限公司未在施工现场入口处设置明显的安全警示标志</t>
  </si>
  <si>
    <t>留仙小学改扩建施工总承包工程（II期）</t>
  </si>
  <si>
    <t>中建科工发展有限公司</t>
  </si>
  <si>
    <t>91440300MA5GNU606U</t>
  </si>
  <si>
    <t>施工单位未在施工现场入口处设置明显的安全警示标志</t>
  </si>
  <si>
    <t>经调查，你（单位）中建科工发展有限公司是留仙小学改扩建施工总承包工程（II期）的施工单位，该项目在同乐路设置了施工出入口，本单位于2022年6月7日发现你（单位）存在未在该项目现场出入口处设置明显的安全警示标识的行为。上述行为违反了《中华人民共和国安全生产法》第三十五条的规定。</t>
  </si>
  <si>
    <t>深南住建行罚立〔2022〕4号</t>
  </si>
  <si>
    <t>深南住建罚〔2022〕41号</t>
  </si>
  <si>
    <t>2022.9.21法制科，2023.4.6区司法局</t>
  </si>
  <si>
    <t>20223000082</t>
  </si>
  <si>
    <t>施工单位未采取措施消除事故隐患案</t>
  </si>
  <si>
    <t>南山区科技联合大厦施工总承包工程</t>
  </si>
  <si>
    <t>经调查，你（单位）中建二局第二建筑工程有限公司是南山区科技联合大厦工程施工总承包工程项目的施工单位。本单位于2022年6月16日发现该项目现场1区首道内支撑临边部位未设置临边防护栏杆，你（单位）存在未采取措施消除事故隐患的行为。上述行为违反了《中华人民共和国安全生产法》第四十一条第二款的规定。</t>
  </si>
  <si>
    <t>深南住建行罚立〔2022〕47号</t>
  </si>
  <si>
    <t>深南住建罚〔2022〕38号</t>
  </si>
  <si>
    <t>20223000083</t>
  </si>
  <si>
    <t>施工单位未为从业人员提供符合国家标准或者行业标准的劳动防护用品案</t>
  </si>
  <si>
    <t>深圳市中承建设有限公司</t>
  </si>
  <si>
    <t>91440300MA5DPHQE0M</t>
  </si>
  <si>
    <t>经调查，你（单位）深圳市中承建设有限公司是南山区科技联合大厦工程内支撑拆除工程的施工单位。本单位于2022年6月16日发现你（单位）存在未为从业人员提供符合国家标准或者行业标准的劳动防护用品（安全带）的行为。上述行为违反了《中华人民共和国安全生产法》第四十五条的规定。</t>
  </si>
  <si>
    <t>深南住建行罚立〔2022〕48号</t>
  </si>
  <si>
    <t>深南住建罚〔2022〕37号</t>
  </si>
  <si>
    <t>20223000084</t>
  </si>
  <si>
    <t>中国建筑第五工程局有限公司未与在同一作业区域内的生产经营单位指定专职安全生产管理人员进行安全检查与协调案</t>
  </si>
  <si>
    <t>深圳湾文化广场BC地块I标段施工总承包工程</t>
  </si>
  <si>
    <t>中国建筑第五工程局有限公司</t>
  </si>
  <si>
    <t>91430000183764483Y</t>
  </si>
  <si>
    <t>未指定专职安全生产管理人员进行安全检查与协调</t>
  </si>
  <si>
    <t>经调查，你（单位）是深圳湾文化广场BC 地块Ⅰ标段施工总承包工程项目的施工总承包单位，本单位于2022年6月23日发现你（单位）和深圳市安运土石方工程有限公司在同一作业区域内（深圳湾文化广场BC 地块Ⅰ标段）施工作业，可能危及对方安全生产，你（单位）和深圳市安运土石方工程有限公司虽已签订安全生产管理协议，但存在未指定专职安全生产管理人员进行安全检查与协调的行为。上述行为违反了《中华人民共和国安全生产法》第四十八条的规定。</t>
  </si>
  <si>
    <t>深南住建行罚立〔2022〕49号</t>
  </si>
  <si>
    <t>深南住建罚〔2022〕47号</t>
  </si>
  <si>
    <t>2022.10.18市司法局，2023.1.11法制科</t>
  </si>
  <si>
    <t>20223000085</t>
  </si>
  <si>
    <t>中国建筑第五工程局有限公司未与在同一作业区域内的生产经营单位指定专职安全生产管理人员进行安全检查与协调（项目经理贺显）</t>
  </si>
  <si>
    <t>贺显</t>
  </si>
  <si>
    <t>432522198710123296</t>
  </si>
  <si>
    <t>经调查，中国建筑第五工程局有限公司是深圳湾文化广场BC地块Ⅰ标段施工总承包工程项目的施工总承包单位，你（单位）是中国建筑第五工程局有限公司在该项目的的项目经理。本单位于2022年6月23日发现中国建筑第五工程局有限公司和深圳市安运土石方工程有限公司在同一作业区域内（深圳湾文化广场BC 地块Ⅰ标段）施工作业，可能危及对方安全生产，中国建筑第五工程局有限公司和深圳市安运土石方工程有限公司虽已签订安全生产管理协议，但存在未指定专职安全生产管理人员进行安全检查与协调的行为。你（单位）是中国建筑第五工程局有限公司在该项目的的项目经理，系该违法行为直接负责的主管人员。上述行为违反了《中华人民共和国安全生产法》第四十八条的规定。</t>
  </si>
  <si>
    <t>深南住建行罚立〔2022〕50号</t>
  </si>
  <si>
    <t>深南住建罚〔2022〕48号</t>
  </si>
  <si>
    <t>20223000086</t>
  </si>
  <si>
    <t>深圳市安运土石方工程有限公司未与在同一作业区域内的生产经营单位指定专职安全生产管理人员进行安全检查与协调</t>
  </si>
  <si>
    <t>深圳市安运土石方工程有限公司</t>
  </si>
  <si>
    <t>91440300685370580L</t>
  </si>
  <si>
    <t>经调查，你（单位）是深圳湾文化广场BC 地块Ⅰ标段施工总承包工程项目的土石方施工单位，本单位于2022年6月23日发现你（单位）和中国建筑第五工程局有限公司在同一作业区域内（深圳湾文化广场BC 地块Ⅰ标段）施工作业，可能危及对方安全生产，你（单位）和中国建筑第五工程局有限公司虽已签订安全生产管理协议，但存在未指定专职安全生产管理人员进行安全检查与协调的行为。上述行为违反了《中华人民共和国安全生产法》第四十八条的规定。</t>
  </si>
  <si>
    <t>深南住建行罚立〔2022〕51号</t>
  </si>
  <si>
    <t>深南住建罚〔2022〕45号</t>
  </si>
  <si>
    <t>20223000087</t>
  </si>
  <si>
    <t>深圳市安运土石方工程有限公司未与在同一作业区域内的生产经营单位指定专职安全生产管理人员进行安全检查与协调（现场负责人刘炽严）</t>
  </si>
  <si>
    <t>刘炽严</t>
  </si>
  <si>
    <t>专业分包单位现场负责人</t>
  </si>
  <si>
    <t>440923199412055275</t>
  </si>
  <si>
    <t>经调查，深圳市安运土石方工程有限公司是深圳湾文化广场BC地块Ⅰ标段施工总承包工程项目的土石方施工单位，你（单位）是深圳市安运土石方工程有限公司该项目的现场负责人。本单位于2022年6月23日发现深圳市安运土石方工程有限公司和中国建筑第五工程局有限公司在同一作业区域内（深圳湾文化广场BC 地块Ⅰ标段）施工作业，可能危及对方安全生产，深圳市安运土石方工程有限公司和中国建筑第五工程局有限公司虽已签订安全生产管理协议，但存在未指定专职安全生产管理人员进行安全检查与协调的行为。你（单位）是深圳市安运土石方工程有限公司该项目的现场负责人，系对该违法行为直接负责的主管人员。上述行为违反了《中华人民共和国安全生产法》第四十八条的规定。</t>
  </si>
  <si>
    <t>深南住建行罚立〔2022〕52号</t>
  </si>
  <si>
    <t>深南住建罚〔2022〕46号</t>
  </si>
  <si>
    <t>20223000088</t>
  </si>
  <si>
    <r>
      <rPr>
        <b/>
        <sz val="12"/>
        <rFont val="楷体_GB2312"/>
        <charset val="134"/>
      </rPr>
      <t>绿景白石洲</t>
    </r>
    <r>
      <rPr>
        <b/>
        <sz val="12"/>
        <rFont val="宋体"/>
        <charset val="134"/>
      </rPr>
      <t>璟</t>
    </r>
    <r>
      <rPr>
        <b/>
        <sz val="12"/>
        <rFont val="楷体_GB2312"/>
        <charset val="134"/>
      </rPr>
      <t>庭总承包工程</t>
    </r>
  </si>
  <si>
    <t>深圳市正扬建设有限公司</t>
  </si>
  <si>
    <t>91440300MA5FFL9L8C</t>
  </si>
  <si>
    <r>
      <rPr>
        <sz val="12"/>
        <rFont val="楷体_GB2312"/>
        <charset val="134"/>
      </rPr>
      <t>经调查，你（单位）是绿景白石洲</t>
    </r>
    <r>
      <rPr>
        <sz val="12"/>
        <rFont val="宋体"/>
        <charset val="134"/>
      </rPr>
      <t>璟</t>
    </r>
    <r>
      <rPr>
        <sz val="12"/>
        <rFont val="楷体_GB2312"/>
        <charset val="134"/>
      </rPr>
      <t>庭总承包工程项目土石方专业分包工程的施工单位，本单位于2022年6月30日发现你（单位）未按照要求对绿景白石洲</t>
    </r>
    <r>
      <rPr>
        <sz val="12"/>
        <rFont val="宋体"/>
        <charset val="134"/>
      </rPr>
      <t>璟</t>
    </r>
    <r>
      <rPr>
        <sz val="12"/>
        <rFont val="楷体_GB2312"/>
        <charset val="134"/>
      </rPr>
      <t>庭总承包工程土石方项目的施工工地采取覆盖、洒水抑尘、冲洗地面等有效防尘措施的违法行为。经查询，截止至2022年7月8日止，你（单位）在1年内未被广东省执法机构认定实施过同类违法行为。上述行为违反了《广东省环境保护条例》第四十条第二款的规定。</t>
    </r>
  </si>
  <si>
    <t>深南住建行罚立〔2022〕53号</t>
  </si>
  <si>
    <t>深南住建罚〔2022〕49号</t>
  </si>
  <si>
    <t>二组（付泽正协助）</t>
  </si>
  <si>
    <t>2023.1.11法制科，2023.4.6区司法局</t>
  </si>
  <si>
    <t>20223000131</t>
  </si>
  <si>
    <r>
      <rPr>
        <b/>
        <sz val="12"/>
        <rFont val="宋体"/>
        <charset val="134"/>
      </rPr>
      <t>瑧</t>
    </r>
    <r>
      <rPr>
        <b/>
        <sz val="12"/>
        <rFont val="楷体_GB2312"/>
        <charset val="134"/>
      </rPr>
      <t>山海家园施工总承包工程</t>
    </r>
  </si>
  <si>
    <t>深圳广晟幕墙科技有限公司</t>
  </si>
  <si>
    <t>91440300342545027W</t>
  </si>
  <si>
    <r>
      <rPr>
        <sz val="12"/>
        <rFont val="楷体_GB2312"/>
        <charset val="134"/>
      </rPr>
      <t>经调查，你（单位）深圳广晟幕墙科技有限公司是</t>
    </r>
    <r>
      <rPr>
        <sz val="12"/>
        <rFont val="宋体"/>
        <charset val="134"/>
      </rPr>
      <t>瑧</t>
    </r>
    <r>
      <rPr>
        <sz val="12"/>
        <rFont val="楷体_GB2312"/>
        <charset val="134"/>
      </rPr>
      <t>山海家园施工总承包工程幕墙专业分包的施工单位。本单位于2022年9月13日发现</t>
    </r>
    <r>
      <rPr>
        <sz val="12"/>
        <rFont val="宋体"/>
        <charset val="134"/>
      </rPr>
      <t>瑧</t>
    </r>
    <r>
      <rPr>
        <sz val="12"/>
        <rFont val="楷体_GB2312"/>
        <charset val="134"/>
      </rPr>
      <t>山海家园施工总承包工程幕墙专业分包项目施工现场3号楼屋面西侧设置的3-8号吊篮螺栓未按规定加装垫圈，且该吊篮提升机与悬吊平台未采用专用高强度螺栓进行连接，吊篮作业下方未设置警示线或安全护栏，（你）单位存在未采取措施消除事故隐患的行为。上述行为违反了《中华人民共和国安全生产法》第四十一条第二款的规定。</t>
    </r>
  </si>
  <si>
    <t>深南住建行罚立〔2022〕84号</t>
  </si>
  <si>
    <t>深南住建罚〔2022〕62号</t>
  </si>
  <si>
    <t>2023.1.11法制科</t>
  </si>
  <si>
    <t>20223000132</t>
  </si>
  <si>
    <t>焊工未按照规定持证上岗</t>
  </si>
  <si>
    <t>渔人码头公共配套设施（一期）工程</t>
  </si>
  <si>
    <t>深圳市招港基础工程有限公司</t>
  </si>
  <si>
    <t>91440300MA5GC42N8E</t>
  </si>
  <si>
    <t>特种作业人员未按照规定经专门的安全作业培训并取得相应资格，上岗作业</t>
  </si>
  <si>
    <t>经调查，你（单位）深圳市招港基础工程有限公司是渔人码头公共配套设施（一期）施工项目基坑与边坡支护工程专业分包的施工单位。本单位于2022年9月13日发现该项目现场东南角钢支撑基座预埋件焊接作业的一名工人李卫（身份证号：410881197702090793）无焊工特种作业人员证件，（你）单位存在一名特种作业人员未按照规定经专门的安全作业培训并取得相应资格上岗作业的行为。上述行为违反了《中华人民共和国安全生产法》第三十条第一款的规定。</t>
  </si>
  <si>
    <t>深南住建行罚立〔2022〕85号</t>
  </si>
  <si>
    <t>深南住建罚〔2022〕70号</t>
  </si>
  <si>
    <t>2023.1.11局安全办,2023.3.1法制科，2023.4.6区司法局</t>
  </si>
  <si>
    <t>20223000153</t>
  </si>
  <si>
    <t>中国建筑一局（集团）有限公司未为从业人员提供符合国家标准或者行业标准的劳动防护用品案</t>
  </si>
  <si>
    <t>华侨城深圳湾新玺名苑项目二期主体施工工程</t>
  </si>
  <si>
    <t>施工单位未为从业人员提供符合国家标准或者行业标准的劳动防护用品</t>
  </si>
  <si>
    <t>经调查，你（单位）中国建筑一局（集团）有限公司是华侨城深圳湾新玺名苑项目二期主体施工工程的施工单位。本单位于2022年9月22日发现（你）单位存在未为从业人员提供符合国家标准或者行业标准的劳动防护用品（安全带）的行为。上述行为违反了《中华人民共和国安全生产法》第四十五条的规定。</t>
  </si>
  <si>
    <t>深南住建行罚立〔2022〕91号</t>
  </si>
  <si>
    <t>深南住建罚〔2022〕64号</t>
  </si>
  <si>
    <t>2023.1.11局安全办，2023.4.6区司法局</t>
  </si>
  <si>
    <t>20223000154</t>
  </si>
  <si>
    <t>特种作业人员未按规定经专门的安全作业培训并取得相应资格，上岗作业</t>
  </si>
  <si>
    <t>太子湾DY04-06地块项目基坑支护及土石方工程</t>
  </si>
  <si>
    <t>广州华磊建筑基础工程有限公司</t>
  </si>
  <si>
    <t>9144010173971663X4</t>
  </si>
  <si>
    <t>经调查，你（单位）广州华磊建筑基础工程有限公司是太子湾DY04-06地块项目基坑支护及土石方工程的施工单位。本单位于2022年9月19日发现该项目现场南侧进行支护桩施工的一名桩机工工人龚东（身份证号：530325199809030975）未取得特种作业资格证，（你）单位存在一名特种作业人员未按照规定经专门的安全作业培训并取得相应资格上岗作业的行为。上述行为违反了《中华人民共和国安全生产法》第三十条第一款的规定。</t>
  </si>
  <si>
    <t>深南住建行罚立〔2022〕92号</t>
  </si>
  <si>
    <t>深南住建罚〔2022〕71号</t>
  </si>
  <si>
    <t>20223000157</t>
  </si>
  <si>
    <t>深圳市美兆环境股份有限公司未为从业人员提供符合国家标准或者行业标准的劳动防护用品案</t>
  </si>
  <si>
    <t>寰侨商务大厦施工总承包工程</t>
  </si>
  <si>
    <t>深圳市美兆环境股份有限公司</t>
  </si>
  <si>
    <t>914403007432249451</t>
  </si>
  <si>
    <t>经调查，你（单位）深圳市美兆环境股份有限公司是寰侨商务大厦施工总承包工程通风空调安装专业分包的施工单位。本单位于2022年8月22日发现（你）单位存在未为从业人员提供符合国家标准或者行业标准的劳动防护用品（安全带）的行为。上述行为违反了《中华人民共和国安全生产法》第四十五条的规定。</t>
  </si>
  <si>
    <t>深南住建行罚立〔2022〕93号</t>
  </si>
  <si>
    <t>深南住建罚〔2022〕65号</t>
  </si>
  <si>
    <t>二组（宗海根协助）</t>
  </si>
  <si>
    <t>20223000160</t>
  </si>
  <si>
    <t>深圳市心壹客建设工程有限公司未为从业人员提供符合国家标准或者行业标准的劳动防护用品案</t>
  </si>
  <si>
    <t>大新大厦改扩建项目</t>
  </si>
  <si>
    <t>深圳市心壹客建设工程有限公司</t>
  </si>
  <si>
    <t>91440300MA5GKN6L2Q</t>
  </si>
  <si>
    <t>未为从业人员提供符合国家标准或者行业标准的劳动防护用品</t>
  </si>
  <si>
    <t>经调查，你（单位）深圳市心壹客建设工程有限公司是南山区大新大厦改扩建项目的施工单位。本单位于2022年10月9日监督执法抽查该项目时，发现（你）单位存在未为从业人员提供符合国家标准或者行业标准的劳动防护用品（安全带）的行为。上述行为违反了《中华人民共和国安全生产法》第四十五条的规定。</t>
  </si>
  <si>
    <t>深南住建行罚立〔2022〕94号</t>
  </si>
  <si>
    <t>深南住建罚〔2022〕77号</t>
  </si>
  <si>
    <t>20223000161</t>
  </si>
  <si>
    <t>深圳市鲁班雨虹建筑有限公司项目负责人未在现场履职案</t>
  </si>
  <si>
    <t>南山医院改扩建（二期）门诊楼</t>
  </si>
  <si>
    <t>深圳市鲁班雨虹建筑有限公司</t>
  </si>
  <si>
    <t>91440300589190993D</t>
  </si>
  <si>
    <t>施工单位项目负责人未按照规定在施工现场履职</t>
  </si>
  <si>
    <t>经调查，你（单位）是南山医院改扩建（二期）门诊楼内支撑拆除工程项目的施工单位，本（单位）于2022年9月27日发现该项目施工工地第三道内支撑进行拆除作业时存在项目负责人未在施工现场履职的行为。上述行为违反了《危险性较大的分部分项工程安全管理规定》第十七条第一款的规定。</t>
  </si>
  <si>
    <t>深南住建行罚立〔2022〕95号</t>
  </si>
  <si>
    <t>深南住建罚〔2022〕73号</t>
  </si>
  <si>
    <t>2023.3.1法制科，2023.4.6区司法局</t>
  </si>
  <si>
    <t>20223000162</t>
  </si>
  <si>
    <t>深圳市鲁班雨虹建筑有限公司项目负责人未按照规定现场履职案（直接负责人张瑞军）</t>
  </si>
  <si>
    <t>张瑞军</t>
  </si>
  <si>
    <t>专业分包单位负责人</t>
  </si>
  <si>
    <t>410522197312091612</t>
  </si>
  <si>
    <t>施工单位项目负责人未按照规定在施工现场履职（直接责任人张瑞军）</t>
  </si>
  <si>
    <t>经调查，你（单位）是深圳市鲁班雨虹建筑有限公司的法定代表人，深圳市鲁班雨虹建筑有限公司是南山医院改扩建（二期）门诊楼内支撑拆除工程项目的施工单位，本（单位）于2022年9月27日发现该项目施工工地第三道内支撑进行拆除作业时存在项目负责人未在施工现场履职的行为。上述行为违反了《危险性较大的分部分项工程安全管理规定》第十七条第一款的规定。</t>
  </si>
  <si>
    <t>深南住建行罚立〔2022〕96号</t>
  </si>
  <si>
    <t>深南住建罚〔2022〕72号</t>
  </si>
  <si>
    <t>20233000025</t>
  </si>
  <si>
    <t>大沙河文体中心项目机电安装及消防工程</t>
  </si>
  <si>
    <t>深圳市华西安装工程有限公司</t>
  </si>
  <si>
    <t>914403007542978325</t>
  </si>
  <si>
    <t>经调查，你单位是南山区大沙河文体中心项目机电安装及消防工程的施工单位，在对该项目工程现场南侧进行污水管沟槽开挖作业时，开挖深度超过2米，开挖部位周边未设置临边防护栏杆，沟槽边有堆放土方及材料，沟槽内未设置人员上下梯道，存在未采取措施消除事故隐患的行为。上述行为违反了《中华人民共和国安全生产法》第四十一条第二款的规定。</t>
  </si>
  <si>
    <t>深南住建行罚立〔2023〕9号</t>
  </si>
  <si>
    <t>深南住建罚〔2023〕10号</t>
  </si>
  <si>
    <t>2023.6.28法制科</t>
  </si>
  <si>
    <t>20233000029</t>
  </si>
  <si>
    <t>南山区科技创新中心幕墙工程一标段施工单位未按规定建立危大工程安全管理档案</t>
  </si>
  <si>
    <t>南山区科技创新中心幕墙工程一标段</t>
  </si>
  <si>
    <t>安俊才</t>
  </si>
  <si>
    <t>412722197908204991</t>
  </si>
  <si>
    <t>经调查，深圳市宝鹰建设集团股份有限公司是南山区科技创新中心幕墙工程一标段项目的施工单位，你是该项目施工单位的项目经理，在该项目危大工程（建筑幕墙安装工程）施工中，存在未按规定建立危大工程安全管理档案的行为。上述行为违反《危险性较大的分部分项工程安全管理规定》第二十四条第一款的规定。</t>
  </si>
  <si>
    <t>深南住建行罚立〔2023〕12号</t>
  </si>
  <si>
    <t>深南住建罚〔2023〕12号</t>
  </si>
  <si>
    <t>20233000030</t>
  </si>
  <si>
    <t>王思念</t>
  </si>
  <si>
    <t>420111197511085590</t>
  </si>
  <si>
    <t>经调查，深圳市宝鹰建设集团股份有限公司是南山区科技创新中心幕墙工程一标段项目的施工单位，你是该项目施工单位的项目技术负责人（直接责任人员），在该项目危大工程（建筑幕墙安装工程）施工中，存在未按规定建立危大工程安全管理档案的行为。上述行为违反了《危险性较大的分部分项工程安全管理规定》第二十四条第一款的规定。</t>
  </si>
  <si>
    <t>深南住建行罚立〔2023〕11号</t>
  </si>
  <si>
    <t>深南住建罚〔2023〕13号</t>
  </si>
  <si>
    <t>20233000031</t>
  </si>
  <si>
    <t>深圳市宝鹰建设集团股份有限公司</t>
  </si>
  <si>
    <t>91440300192264106H</t>
  </si>
  <si>
    <t>经调查，你单位是南山区科技创新中心幕墙工程一标段项目的施工单位，在该项目危大工程（建筑幕墙安装工程）施工中，存在未按规定建立危大工程安全管理档案的行为。上述行为违反了《危险性较大的分部分项工程安全管理规定》第二十四条第一款的规定。</t>
  </si>
  <si>
    <t>深南住建行罚立〔2023〕10号</t>
  </si>
  <si>
    <t>深南住建罚〔2023〕11号</t>
  </si>
  <si>
    <t>20233000039</t>
  </si>
  <si>
    <t>中建五局华南建设有限公司未按照规定组织危大工程验收案</t>
  </si>
  <si>
    <t>文理实验学校改扩建项目</t>
  </si>
  <si>
    <t>9144030019220674XY</t>
  </si>
  <si>
    <t>经调查，你单位是文理实验学校改扩建项目地基与基础工程的施工单位，在完成该项目多功能厅超过一定规模的危险性较大的混凝土模板支撑工程后，未按照规定组织验收已进入下一道工序施工（在该区域混凝土模板支撑工程基础上完成了钢筋绑扎工作），存在未按规定组织危大工程验收的行为。上述行为违反了《危险性较大的分部分项工程安全管理规定》第二十一条第一款的规定。</t>
  </si>
  <si>
    <t>深南住建行罚立〔2023〕15号</t>
  </si>
  <si>
    <t>深南住建罚〔2023〕15号</t>
  </si>
  <si>
    <t>20233000040</t>
  </si>
  <si>
    <t>赵柘峰未按照规定组织危大工程验收案</t>
  </si>
  <si>
    <t>赵柘峰</t>
  </si>
  <si>
    <t>432522198708032475</t>
  </si>
  <si>
    <t>施工单位未按照规定组织危大工程验收（项目负责人）</t>
  </si>
  <si>
    <t>经调查，中建五局华南建设有限公司是文理实验学校改扩建项目地基与基础工程的施工单位，你是该项目施工单位的项目经理，在完成该项目多功能厅超过一定规模的危险性较大的混凝土模板支撑工程后，未按照规定组织验收已进入下一道工序施工（在该区域混凝土模板支撑工程基础上完成了钢筋绑扎工作），存在未按规定组织危大工程验收的行为。违反了《危险性较大的分部分项工程安全管理规定》第二十一条第一款的规定。</t>
  </si>
  <si>
    <t>深南住建行罚立〔2023〕16号</t>
  </si>
  <si>
    <t>深南住建罚〔2023〕16号</t>
  </si>
  <si>
    <t>20233000043</t>
  </si>
  <si>
    <t>段海峰未按照规定组织危大工程验收案</t>
  </si>
  <si>
    <t>段海峰</t>
  </si>
  <si>
    <t>152631198402014818</t>
  </si>
  <si>
    <t>施工单位未按照规定组织危大工程验收（项目技术负责人）</t>
  </si>
  <si>
    <t>经调查，中建五局华南建设有限公司是文理实验学校改扩建项目地基与基础工程的施工单位，你是该项目施工单位的项目技术负责人（直接责任人员），在完成该项目多功能厅超过一定规模的危险性较大的混凝土模板支撑工程后，未按照规定组织验收已进入下一道工序施工（在该区域混凝土模板支撑工程基础上完成了钢筋绑扎工作），存在未按规定组织危大工程验收的行为。违反了《危险性较大的分部分项工程安全管理规定》第二十一条第一款的规定。</t>
  </si>
  <si>
    <t>深南住建行罚立〔2023〕17号</t>
  </si>
  <si>
    <t>深南住建罚〔2023〕17号</t>
  </si>
  <si>
    <t>20233000045</t>
  </si>
  <si>
    <t>南山智造（红花岭基地）城市更新项目施工单位司索工未按规定持证上岗</t>
  </si>
  <si>
    <t>南山智造（红花岭基地）城市更新项目一期5#、6#主体工程</t>
  </si>
  <si>
    <t>经调查，你单位是南山智造（红花岭基地）城市更新项目一期5#、6#主体工程的施工单位，该项目的工人李卜从在施工现场进行司索作业时未持建筑起重信号司索工证操作资格证，存在特种作业人员未按照规定经专门的安全作业培训并取得相应资格，上岗作业的行为。上述行为违反了《中华人民共和国安全生产法》第三十条第一款的规定。</t>
  </si>
  <si>
    <t>深南住建行罚立〔2023〕19号</t>
  </si>
  <si>
    <t>深南住建罚〔2023〕29号</t>
  </si>
  <si>
    <t>20233000050</t>
  </si>
  <si>
    <r>
      <rPr>
        <sz val="12"/>
        <rFont val="楷体_GB2312"/>
        <charset val="134"/>
      </rPr>
      <t>绿景白石洲</t>
    </r>
    <r>
      <rPr>
        <sz val="12"/>
        <rFont val="宋体"/>
        <charset val="134"/>
      </rPr>
      <t>璟</t>
    </r>
    <r>
      <rPr>
        <sz val="12"/>
        <rFont val="楷体_GB2312"/>
        <charset val="134"/>
      </rPr>
      <t>庭总承包工程司索工未按规定持证上岗</t>
    </r>
  </si>
  <si>
    <t>中建三局第一建设工程有限责任公司</t>
  </si>
  <si>
    <t>914201007483157744</t>
  </si>
  <si>
    <r>
      <rPr>
        <sz val="12"/>
        <rFont val="楷体_GB2312"/>
        <charset val="134"/>
      </rPr>
      <t>经调查，你单位是南山区绿景白石洲</t>
    </r>
    <r>
      <rPr>
        <sz val="12"/>
        <rFont val="宋体"/>
        <charset val="134"/>
      </rPr>
      <t>璟</t>
    </r>
    <r>
      <rPr>
        <sz val="12"/>
        <rFont val="楷体_GB2312"/>
        <charset val="134"/>
      </rPr>
      <t>庭总承包工程的施工单位，该项目的工人何树旺在该项目施工现场进行司索作业时未持建筑起重信号司索工操作资格证，存在特种作业人员未按照规定经专门的安全作业培训并取得相应资格，上岗作业的行为。上述行为违反了《中华人民共和国安全生产法》第三十条第一款的规定。</t>
    </r>
  </si>
  <si>
    <t>深南住建行罚立〔2023〕22号</t>
  </si>
  <si>
    <t>深南住建罚〔2023〕31号</t>
  </si>
  <si>
    <t>20233000051</t>
  </si>
  <si>
    <r>
      <rPr>
        <sz val="12"/>
        <rFont val="楷体_GB2312"/>
        <charset val="134"/>
      </rPr>
      <t>绿景白石洲</t>
    </r>
    <r>
      <rPr>
        <sz val="12"/>
        <rFont val="宋体"/>
        <charset val="134"/>
      </rPr>
      <t>璟</t>
    </r>
    <r>
      <rPr>
        <sz val="12"/>
        <rFont val="楷体_GB2312"/>
        <charset val="134"/>
      </rPr>
      <t>庭总承包工程架子工未按规定持证上岗</t>
    </r>
  </si>
  <si>
    <t>湖北元慈建筑工程有限公司</t>
  </si>
  <si>
    <t>9142900430985117X3</t>
  </si>
  <si>
    <r>
      <rPr>
        <sz val="12"/>
        <rFont val="楷体_GB2312"/>
        <charset val="134"/>
      </rPr>
      <t>经调查，你单位是南山区绿景白石洲</t>
    </r>
    <r>
      <rPr>
        <sz val="12"/>
        <rFont val="宋体"/>
        <charset val="134"/>
      </rPr>
      <t>璟</t>
    </r>
    <r>
      <rPr>
        <sz val="12"/>
        <rFont val="楷体_GB2312"/>
        <charset val="134"/>
      </rPr>
      <t>庭项目附着升降脚手架专业分包工程的施工单位，该项目工人胡世平在该项目施工现场进行附着升降脚手架作业时未持附着升降脚手架建筑架子工操作资格证，存在特种作业人员未按照规定经专门的安全作业培训并取得相应资格，上岗作业的行为。上述行为违反了《中华人民共和国安全生产法》第三十条第一款的规定。</t>
    </r>
  </si>
  <si>
    <t>深南住建行罚立〔2023〕23号</t>
  </si>
  <si>
    <t>深南住建罚〔2023〕30号</t>
  </si>
  <si>
    <t>20233000052</t>
  </si>
  <si>
    <t>施工单位未采取措施消除事故隐患</t>
  </si>
  <si>
    <t>中金大厦项目施工总承包工程</t>
  </si>
  <si>
    <t>安徽富煌钢构股份有限公司</t>
  </si>
  <si>
    <t>91340100769033274W</t>
  </si>
  <si>
    <t>经调查，你单位是南山区中金大厦钢结构工程项目的施工单位，在该项目现场19层完成外框周边钢梁吊装后，未按要求在临边设置防护栏，未及时在分区铺设安全网，存在未采取措施消除事故隐患的行为。上述行为违反了《中华人民共和国安全生产法》第四十一条第二款的规定。</t>
  </si>
  <si>
    <t>深南住建行罚立〔2023〕24号</t>
  </si>
  <si>
    <t>深南住建罚〔2023〕18号</t>
  </si>
  <si>
    <t>20233000074</t>
  </si>
  <si>
    <t>深圳星河达建设科技有限公司项目负责人未按照规定现场履职案</t>
  </si>
  <si>
    <t>龙珠学校（小学部）扩建项目施工总承包工程</t>
  </si>
  <si>
    <t>深圳星河达建设科技有限公司</t>
  </si>
  <si>
    <t>914403005503344191</t>
  </si>
  <si>
    <t>施工单位项目负责人未按照规定现场履职</t>
  </si>
  <si>
    <t>经调查，你单位是南山区龙珠学校（小学部）扩建项目采光顶幕墙工程专业分包的施工单位，其在该项目危大工程（建筑幕墙安装工程）施工中，存在现场负责人未按照规定在施工现场履职的行为。上述行为违反了《危险性较大的分部分项工程安全管理规定》第十七条第一款的规定。</t>
  </si>
  <si>
    <t>深南住建行罚立〔2023〕33号</t>
  </si>
  <si>
    <t>深南住建罚〔2023〕45号</t>
  </si>
  <si>
    <t>20233000075</t>
  </si>
  <si>
    <t>深圳星河达建设科技有限公司项目负责人未按照规定现场履职案（直接负责人付绍兰）</t>
  </si>
  <si>
    <t>付绍兰</t>
  </si>
  <si>
    <t>专业分包单位企业主要负责人</t>
  </si>
  <si>
    <t>511224197705143728</t>
  </si>
  <si>
    <t>施工单位项目负责人未按照规定现场履职（直接负责人付绍兰）</t>
  </si>
  <si>
    <t>经调查，深圳星河达建设科技有限公司是南山区龙珠学校（小学部）扩建项目采光顶幕墙工程专业分包的施工单位，你是施工单位的直接负责人（法定代表人），在该项目危大工程（建筑幕墙安装工程）施工中，施工单位任命的项目经理因休产假未在施工现场履职，你未及时办理项目经理变更手续，存在现场负责人未按照规定在施工现场履职的行为。上述行为违反了《危险性较大的分部分项工程安全管理规定》第十七条第一款的规定。</t>
  </si>
  <si>
    <t>深南住建行罚立〔2023〕34号</t>
  </si>
  <si>
    <t>深南住建罚〔2023〕46号</t>
  </si>
  <si>
    <t>20233000076</t>
  </si>
  <si>
    <t>深圳市诚宇建设集团有限公司未按照规定组织危大工程验收案</t>
  </si>
  <si>
    <t>前海车辆段（港湾学校共用）配套出入口及员工食堂装修改造工程</t>
  </si>
  <si>
    <t>深圳市诚宇建设集团有限公司</t>
  </si>
  <si>
    <t>914403002795211445</t>
  </si>
  <si>
    <t>经调查，你单位是南山区前海车辆段（港湾学校共用）配套出入口及员工食堂装修改造工程项目的施工单位，在完成该项目食堂装修施工区域操作平台搭设后，未按照规定组织验收，存在未按照规定组织危大工程验收的行为。上述行为违反了《危险性较大的分部分项工程安全管理规定》第二十一条第一款的规定。</t>
  </si>
  <si>
    <t>深南住建行罚立〔2023〕35号</t>
  </si>
  <si>
    <t>深南住建罚〔2023〕38号</t>
  </si>
  <si>
    <t>20233000077</t>
  </si>
  <si>
    <t>袁庆山未按照规定组织危大工程验收案</t>
  </si>
  <si>
    <t>袁庆山</t>
  </si>
  <si>
    <t>220381197410060637</t>
  </si>
  <si>
    <t>经调查，深圳市诚宇建设集团有限公司是南山区前海车辆段（港湾学校共用）配套出入口及员工食堂装修改造工程项目的施工单位，你是该项目施工单位的项目经理，在完成该项目食堂装修施工区域操作平台搭设后，未按照规定组织验收，存在未按照规定组织危大工程验收的行为。上述行为违反了《危险性较大的分部分项工程安全管理规定》第二十一条第一款的规定。</t>
  </si>
  <si>
    <t>深南住建行罚立〔2023〕36号</t>
  </si>
  <si>
    <t>深南住建罚〔2023〕39号</t>
  </si>
  <si>
    <t>20233000078</t>
  </si>
  <si>
    <t>毛体立未按照规定组织危大工程验收案</t>
  </si>
  <si>
    <t>毛体立</t>
  </si>
  <si>
    <t>441323198311150058</t>
  </si>
  <si>
    <t>经调查，深圳市诚宇建设集团有限公司是南山区前海车辆段（港湾学校共用）配套出入口及员工食堂装修改造工程项目的施工单位，你是该项目施工单位的项目技术负责人（直接责任人员），在完成该项目食堂装修施工区域操作平台搭设后，未按照规定组织验收，存在未按照规定组织危大工程验收的行为。上述行为违反了《危险性较大的分部分项工程安全管理规定》第二十一条第一款的规定。</t>
  </si>
  <si>
    <t>深南住建行罚立〔2023〕37号</t>
  </si>
  <si>
    <t>深南住建罚〔2023〕40号</t>
  </si>
  <si>
    <t>20233000088</t>
  </si>
  <si>
    <t>华润建筑有限公司未为从业人员提供符合国家标准或者行业标准的劳动防护用品案</t>
  </si>
  <si>
    <t>深圳湾文化广场BC地块III标段施工总承包工程</t>
  </si>
  <si>
    <t>911101017109278399</t>
  </si>
  <si>
    <t>经调查，你单位是南山区深圳湾文化广场BC地块III标段施工总承包工程的施工单位，未对该项目现场E区作业人员熊迪军发放劳动防护用品（安全带），存在未为从业人员提供符合国家标准或者行业标准的劳动防护用品的行为。上述行为违反了《中华人民共和国安全生产法》第四十五条的规定。</t>
  </si>
  <si>
    <t>深南住建行罚立〔2023〕41号</t>
  </si>
  <si>
    <t>深南住建罚〔2023〕37号</t>
  </si>
  <si>
    <t>20233000123</t>
  </si>
  <si>
    <t>施工单位未按照规定对从业人员进行安全生产教育和培训，未按照规定如实告知有关的安全生产事项案</t>
  </si>
  <si>
    <t>南山区科技创新中心幕墙工程四标段A区</t>
  </si>
  <si>
    <t>深圳市方大建科集团有限公司</t>
  </si>
  <si>
    <t>914403001924441823</t>
  </si>
  <si>
    <t>未按照规定对从业人员进行安全生产教育和培训，未按照规定如实告知有关的安全生产事项的</t>
  </si>
  <si>
    <t>经调查，你单位是南山区科技创新中心项目幕墙工程四标段的施工单位，未按照规定对两名进行汽车吊副臂安装作业的人员进行相对应的安全生产教育和培训，也未按照规定如实向两名进行汽车吊副臂安装作业的人员告知汽车吊副臂安装作业有关的安全生产事项，存在未按照规定对从业人员进行安全生产教育和培训，未按照规定如实告知有关的安全生产事项的行为。上述行为违反了《中华人民共和国安全生产法》第二十八条第一款的规定</t>
  </si>
  <si>
    <t>深南住建行罚立〔2023〕54号</t>
  </si>
  <si>
    <t>深南住建罚〔2023〕59号</t>
  </si>
  <si>
    <t>20233000125</t>
  </si>
  <si>
    <t>深圳市新朗建设工程有限公司未在施工现场有较大危险因素的设备上设置明显的安全警示标志案</t>
  </si>
  <si>
    <t>龙辉花园、龙联花园棚户区改造项目房屋拆除工程（龙辉花园3 栋、12 栋、13 栋、14 栋、15 栋、17 栋、18 栋、19 栋、20 栋、21 栋、22 栋、24 栋、25 栋及幼儿园）</t>
  </si>
  <si>
    <t>深圳市新朗建设工程有限公司</t>
  </si>
  <si>
    <t>914403007556704242</t>
  </si>
  <si>
    <t>施工单位未在施工现场有较大危险因素的设备上设置明显的安全警示标志</t>
  </si>
  <si>
    <t>经调查，你单位是南山区龙辉花园、龙联花园棚户区改造项目房屋拆除工程（龙辉花园3栋、12栋、13栋、14栋、15栋、17栋、18栋、19栋、20栋、21栋、22栋、24栋、25栋及幼儿园）的施工单位，存在未在施工现场的履带挖掘机上设置明显的安全警示标志的行为。上述行为违反了《中华人民共和国安全生产法》第三十五条的规定。</t>
  </si>
  <si>
    <t>深南住建行罚立〔2023〕55号</t>
  </si>
  <si>
    <t>深南住建罚〔2023〕62号</t>
  </si>
  <si>
    <t>20233000126</t>
  </si>
  <si>
    <t>方直珑樾山花园总承包工程</t>
  </si>
  <si>
    <t>沧州恒祥工程材料有限公司</t>
  </si>
  <si>
    <t>911309296892808306</t>
  </si>
  <si>
    <t>经调查，你单位是南山区方直珑樾山花园项目3栋、4栋附着式升降脚手架专业分包的施工单位，在该项目危大工程（附着式升降脚手架）施工中，存在现场负责人未按照规定在施工现场履职的行为。上述行为违反了《危险性较大的分部分项工程安全管理规定》第十七条第一款的规定。</t>
  </si>
  <si>
    <t>深南住建行罚立〔2023〕56号</t>
  </si>
  <si>
    <t>深南住建罚〔2023〕60号</t>
  </si>
  <si>
    <t>20233000127</t>
  </si>
  <si>
    <t>刘美娜</t>
  </si>
  <si>
    <t>13092919870210382X</t>
  </si>
  <si>
    <t>经调查，沧州恒祥工程材料有限公司是南山区方直珑樾山花园项目3栋、4栋附着式升降脚手架专业分包的施工单位，你是该项目的项目经理，在该项目危大工程（附着式升降脚手架）施工中，存在现场负责人未按照规定在施工现场履职的行为。上述行为违反了《危险性较大的分部分项工程安全管理规定》第十七条第一款的规定。</t>
  </si>
  <si>
    <t>深南住建行罚立〔2023〕57号</t>
  </si>
  <si>
    <t>深南住建罚〔2023〕61号</t>
  </si>
  <si>
    <t>20233000158</t>
  </si>
  <si>
    <t>沧州恒祥工程材料有限公司未采取措施消除事故隐患案</t>
  </si>
  <si>
    <t>四海臻邸项目总承包工程</t>
  </si>
  <si>
    <t>经查，四海臻邸项目总承包工程的附着式升降脚手架专业分包施工单位为沧州恒祥工程材料有限公司，我局执法人员高健（19020416021）、宗海根（19020416004）2023年7月19日监督执法抽查该项目时，发现现场附着式升降脚手架6号卸荷顶撑装置未支顶到位，施工单位未采取措施消除事故隐患。施工单位的上述行为涉嫌违反《中华人民共和国安全生产法》第四十一条第二款的规定。</t>
  </si>
  <si>
    <t>深南住建行罚立〔2023〕82号</t>
  </si>
  <si>
    <t>预计5万</t>
  </si>
  <si>
    <t>20233000162</t>
  </si>
  <si>
    <t>特种作业人员未持证上岗</t>
  </si>
  <si>
    <t>方直珑樾山花园土石方、基坑支护工程</t>
  </si>
  <si>
    <t>广东远益建设有限公司</t>
  </si>
  <si>
    <t>91440101MA5AP3DN0N</t>
  </si>
  <si>
    <t>2023年7月20日，我局收到南山区桃源街道办事处移送的《关于提请前往方直珑樾山花园建筑工地核查电气焊作业违法行为的函》。桃源街道办事处执法人员于2023年7月19日对方直珑樾山花园开展电气焊专项执法检查，发现广东远益建设有限公司施工人员代高丰未持证进行电气焊作业。经查，方直珑樾山花园土石方、基坑支护工程的施工单位为广东远益建设有限公司。2023年7月19日该工程西侧边坡格构梁施工部位进行钢筋焊接作业的一名工人代高丰无焊接特种作业人员操作资格证，涉嫌违反《中华人民共和国安全生产法》第三十条第一款的规定。</t>
  </si>
  <si>
    <t>深南住建行罚立〔2023〕78号</t>
  </si>
  <si>
    <t>预计10万</t>
  </si>
  <si>
    <t>20233000167</t>
  </si>
  <si>
    <t>云荟大厦施工总承包工程</t>
  </si>
  <si>
    <t>汕头市建安实业（集团）有限公司</t>
  </si>
  <si>
    <t>914405001927206939</t>
  </si>
  <si>
    <t>经调查，你单位是云荟大厦施工总承包工程的施工总承包单位，我局执法人员在2023年7月25日的日常执法检查过程中发现，该工程正在进行首道内支撑拆作业（危大工程），存在施工单位未按规定建立危大工程安全管理档案的行为，涉嫌违反《危险性较大的分部分项工程安全管理规定》第二十四条第一款的规定。</t>
  </si>
  <si>
    <t>深南住建行罚立〔2023〕79号</t>
  </si>
  <si>
    <t>预计1.2万</t>
  </si>
  <si>
    <t>20233000168</t>
  </si>
  <si>
    <t>施工单位未按规定建立危大工程安全管理档案（项目经理）</t>
  </si>
  <si>
    <t>翁保平</t>
  </si>
  <si>
    <t>440524197309054595</t>
  </si>
  <si>
    <t>经调查，你单位是云荟大厦施工总承包工程的施工总承包单位，你是该项目施工单位的项目经理，我局执法人员在2023年7月25日的日常执法检查过程中发现，该工程正在进行首道内支撑拆作业（危大工程），存在施工单位未按规定建立危大工程安全管理档案的行为，涉嫌违反《危险性较大的分部分项工程安全管理规定》第二十四条第一款的规定。</t>
  </si>
  <si>
    <t>深南住建行罚立〔2023〕80号</t>
  </si>
  <si>
    <t>预计0.2万</t>
  </si>
  <si>
    <t>20233000169</t>
  </si>
  <si>
    <t>施工单位未按规定建立危大工程安全管理档案（项目技术负责人）</t>
  </si>
  <si>
    <t>陈树斌</t>
  </si>
  <si>
    <t>440527196809230051</t>
  </si>
  <si>
    <t>经调查，你单位是云荟大厦施工总承包工程的施工总承包单位，你是该项目施工单位的项目技术负责人（直接责任人员），我局执法人员在2023年7月25日的日常执法检查过程中发现，该工程正在进行首道内支撑拆作业（危大工程），存在施工单位未按规定建立危大工程安全管理档案的行为，涉嫌违反《危险性较大的分部分项工程安全管理规定》第二十四条第一款的规定。</t>
  </si>
  <si>
    <t>深南住建行罚立〔2023〕81号</t>
  </si>
  <si>
    <t>立案数</t>
  </si>
  <si>
    <t>处罚数</t>
  </si>
  <si>
    <t>处罚金额</t>
  </si>
  <si>
    <t>结案数</t>
  </si>
  <si>
    <t>22年结转案卷</t>
  </si>
  <si>
    <t>23年案卷</t>
  </si>
  <si>
    <r>
      <rPr>
        <sz val="12"/>
        <rFont val="楷体_GB2312"/>
        <charset val="134"/>
      </rPr>
      <t>绿景白石洲</t>
    </r>
    <r>
      <rPr>
        <sz val="12"/>
        <rFont val="宋体"/>
        <charset val="134"/>
      </rPr>
      <t>璟</t>
    </r>
    <r>
      <rPr>
        <sz val="12"/>
        <rFont val="楷体_GB2312"/>
        <charset val="134"/>
      </rPr>
      <t>庭总承包工程</t>
    </r>
  </si>
</sst>
</file>

<file path=xl/styles.xml><?xml version="1.0" encoding="utf-8"?>
<styleSheet xmlns="http://schemas.openxmlformats.org/spreadsheetml/2006/main">
  <numFmts count="6">
    <numFmt numFmtId="44" formatCode="_ &quot;￥&quot;* #,##0.00_ ;_ &quot;￥&quot;* \-#,##0.00_ ;_ &quot;￥&quot;* &quot;-&quot;??_ ;_ @_ "/>
    <numFmt numFmtId="41" formatCode="_ * #,##0_ ;_ * \-#,##0_ ;_ * &quot;-&quot;_ ;_ @_ "/>
    <numFmt numFmtId="42" formatCode="_ &quot;￥&quot;* #,##0_ ;_ &quot;￥&quot;* \-#,##0_ ;_ &quot;￥&quot;* &quot;-&quot;_ ;_ @_ "/>
    <numFmt numFmtId="43" formatCode="_ * #,##0.00_ ;_ * \-#,##0.00_ ;_ * &quot;-&quot;??_ ;_ @_ "/>
    <numFmt numFmtId="176" formatCode="#,##0.0000_);[Red]\(#,##0.0000\)"/>
    <numFmt numFmtId="177" formatCode="yyyy/m/d;@"/>
  </numFmts>
  <fonts count="30">
    <font>
      <sz val="12"/>
      <name val="宋体"/>
      <charset val="134"/>
    </font>
    <font>
      <sz val="12"/>
      <name val="黑体"/>
      <charset val="134"/>
    </font>
    <font>
      <sz val="12"/>
      <name val="楷体_GB2312"/>
      <charset val="134"/>
    </font>
    <font>
      <b/>
      <sz val="12"/>
      <name val="楷体_GB2312"/>
      <charset val="134"/>
    </font>
    <font>
      <b/>
      <sz val="22"/>
      <name val="宋体"/>
      <charset val="134"/>
    </font>
    <font>
      <b/>
      <sz val="12"/>
      <name val="宋体"/>
      <charset val="134"/>
    </font>
    <font>
      <b/>
      <sz val="22"/>
      <name val="黑体"/>
      <charset val="134"/>
    </font>
    <font>
      <sz val="12"/>
      <color rgb="FFFF0000"/>
      <name val="楷体_GB2312"/>
      <charset val="134"/>
    </font>
    <font>
      <b/>
      <sz val="12"/>
      <color rgb="FFFF0000"/>
      <name val="楷体_GB2312"/>
      <charset val="134"/>
    </font>
    <font>
      <sz val="11"/>
      <color theme="1"/>
      <name val="宋体"/>
      <charset val="0"/>
      <scheme val="minor"/>
    </font>
    <font>
      <sz val="11"/>
      <color rgb="FF006100"/>
      <name val="宋体"/>
      <charset val="0"/>
      <scheme val="minor"/>
    </font>
    <font>
      <sz val="11"/>
      <color theme="1"/>
      <name val="宋体"/>
      <charset val="134"/>
      <scheme val="minor"/>
    </font>
    <font>
      <i/>
      <sz val="11"/>
      <color rgb="FF7F7F7F"/>
      <name val="宋体"/>
      <charset val="0"/>
      <scheme val="minor"/>
    </font>
    <font>
      <b/>
      <sz val="11"/>
      <color theme="3"/>
      <name val="宋体"/>
      <charset val="134"/>
      <scheme val="minor"/>
    </font>
    <font>
      <u/>
      <sz val="11"/>
      <color rgb="FF800080"/>
      <name val="宋体"/>
      <charset val="0"/>
      <scheme val="minor"/>
    </font>
    <font>
      <sz val="11"/>
      <color rgb="FF9C0006"/>
      <name val="宋体"/>
      <charset val="0"/>
      <scheme val="minor"/>
    </font>
    <font>
      <b/>
      <sz val="11"/>
      <color rgb="FFFFFFFF"/>
      <name val="宋体"/>
      <charset val="0"/>
      <scheme val="minor"/>
    </font>
    <font>
      <b/>
      <sz val="13"/>
      <color theme="3"/>
      <name val="宋体"/>
      <charset val="134"/>
      <scheme val="minor"/>
    </font>
    <font>
      <sz val="11"/>
      <color rgb="FFFF0000"/>
      <name val="宋体"/>
      <charset val="0"/>
      <scheme val="minor"/>
    </font>
    <font>
      <sz val="11"/>
      <color theme="0"/>
      <name val="宋体"/>
      <charset val="0"/>
      <scheme val="minor"/>
    </font>
    <font>
      <b/>
      <sz val="11"/>
      <color rgb="FF3F3F3F"/>
      <name val="宋体"/>
      <charset val="0"/>
      <scheme val="minor"/>
    </font>
    <font>
      <b/>
      <sz val="15"/>
      <color theme="3"/>
      <name val="宋体"/>
      <charset val="134"/>
      <scheme val="minor"/>
    </font>
    <font>
      <sz val="11"/>
      <color rgb="FF9C6500"/>
      <name val="宋体"/>
      <charset val="0"/>
      <scheme val="minor"/>
    </font>
    <font>
      <sz val="11"/>
      <color rgb="FF3F3F76"/>
      <name val="宋体"/>
      <charset val="0"/>
      <scheme val="minor"/>
    </font>
    <font>
      <b/>
      <sz val="11"/>
      <color rgb="FFFA7D00"/>
      <name val="宋体"/>
      <charset val="0"/>
      <scheme val="minor"/>
    </font>
    <font>
      <sz val="11"/>
      <color rgb="FFFA7D00"/>
      <name val="宋体"/>
      <charset val="0"/>
      <scheme val="minor"/>
    </font>
    <font>
      <b/>
      <sz val="11"/>
      <color theme="1"/>
      <name val="宋体"/>
      <charset val="0"/>
      <scheme val="minor"/>
    </font>
    <font>
      <b/>
      <sz val="18"/>
      <color theme="3"/>
      <name val="宋体"/>
      <charset val="134"/>
      <scheme val="minor"/>
    </font>
    <font>
      <u/>
      <sz val="11"/>
      <color rgb="FF0000FF"/>
      <name val="宋体"/>
      <charset val="0"/>
      <scheme val="minor"/>
    </font>
    <font>
      <b/>
      <sz val="12"/>
      <color rgb="FFFF0000"/>
      <name val="黑体"/>
      <charset val="134"/>
    </font>
  </fonts>
  <fills count="35">
    <fill>
      <patternFill patternType="none"/>
    </fill>
    <fill>
      <patternFill patternType="gray125"/>
    </fill>
    <fill>
      <patternFill patternType="solid">
        <fgColor rgb="FFFFFF00"/>
        <bgColor indexed="64"/>
      </patternFill>
    </fill>
    <fill>
      <patternFill patternType="solid">
        <fgColor rgb="FF92D050"/>
        <bgColor indexed="64"/>
      </patternFill>
    </fill>
    <fill>
      <patternFill patternType="solid">
        <fgColor theme="7" tint="0.799981688894314"/>
        <bgColor indexed="64"/>
      </patternFill>
    </fill>
    <fill>
      <patternFill patternType="solid">
        <fgColor theme="5" tint="0.799981688894314"/>
        <bgColor indexed="64"/>
      </patternFill>
    </fill>
    <fill>
      <patternFill patternType="solid">
        <fgColor rgb="FFC6EFCE"/>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7" tint="0.599993896298105"/>
        <bgColor indexed="64"/>
      </patternFill>
    </fill>
    <fill>
      <patternFill patternType="solid">
        <fgColor theme="5" tint="0.599993896298105"/>
        <bgColor indexed="64"/>
      </patternFill>
    </fill>
    <fill>
      <patternFill patternType="solid">
        <fgColor rgb="FFFFC7CE"/>
        <bgColor indexed="64"/>
      </patternFill>
    </fill>
    <fill>
      <patternFill patternType="solid">
        <fgColor theme="8" tint="0.599993896298105"/>
        <bgColor indexed="64"/>
      </patternFill>
    </fill>
    <fill>
      <patternFill patternType="solid">
        <fgColor theme="4" tint="0.599993896298105"/>
        <bgColor indexed="64"/>
      </patternFill>
    </fill>
    <fill>
      <patternFill patternType="solid">
        <fgColor rgb="FFA5A5A5"/>
        <bgColor indexed="64"/>
      </patternFill>
    </fill>
    <fill>
      <patternFill patternType="solid">
        <fgColor theme="6" tint="0.599993896298105"/>
        <bgColor indexed="64"/>
      </patternFill>
    </fill>
    <fill>
      <patternFill patternType="solid">
        <fgColor theme="8"/>
        <bgColor indexed="64"/>
      </patternFill>
    </fill>
    <fill>
      <patternFill patternType="solid">
        <fgColor theme="6"/>
        <bgColor indexed="64"/>
      </patternFill>
    </fill>
    <fill>
      <patternFill patternType="solid">
        <fgColor theme="4"/>
        <bgColor indexed="64"/>
      </patternFill>
    </fill>
    <fill>
      <patternFill patternType="solid">
        <fgColor rgb="FFF2F2F2"/>
        <bgColor indexed="64"/>
      </patternFill>
    </fill>
    <fill>
      <patternFill patternType="solid">
        <fgColor rgb="FFFFFFCC"/>
        <bgColor indexed="64"/>
      </patternFill>
    </fill>
    <fill>
      <patternFill patternType="solid">
        <fgColor theme="9" tint="0.399975585192419"/>
        <bgColor indexed="64"/>
      </patternFill>
    </fill>
    <fill>
      <patternFill patternType="solid">
        <fgColor rgb="FFFFEB9C"/>
        <bgColor indexed="64"/>
      </patternFill>
    </fill>
    <fill>
      <patternFill patternType="solid">
        <fgColor theme="7" tint="0.399975585192419"/>
        <bgColor indexed="64"/>
      </patternFill>
    </fill>
    <fill>
      <patternFill patternType="solid">
        <fgColor theme="5" tint="0.399975585192419"/>
        <bgColor indexed="64"/>
      </patternFill>
    </fill>
    <fill>
      <patternFill patternType="solid">
        <fgColor rgb="FFFFCC99"/>
        <bgColor indexed="64"/>
      </patternFill>
    </fill>
    <fill>
      <patternFill patternType="solid">
        <fgColor theme="4" tint="0.799981688894314"/>
        <bgColor indexed="64"/>
      </patternFill>
    </fill>
    <fill>
      <patternFill patternType="solid">
        <fgColor theme="8" tint="0.799981688894314"/>
        <bgColor indexed="64"/>
      </patternFill>
    </fill>
    <fill>
      <patternFill patternType="solid">
        <fgColor theme="6" tint="0.799981688894314"/>
        <bgColor indexed="64"/>
      </patternFill>
    </fill>
    <fill>
      <patternFill patternType="solid">
        <fgColor theme="8" tint="0.399975585192419"/>
        <bgColor indexed="64"/>
      </patternFill>
    </fill>
    <fill>
      <patternFill patternType="solid">
        <fgColor theme="4" tint="0.399975585192419"/>
        <bgColor indexed="64"/>
      </patternFill>
    </fill>
    <fill>
      <patternFill patternType="solid">
        <fgColor theme="6" tint="0.399975585192419"/>
        <bgColor indexed="64"/>
      </patternFill>
    </fill>
    <fill>
      <patternFill patternType="solid">
        <fgColor theme="9"/>
        <bgColor indexed="64"/>
      </patternFill>
    </fill>
    <fill>
      <patternFill patternType="solid">
        <fgColor theme="7"/>
        <bgColor indexed="64"/>
      </patternFill>
    </fill>
    <fill>
      <patternFill patternType="solid">
        <fgColor theme="5"/>
        <bgColor indexed="64"/>
      </patternFill>
    </fill>
  </fills>
  <borders count="1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style="thin">
        <color auto="1"/>
      </right>
      <top/>
      <bottom/>
      <diagonal/>
    </border>
    <border>
      <left style="thin">
        <color auto="1"/>
      </left>
      <right style="thin">
        <color auto="1"/>
      </right>
      <top style="thin">
        <color auto="1"/>
      </top>
      <bottom/>
      <diagonal/>
    </border>
    <border>
      <left style="double">
        <color rgb="FF3F3F3F"/>
      </left>
      <right style="double">
        <color rgb="FF3F3F3F"/>
      </right>
      <top style="double">
        <color rgb="FF3F3F3F"/>
      </top>
      <bottom style="double">
        <color rgb="FF3F3F3F"/>
      </bottom>
      <diagonal/>
    </border>
    <border>
      <left/>
      <right/>
      <top/>
      <bottom style="medium">
        <color theme="4"/>
      </bottom>
      <diagonal/>
    </border>
    <border>
      <left style="thin">
        <color rgb="FF3F3F3F"/>
      </left>
      <right style="thin">
        <color rgb="FF3F3F3F"/>
      </right>
      <top style="thin">
        <color rgb="FF3F3F3F"/>
      </top>
      <bottom style="thin">
        <color rgb="FF3F3F3F"/>
      </bottom>
      <diagonal/>
    </border>
    <border>
      <left style="thin">
        <color rgb="FFB2B2B2"/>
      </left>
      <right style="thin">
        <color rgb="FFB2B2B2"/>
      </right>
      <top style="thin">
        <color rgb="FFB2B2B2"/>
      </top>
      <bottom style="thin">
        <color rgb="FFB2B2B2"/>
      </bottom>
      <diagonal/>
    </border>
    <border>
      <left style="thin">
        <color rgb="FF7F7F7F"/>
      </left>
      <right style="thin">
        <color rgb="FF7F7F7F"/>
      </right>
      <top style="thin">
        <color rgb="FF7F7F7F"/>
      </top>
      <bottom style="thin">
        <color rgb="FF7F7F7F"/>
      </bottom>
      <diagonal/>
    </border>
    <border>
      <left/>
      <right/>
      <top/>
      <bottom style="double">
        <color rgb="FFFF8001"/>
      </bottom>
      <diagonal/>
    </border>
    <border>
      <left/>
      <right/>
      <top style="thin">
        <color theme="4"/>
      </top>
      <bottom style="double">
        <color theme="4"/>
      </bottom>
      <diagonal/>
    </border>
    <border>
      <left/>
      <right/>
      <top/>
      <bottom style="medium">
        <color theme="4" tint="0.499984740745262"/>
      </bottom>
      <diagonal/>
    </border>
  </borders>
  <cellStyleXfs count="49">
    <xf numFmtId="0" fontId="0" fillId="0" borderId="0"/>
    <xf numFmtId="42" fontId="11" fillId="0" borderId="0" applyFont="0" applyFill="0" applyBorder="0" applyAlignment="0" applyProtection="0">
      <alignment vertical="center"/>
    </xf>
    <xf numFmtId="0" fontId="9" fillId="28" borderId="0" applyNumberFormat="0" applyBorder="0" applyAlignment="0" applyProtection="0">
      <alignment vertical="center"/>
    </xf>
    <xf numFmtId="0" fontId="23" fillId="25" borderId="9" applyNumberFormat="0" applyAlignment="0" applyProtection="0">
      <alignment vertical="center"/>
    </xf>
    <xf numFmtId="44" fontId="11" fillId="0" borderId="0" applyFont="0" applyFill="0" applyBorder="0" applyAlignment="0" applyProtection="0">
      <alignment vertical="center"/>
    </xf>
    <xf numFmtId="41" fontId="11" fillId="0" borderId="0" applyFont="0" applyFill="0" applyBorder="0" applyAlignment="0" applyProtection="0">
      <alignment vertical="center"/>
    </xf>
    <xf numFmtId="0" fontId="9" fillId="15" borderId="0" applyNumberFormat="0" applyBorder="0" applyAlignment="0" applyProtection="0">
      <alignment vertical="center"/>
    </xf>
    <xf numFmtId="0" fontId="15" fillId="11" borderId="0" applyNumberFormat="0" applyBorder="0" applyAlignment="0" applyProtection="0">
      <alignment vertical="center"/>
    </xf>
    <xf numFmtId="43" fontId="11" fillId="0" borderId="0" applyFont="0" applyFill="0" applyBorder="0" applyAlignment="0" applyProtection="0">
      <alignment vertical="center"/>
    </xf>
    <xf numFmtId="0" fontId="19" fillId="31" borderId="0" applyNumberFormat="0" applyBorder="0" applyAlignment="0" applyProtection="0">
      <alignment vertical="center"/>
    </xf>
    <xf numFmtId="0" fontId="28" fillId="0" borderId="0" applyNumberFormat="0" applyFill="0" applyBorder="0" applyAlignment="0" applyProtection="0">
      <alignment vertical="center"/>
    </xf>
    <xf numFmtId="9" fontId="11" fillId="0" borderId="0" applyFont="0" applyFill="0" applyBorder="0" applyAlignment="0" applyProtection="0">
      <alignment vertical="center"/>
    </xf>
    <xf numFmtId="0" fontId="14" fillId="0" borderId="0" applyNumberFormat="0" applyFill="0" applyBorder="0" applyAlignment="0" applyProtection="0">
      <alignment vertical="center"/>
    </xf>
    <xf numFmtId="0" fontId="11" fillId="20" borderId="8" applyNumberFormat="0" applyFont="0" applyAlignment="0" applyProtection="0">
      <alignment vertical="center"/>
    </xf>
    <xf numFmtId="0" fontId="19" fillId="24" borderId="0" applyNumberFormat="0" applyBorder="0" applyAlignment="0" applyProtection="0">
      <alignment vertical="center"/>
    </xf>
    <xf numFmtId="0" fontId="13"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27"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21" fillId="0" borderId="6" applyNumberFormat="0" applyFill="0" applyAlignment="0" applyProtection="0">
      <alignment vertical="center"/>
    </xf>
    <xf numFmtId="0" fontId="17" fillId="0" borderId="6" applyNumberFormat="0" applyFill="0" applyAlignment="0" applyProtection="0">
      <alignment vertical="center"/>
    </xf>
    <xf numFmtId="0" fontId="19" fillId="30" borderId="0" applyNumberFormat="0" applyBorder="0" applyAlignment="0" applyProtection="0">
      <alignment vertical="center"/>
    </xf>
    <xf numFmtId="0" fontId="13" fillId="0" borderId="12" applyNumberFormat="0" applyFill="0" applyAlignment="0" applyProtection="0">
      <alignment vertical="center"/>
    </xf>
    <xf numFmtId="0" fontId="19" fillId="23" borderId="0" applyNumberFormat="0" applyBorder="0" applyAlignment="0" applyProtection="0">
      <alignment vertical="center"/>
    </xf>
    <xf numFmtId="0" fontId="20" fillId="19" borderId="7" applyNumberFormat="0" applyAlignment="0" applyProtection="0">
      <alignment vertical="center"/>
    </xf>
    <xf numFmtId="0" fontId="24" fillId="19" borderId="9" applyNumberFormat="0" applyAlignment="0" applyProtection="0">
      <alignment vertical="center"/>
    </xf>
    <xf numFmtId="0" fontId="16" fillId="14" borderId="5" applyNumberFormat="0" applyAlignment="0" applyProtection="0">
      <alignment vertical="center"/>
    </xf>
    <xf numFmtId="0" fontId="9" fillId="7" borderId="0" applyNumberFormat="0" applyBorder="0" applyAlignment="0" applyProtection="0">
      <alignment vertical="center"/>
    </xf>
    <xf numFmtId="0" fontId="19" fillId="34" borderId="0" applyNumberFormat="0" applyBorder="0" applyAlignment="0" applyProtection="0">
      <alignment vertical="center"/>
    </xf>
    <xf numFmtId="0" fontId="25" fillId="0" borderId="10" applyNumberFormat="0" applyFill="0" applyAlignment="0" applyProtection="0">
      <alignment vertical="center"/>
    </xf>
    <xf numFmtId="0" fontId="26" fillId="0" borderId="11" applyNumberFormat="0" applyFill="0" applyAlignment="0" applyProtection="0">
      <alignment vertical="center"/>
    </xf>
    <xf numFmtId="0" fontId="10" fillId="6" borderId="0" applyNumberFormat="0" applyBorder="0" applyAlignment="0" applyProtection="0">
      <alignment vertical="center"/>
    </xf>
    <xf numFmtId="0" fontId="22" fillId="22" borderId="0" applyNumberFormat="0" applyBorder="0" applyAlignment="0" applyProtection="0">
      <alignment vertical="center"/>
    </xf>
    <xf numFmtId="0" fontId="9" fillId="27" borderId="0" applyNumberFormat="0" applyBorder="0" applyAlignment="0" applyProtection="0">
      <alignment vertical="center"/>
    </xf>
    <xf numFmtId="0" fontId="19" fillId="18" borderId="0" applyNumberFormat="0" applyBorder="0" applyAlignment="0" applyProtection="0">
      <alignment vertical="center"/>
    </xf>
    <xf numFmtId="0" fontId="9" fillId="26" borderId="0" applyNumberFormat="0" applyBorder="0" applyAlignment="0" applyProtection="0">
      <alignment vertical="center"/>
    </xf>
    <xf numFmtId="0" fontId="9" fillId="13" borderId="0" applyNumberFormat="0" applyBorder="0" applyAlignment="0" applyProtection="0">
      <alignment vertical="center"/>
    </xf>
    <xf numFmtId="0" fontId="9" fillId="5" borderId="0" applyNumberFormat="0" applyBorder="0" applyAlignment="0" applyProtection="0">
      <alignment vertical="center"/>
    </xf>
    <xf numFmtId="0" fontId="9" fillId="10" borderId="0" applyNumberFormat="0" applyBorder="0" applyAlignment="0" applyProtection="0">
      <alignment vertical="center"/>
    </xf>
    <xf numFmtId="0" fontId="19" fillId="17" borderId="0" applyNumberFormat="0" applyBorder="0" applyAlignment="0" applyProtection="0">
      <alignment vertical="center"/>
    </xf>
    <xf numFmtId="0" fontId="19" fillId="33" borderId="0" applyNumberFormat="0" applyBorder="0" applyAlignment="0" applyProtection="0">
      <alignment vertical="center"/>
    </xf>
    <xf numFmtId="0" fontId="9" fillId="4" borderId="0" applyNumberFormat="0" applyBorder="0" applyAlignment="0" applyProtection="0">
      <alignment vertical="center"/>
    </xf>
    <xf numFmtId="0" fontId="9" fillId="9" borderId="0" applyNumberFormat="0" applyBorder="0" applyAlignment="0" applyProtection="0">
      <alignment vertical="center"/>
    </xf>
    <xf numFmtId="0" fontId="19" fillId="16" borderId="0" applyNumberFormat="0" applyBorder="0" applyAlignment="0" applyProtection="0">
      <alignment vertical="center"/>
    </xf>
    <xf numFmtId="0" fontId="9" fillId="12" borderId="0" applyNumberFormat="0" applyBorder="0" applyAlignment="0" applyProtection="0">
      <alignment vertical="center"/>
    </xf>
    <xf numFmtId="0" fontId="19" fillId="29" borderId="0" applyNumberFormat="0" applyBorder="0" applyAlignment="0" applyProtection="0">
      <alignment vertical="center"/>
    </xf>
    <xf numFmtId="0" fontId="19" fillId="32" borderId="0" applyNumberFormat="0" applyBorder="0" applyAlignment="0" applyProtection="0">
      <alignment vertical="center"/>
    </xf>
    <xf numFmtId="0" fontId="9" fillId="8" borderId="0" applyNumberFormat="0" applyBorder="0" applyAlignment="0" applyProtection="0">
      <alignment vertical="center"/>
    </xf>
    <xf numFmtId="0" fontId="19" fillId="21" borderId="0" applyNumberFormat="0" applyBorder="0" applyAlignment="0" applyProtection="0">
      <alignment vertical="center"/>
    </xf>
  </cellStyleXfs>
  <cellXfs count="106">
    <xf numFmtId="0" fontId="0" fillId="0" borderId="0" xfId="0"/>
    <xf numFmtId="0" fontId="1" fillId="0" borderId="1" xfId="0" applyFont="1" applyBorder="1" applyAlignment="1">
      <alignment horizontal="center" vertical="center" wrapText="1"/>
    </xf>
    <xf numFmtId="0" fontId="1" fillId="0" borderId="1" xfId="0" applyFont="1" applyFill="1" applyBorder="1" applyAlignment="1">
      <alignment horizontal="center" vertical="center" wrapText="1"/>
    </xf>
    <xf numFmtId="14" fontId="1" fillId="0" borderId="1" xfId="0" applyNumberFormat="1" applyFont="1" applyBorder="1" applyAlignment="1">
      <alignment horizontal="center" vertical="center" wrapText="1"/>
    </xf>
    <xf numFmtId="0" fontId="1" fillId="0" borderId="1" xfId="0" applyNumberFormat="1" applyFont="1" applyBorder="1" applyAlignment="1">
      <alignment horizontal="center" vertical="center" wrapText="1"/>
    </xf>
    <xf numFmtId="0" fontId="2" fillId="0" borderId="1" xfId="0" applyFont="1" applyFill="1" applyBorder="1" applyAlignment="1">
      <alignment horizontal="center" vertical="center" wrapText="1"/>
    </xf>
    <xf numFmtId="49" fontId="2" fillId="0" borderId="2" xfId="0" applyNumberFormat="1" applyFont="1" applyFill="1" applyBorder="1" applyAlignment="1">
      <alignment horizontal="center" vertical="center" wrapText="1"/>
    </xf>
    <xf numFmtId="49" fontId="2" fillId="0" borderId="1" xfId="0" applyNumberFormat="1" applyFont="1" applyFill="1" applyBorder="1" applyAlignment="1">
      <alignment horizontal="center" vertical="center" wrapText="1"/>
    </xf>
    <xf numFmtId="0" fontId="2" fillId="0" borderId="1" xfId="0" applyFont="1" applyBorder="1" applyAlignment="1">
      <alignment horizontal="center" vertical="center" wrapText="1"/>
    </xf>
    <xf numFmtId="14" fontId="2" fillId="0" borderId="1" xfId="0" applyNumberFormat="1" applyFont="1" applyFill="1" applyBorder="1" applyAlignment="1">
      <alignment horizontal="center" vertical="center" wrapText="1"/>
    </xf>
    <xf numFmtId="0" fontId="2" fillId="0" borderId="1" xfId="0" applyNumberFormat="1" applyFont="1" applyFill="1" applyBorder="1" applyAlignment="1">
      <alignment horizontal="center" vertical="center" wrapText="1"/>
    </xf>
    <xf numFmtId="49" fontId="2" fillId="0" borderId="3" xfId="0" applyNumberFormat="1" applyFont="1" applyFill="1" applyBorder="1" applyAlignment="1">
      <alignment horizontal="center" vertical="center" wrapText="1"/>
    </xf>
    <xf numFmtId="176" fontId="1" fillId="0" borderId="1" xfId="0" applyNumberFormat="1" applyFont="1" applyBorder="1" applyAlignment="1">
      <alignment horizontal="center" vertical="center" wrapText="1"/>
    </xf>
    <xf numFmtId="176" fontId="3" fillId="0" borderId="1" xfId="0" applyNumberFormat="1" applyFont="1" applyFill="1" applyBorder="1" applyAlignment="1">
      <alignment horizontal="center" vertical="center" wrapText="1"/>
    </xf>
    <xf numFmtId="0" fontId="4" fillId="0" borderId="0" xfId="0" applyFont="1" applyBorder="1" applyAlignment="1">
      <alignment horizontal="center" vertical="center" wrapText="1"/>
    </xf>
    <xf numFmtId="0" fontId="1" fillId="0" borderId="0" xfId="0" applyFont="1" applyBorder="1" applyAlignment="1">
      <alignment horizontal="center" vertical="center" wrapText="1"/>
    </xf>
    <xf numFmtId="0" fontId="2" fillId="0" borderId="0" xfId="0" applyFont="1" applyFill="1" applyBorder="1" applyAlignment="1">
      <alignment horizontal="center" vertical="center" wrapText="1"/>
    </xf>
    <xf numFmtId="0" fontId="2" fillId="0" borderId="0" xfId="0" applyFont="1" applyAlignment="1">
      <alignment horizontal="center" vertical="center" wrapText="1"/>
    </xf>
    <xf numFmtId="0" fontId="2" fillId="0" borderId="0" xfId="0" applyFont="1" applyBorder="1" applyAlignment="1">
      <alignment horizontal="center" vertical="center" wrapText="1"/>
    </xf>
    <xf numFmtId="0" fontId="0" fillId="0" borderId="0" xfId="0" applyFill="1" applyBorder="1" applyAlignment="1">
      <alignment horizontal="center" vertical="center" wrapText="1"/>
    </xf>
    <xf numFmtId="0" fontId="0" fillId="0" borderId="0" xfId="0" applyBorder="1" applyAlignment="1">
      <alignment horizontal="center" vertical="center" wrapText="1"/>
    </xf>
    <xf numFmtId="49" fontId="0" fillId="0" borderId="0" xfId="0" applyNumberFormat="1" applyBorder="1" applyAlignment="1">
      <alignment horizontal="center" vertical="center" wrapText="1"/>
    </xf>
    <xf numFmtId="0" fontId="5" fillId="0" borderId="0" xfId="0" applyFont="1" applyBorder="1" applyAlignment="1">
      <alignment horizontal="center" vertical="center" wrapText="1"/>
    </xf>
    <xf numFmtId="0" fontId="0" fillId="0" borderId="0" xfId="0" applyBorder="1" applyAlignment="1">
      <alignment horizontal="left" vertical="center" wrapText="1"/>
    </xf>
    <xf numFmtId="14" fontId="5" fillId="0" borderId="0" xfId="0" applyNumberFormat="1" applyFont="1" applyBorder="1" applyAlignment="1">
      <alignment horizontal="center" vertical="center" wrapText="1"/>
    </xf>
    <xf numFmtId="4" fontId="5" fillId="0" borderId="0" xfId="0" applyNumberFormat="1" applyFont="1" applyBorder="1" applyAlignment="1">
      <alignment horizontal="center" vertical="center" wrapText="1"/>
    </xf>
    <xf numFmtId="0" fontId="0" fillId="0" borderId="0" xfId="0" applyNumberFormat="1" applyFont="1" applyBorder="1" applyAlignment="1">
      <alignment horizontal="center" vertical="center" wrapText="1"/>
    </xf>
    <xf numFmtId="176" fontId="5" fillId="0" borderId="0" xfId="0" applyNumberFormat="1" applyFont="1" applyBorder="1" applyAlignment="1">
      <alignment horizontal="center" vertical="center" wrapText="1"/>
    </xf>
    <xf numFmtId="177" fontId="0" fillId="0" borderId="0" xfId="0" applyNumberFormat="1" applyBorder="1" applyAlignment="1">
      <alignment horizontal="center" vertical="center" wrapText="1"/>
    </xf>
    <xf numFmtId="0" fontId="6" fillId="0" borderId="0" xfId="0" applyFont="1" applyBorder="1" applyAlignment="1">
      <alignment horizontal="center" vertical="center" wrapText="1"/>
    </xf>
    <xf numFmtId="49" fontId="6" fillId="0" borderId="0" xfId="0" applyNumberFormat="1" applyFont="1" applyBorder="1" applyAlignment="1">
      <alignment horizontal="center" vertical="center" wrapText="1"/>
    </xf>
    <xf numFmtId="49" fontId="1" fillId="0" borderId="1" xfId="0" applyNumberFormat="1" applyFont="1" applyBorder="1" applyAlignment="1">
      <alignment horizontal="center" vertical="center" wrapText="1"/>
    </xf>
    <xf numFmtId="0" fontId="2" fillId="2" borderId="1" xfId="0" applyFont="1" applyFill="1" applyBorder="1" applyAlignment="1">
      <alignment horizontal="center" vertical="center" wrapText="1"/>
    </xf>
    <xf numFmtId="0" fontId="3" fillId="0" borderId="1" xfId="0" applyFont="1" applyFill="1" applyBorder="1" applyAlignment="1">
      <alignment horizontal="center" vertical="center" wrapText="1"/>
    </xf>
    <xf numFmtId="0" fontId="3" fillId="0" borderId="4" xfId="0" applyFont="1" applyFill="1" applyBorder="1" applyAlignment="1">
      <alignment horizontal="center" vertical="center" wrapText="1"/>
    </xf>
    <xf numFmtId="0" fontId="3" fillId="0" borderId="3" xfId="0" applyFont="1" applyFill="1" applyBorder="1" applyAlignment="1">
      <alignment horizontal="center" vertical="center" wrapText="1"/>
    </xf>
    <xf numFmtId="0" fontId="3" fillId="0" borderId="2" xfId="0" applyFont="1" applyFill="1" applyBorder="1" applyAlignment="1">
      <alignment horizontal="center" vertical="center" wrapText="1"/>
    </xf>
    <xf numFmtId="49" fontId="3" fillId="0" borderId="1" xfId="0" applyNumberFormat="1" applyFont="1" applyFill="1" applyBorder="1" applyAlignment="1">
      <alignment horizontal="center" vertical="center" wrapText="1"/>
    </xf>
    <xf numFmtId="0" fontId="3" fillId="0" borderId="1" xfId="0" applyFont="1" applyBorder="1" applyAlignment="1">
      <alignment horizontal="center" vertical="center" wrapText="1"/>
    </xf>
    <xf numFmtId="0" fontId="6" fillId="0" borderId="0" xfId="0" applyFont="1" applyBorder="1" applyAlignment="1">
      <alignment horizontal="left" vertical="center" wrapText="1"/>
    </xf>
    <xf numFmtId="0" fontId="6" fillId="0" borderId="0" xfId="0" applyFont="1" applyFill="1" applyBorder="1" applyAlignment="1">
      <alignment horizontal="center" vertical="center" wrapText="1"/>
    </xf>
    <xf numFmtId="0" fontId="6" fillId="0" borderId="0" xfId="0" applyNumberFormat="1" applyFont="1" applyBorder="1" applyAlignment="1">
      <alignment horizontal="center" vertical="center" wrapText="1"/>
    </xf>
    <xf numFmtId="0" fontId="2" fillId="0" borderId="1" xfId="0" applyFont="1" applyFill="1" applyBorder="1" applyAlignment="1">
      <alignment horizontal="left" vertical="center" wrapText="1"/>
    </xf>
    <xf numFmtId="0" fontId="2" fillId="2" borderId="1" xfId="0" applyFont="1" applyFill="1" applyBorder="1" applyAlignment="1">
      <alignment horizontal="left" vertical="center" wrapText="1"/>
    </xf>
    <xf numFmtId="14" fontId="3" fillId="0" borderId="1" xfId="0" applyNumberFormat="1" applyFont="1" applyFill="1" applyBorder="1" applyAlignment="1">
      <alignment horizontal="center" vertical="center" wrapText="1"/>
    </xf>
    <xf numFmtId="0" fontId="2" fillId="0" borderId="1" xfId="0" applyNumberFormat="1" applyFont="1" applyBorder="1" applyAlignment="1">
      <alignment horizontal="center" vertical="center" wrapText="1"/>
    </xf>
    <xf numFmtId="0" fontId="2" fillId="3" borderId="1" xfId="0" applyFont="1" applyFill="1" applyBorder="1" applyAlignment="1">
      <alignment horizontal="left" vertical="center" wrapText="1"/>
    </xf>
    <xf numFmtId="0" fontId="2" fillId="0" borderId="1" xfId="0" applyFont="1" applyBorder="1" applyAlignment="1">
      <alignment horizontal="left" vertical="center" wrapText="1"/>
    </xf>
    <xf numFmtId="14" fontId="3" fillId="0" borderId="1" xfId="0" applyNumberFormat="1" applyFont="1" applyBorder="1" applyAlignment="1">
      <alignment horizontal="center" vertical="center" wrapText="1"/>
    </xf>
    <xf numFmtId="176" fontId="3" fillId="0" borderId="1" xfId="0" applyNumberFormat="1" applyFont="1" applyBorder="1" applyAlignment="1">
      <alignment horizontal="center" vertical="center" wrapText="1"/>
    </xf>
    <xf numFmtId="14" fontId="2" fillId="0" borderId="1" xfId="0" applyNumberFormat="1" applyFont="1" applyBorder="1" applyAlignment="1">
      <alignment horizontal="center" vertical="center" wrapText="1"/>
    </xf>
    <xf numFmtId="177" fontId="4" fillId="0" borderId="0" xfId="0" applyNumberFormat="1" applyFont="1" applyBorder="1" applyAlignment="1">
      <alignment horizontal="center" vertical="center" wrapText="1"/>
    </xf>
    <xf numFmtId="177" fontId="1" fillId="0" borderId="1" xfId="0" applyNumberFormat="1" applyFont="1" applyBorder="1" applyAlignment="1">
      <alignment horizontal="center" vertical="center" wrapText="1"/>
    </xf>
    <xf numFmtId="14" fontId="2" fillId="2" borderId="1" xfId="0" applyNumberFormat="1" applyFont="1" applyFill="1" applyBorder="1" applyAlignment="1">
      <alignment horizontal="center" vertical="center" wrapText="1"/>
    </xf>
    <xf numFmtId="0" fontId="7" fillId="0" borderId="0" xfId="0" applyFont="1" applyFill="1" applyBorder="1" applyAlignment="1">
      <alignment horizontal="left" vertical="center" wrapText="1"/>
    </xf>
    <xf numFmtId="0" fontId="8" fillId="0" borderId="0" xfId="0" applyFont="1" applyAlignment="1">
      <alignment horizontal="center" vertical="center" wrapText="1"/>
    </xf>
    <xf numFmtId="0" fontId="8"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49" fontId="2" fillId="0" borderId="1" xfId="0" applyNumberFormat="1" applyFont="1" applyBorder="1" applyAlignment="1">
      <alignment horizontal="center" vertical="center" wrapText="1"/>
    </xf>
    <xf numFmtId="49" fontId="3" fillId="0" borderId="4" xfId="0" applyNumberFormat="1" applyFont="1" applyFill="1" applyBorder="1" applyAlignment="1">
      <alignment horizontal="center" vertical="center" wrapText="1"/>
    </xf>
    <xf numFmtId="49" fontId="3" fillId="0" borderId="2" xfId="0" applyNumberFormat="1" applyFont="1" applyFill="1" applyBorder="1" applyAlignment="1">
      <alignment horizontal="center" vertical="center" wrapText="1"/>
    </xf>
    <xf numFmtId="49" fontId="3" fillId="0" borderId="3" xfId="0" applyNumberFormat="1" applyFont="1" applyFill="1" applyBorder="1" applyAlignment="1">
      <alignment horizontal="center" vertical="center" wrapText="1"/>
    </xf>
    <xf numFmtId="49" fontId="5" fillId="0" borderId="1" xfId="0" applyNumberFormat="1" applyFont="1" applyFill="1" applyBorder="1" applyAlignment="1">
      <alignment horizontal="center" vertical="center" wrapText="1"/>
    </xf>
    <xf numFmtId="49" fontId="2" fillId="0" borderId="1" xfId="0" applyNumberFormat="1" applyFont="1" applyFill="1" applyBorder="1" applyAlignment="1">
      <alignment horizontal="left" vertical="center" wrapText="1"/>
    </xf>
    <xf numFmtId="14" fontId="3" fillId="2" borderId="1" xfId="0" applyNumberFormat="1" applyFont="1" applyFill="1" applyBorder="1" applyAlignment="1">
      <alignment horizontal="center" vertical="center" wrapText="1"/>
    </xf>
    <xf numFmtId="0" fontId="2" fillId="2" borderId="1" xfId="0" applyNumberFormat="1" applyFont="1" applyFill="1" applyBorder="1" applyAlignment="1">
      <alignment horizontal="center" vertical="center" wrapText="1"/>
    </xf>
    <xf numFmtId="176" fontId="3" fillId="2" borderId="1" xfId="0" applyNumberFormat="1" applyFont="1" applyFill="1" applyBorder="1" applyAlignment="1">
      <alignment horizontal="center" vertical="center" wrapText="1"/>
    </xf>
    <xf numFmtId="177" fontId="2" fillId="0" borderId="1" xfId="0" applyNumberFormat="1" applyFont="1" applyBorder="1" applyAlignment="1">
      <alignment horizontal="center" vertical="center" wrapText="1"/>
    </xf>
    <xf numFmtId="177" fontId="2" fillId="2" borderId="1" xfId="0" applyNumberFormat="1" applyFont="1" applyFill="1" applyBorder="1" applyAlignment="1">
      <alignment horizontal="center" vertical="center" wrapText="1"/>
    </xf>
    <xf numFmtId="177" fontId="2" fillId="0" borderId="1" xfId="0" applyNumberFormat="1" applyFont="1" applyFill="1" applyBorder="1" applyAlignment="1">
      <alignment horizontal="center" vertical="center" wrapText="1"/>
    </xf>
    <xf numFmtId="49" fontId="2" fillId="0" borderId="0" xfId="0" applyNumberFormat="1" applyFont="1" applyBorder="1" applyAlignment="1">
      <alignment horizontal="center" vertical="center" wrapText="1"/>
    </xf>
    <xf numFmtId="0" fontId="3" fillId="0" borderId="0" xfId="0" applyFont="1" applyBorder="1" applyAlignment="1">
      <alignment horizontal="center" vertical="center" wrapText="1"/>
    </xf>
    <xf numFmtId="0" fontId="2" fillId="0" borderId="0" xfId="0" applyFont="1" applyBorder="1" applyAlignment="1">
      <alignment horizontal="left" vertical="center" wrapText="1"/>
    </xf>
    <xf numFmtId="14" fontId="3" fillId="0" borderId="0" xfId="0" applyNumberFormat="1" applyFont="1" applyBorder="1" applyAlignment="1">
      <alignment horizontal="center" vertical="center" wrapText="1"/>
    </xf>
    <xf numFmtId="4" fontId="3" fillId="0" borderId="0" xfId="0" applyNumberFormat="1" applyFont="1" applyBorder="1" applyAlignment="1">
      <alignment horizontal="center" vertical="center" wrapText="1"/>
    </xf>
    <xf numFmtId="0" fontId="2" fillId="0" borderId="0" xfId="0" applyNumberFormat="1" applyFont="1" applyBorder="1" applyAlignment="1">
      <alignment horizontal="center" vertical="center" wrapText="1"/>
    </xf>
    <xf numFmtId="176" fontId="3" fillId="0" borderId="0" xfId="0" applyNumberFormat="1" applyFont="1" applyBorder="1" applyAlignment="1">
      <alignment horizontal="center" vertical="center" wrapText="1"/>
    </xf>
    <xf numFmtId="0" fontId="3" fillId="0" borderId="0" xfId="0" applyFont="1" applyFill="1" applyBorder="1" applyAlignment="1">
      <alignment horizontal="distributed" vertical="center" wrapText="1"/>
    </xf>
    <xf numFmtId="0" fontId="3" fillId="2" borderId="0" xfId="0" applyNumberFormat="1" applyFont="1" applyFill="1" applyBorder="1" applyAlignment="1">
      <alignment horizontal="center" vertical="center" wrapText="1"/>
    </xf>
    <xf numFmtId="0" fontId="2" fillId="2" borderId="0" xfId="0" applyNumberFormat="1" applyFont="1" applyFill="1" applyBorder="1" applyAlignment="1">
      <alignment horizontal="center" vertical="center" wrapText="1"/>
    </xf>
    <xf numFmtId="176" fontId="3" fillId="2" borderId="0" xfId="0" applyNumberFormat="1" applyFont="1" applyFill="1" applyBorder="1" applyAlignment="1">
      <alignment horizontal="center" vertical="center" wrapText="1"/>
    </xf>
    <xf numFmtId="177" fontId="2" fillId="0" borderId="0" xfId="0" applyNumberFormat="1" applyFont="1" applyBorder="1" applyAlignment="1">
      <alignment horizontal="center" vertical="center" wrapText="1"/>
    </xf>
    <xf numFmtId="0" fontId="1" fillId="0" borderId="0" xfId="0" applyFont="1" applyAlignment="1">
      <alignment horizontal="center" vertical="center" wrapText="1"/>
    </xf>
    <xf numFmtId="49" fontId="5" fillId="0" borderId="0" xfId="0" applyNumberFormat="1" applyFont="1" applyBorder="1" applyAlignment="1">
      <alignment horizontal="center" vertical="center" wrapText="1"/>
    </xf>
    <xf numFmtId="0" fontId="5" fillId="0" borderId="0" xfId="0" applyFont="1" applyFill="1" applyBorder="1" applyAlignment="1">
      <alignment horizontal="center" vertical="center" wrapText="1"/>
    </xf>
    <xf numFmtId="0" fontId="0" fillId="0" borderId="0" xfId="0" applyNumberFormat="1" applyBorder="1" applyAlignment="1">
      <alignment horizontal="center" vertical="center" wrapText="1"/>
    </xf>
    <xf numFmtId="0" fontId="0" fillId="0" borderId="0" xfId="0" applyNumberFormat="1" applyBorder="1" applyAlignment="1">
      <alignment horizontal="left" vertical="center" wrapText="1"/>
    </xf>
    <xf numFmtId="0" fontId="0" fillId="0" borderId="0" xfId="0" applyNumberFormat="1" applyFill="1" applyBorder="1" applyAlignment="1">
      <alignment horizontal="center" vertical="center" wrapText="1"/>
    </xf>
    <xf numFmtId="4" fontId="0" fillId="0" borderId="0" xfId="0" applyNumberFormat="1" applyFont="1" applyBorder="1" applyAlignment="1">
      <alignment horizontal="center" vertical="center" wrapText="1"/>
    </xf>
    <xf numFmtId="0" fontId="2" fillId="0" borderId="2" xfId="0" applyFont="1" applyBorder="1" applyAlignment="1">
      <alignment horizontal="center" vertical="center" wrapText="1"/>
    </xf>
    <xf numFmtId="49" fontId="3" fillId="0" borderId="0" xfId="0" applyNumberFormat="1" applyFont="1" applyBorder="1" applyAlignment="1">
      <alignment horizontal="center" vertical="center" wrapText="1"/>
    </xf>
    <xf numFmtId="0" fontId="3" fillId="0" borderId="0" xfId="0" applyFont="1" applyFill="1" applyBorder="1" applyAlignment="1">
      <alignment horizontal="center" vertical="center" wrapText="1"/>
    </xf>
    <xf numFmtId="0" fontId="6" fillId="0" borderId="0" xfId="0" applyNumberFormat="1" applyFont="1" applyBorder="1" applyAlignment="1">
      <alignment horizontal="left" vertical="center" wrapText="1"/>
    </xf>
    <xf numFmtId="0" fontId="6" fillId="0" borderId="0" xfId="0" applyNumberFormat="1" applyFont="1" applyFill="1" applyBorder="1" applyAlignment="1">
      <alignment horizontal="center" vertical="center" wrapText="1"/>
    </xf>
    <xf numFmtId="0" fontId="1" fillId="0" borderId="1" xfId="0" applyNumberFormat="1" applyFont="1" applyFill="1" applyBorder="1" applyAlignment="1">
      <alignment horizontal="center" vertical="center" wrapText="1"/>
    </xf>
    <xf numFmtId="0" fontId="2" fillId="0" borderId="1" xfId="0" applyNumberFormat="1" applyFont="1" applyFill="1" applyBorder="1" applyAlignment="1">
      <alignment horizontal="left" vertical="center" wrapText="1"/>
    </xf>
    <xf numFmtId="177" fontId="3" fillId="0" borderId="1" xfId="0" applyNumberFormat="1" applyFont="1" applyFill="1" applyBorder="1" applyAlignment="1">
      <alignment horizontal="center" vertical="center" wrapText="1"/>
    </xf>
    <xf numFmtId="0" fontId="2" fillId="0" borderId="1" xfId="0" applyNumberFormat="1" applyFont="1" applyBorder="1" applyAlignment="1">
      <alignment horizontal="left" vertical="center" wrapText="1"/>
    </xf>
    <xf numFmtId="177" fontId="3" fillId="0" borderId="1" xfId="0" applyNumberFormat="1" applyFont="1" applyBorder="1" applyAlignment="1">
      <alignment horizontal="center" vertical="center" wrapText="1"/>
    </xf>
    <xf numFmtId="0" fontId="2" fillId="0" borderId="0" xfId="0" applyNumberFormat="1" applyFont="1" applyBorder="1" applyAlignment="1">
      <alignment horizontal="left" vertical="center" wrapText="1"/>
    </xf>
    <xf numFmtId="0" fontId="2" fillId="0" borderId="0" xfId="0" applyNumberFormat="1" applyFont="1" applyFill="1" applyBorder="1" applyAlignment="1">
      <alignment horizontal="center" vertical="center" wrapText="1"/>
    </xf>
    <xf numFmtId="0" fontId="3" fillId="0" borderId="0" xfId="0" applyNumberFormat="1" applyFont="1" applyFill="1" applyBorder="1" applyAlignment="1">
      <alignment horizontal="center" vertical="center" wrapText="1"/>
    </xf>
    <xf numFmtId="4" fontId="3" fillId="2" borderId="0" xfId="0" applyNumberFormat="1" applyFont="1" applyFill="1" applyBorder="1" applyAlignment="1">
      <alignment horizontal="center" vertical="center" wrapText="1"/>
    </xf>
    <xf numFmtId="176" fontId="2" fillId="0" borderId="1" xfId="0" applyNumberFormat="1" applyFont="1" applyBorder="1" applyAlignment="1">
      <alignment horizontal="center" vertical="center" wrapText="1"/>
    </xf>
    <xf numFmtId="4" fontId="2" fillId="0" borderId="0" xfId="0" applyNumberFormat="1" applyFont="1" applyBorder="1" applyAlignment="1">
      <alignment horizontal="center" vertical="center" wrapText="1"/>
    </xf>
    <xf numFmtId="4" fontId="2" fillId="2" borderId="0" xfId="0" applyNumberFormat="1" applyFont="1" applyFill="1" applyBorder="1" applyAlignment="1">
      <alignment horizontal="center" vertical="center" wrapText="1"/>
    </xf>
    <xf numFmtId="0" fontId="2" fillId="0" borderId="1" xfId="0" applyFont="1" applyFill="1" applyBorder="1" applyAlignment="1" quotePrefix="1">
      <alignment horizontal="center" vertical="center" wrapText="1"/>
    </xf>
    <xf numFmtId="0" fontId="2" fillId="0" borderId="1" xfId="0" applyFont="1" applyBorder="1" applyAlignment="1" quotePrefix="1">
      <alignment horizontal="center" vertical="center" wrapText="1"/>
    </xf>
    <xf numFmtId="0" fontId="2" fillId="2" borderId="1" xfId="0" applyFont="1" applyFill="1" applyBorder="1" applyAlignment="1" quotePrefix="1">
      <alignment horizontal="center" vertical="center" wrapText="1"/>
    </xf>
    <xf numFmtId="0" fontId="2" fillId="0" borderId="1" xfId="0" applyNumberFormat="1" applyFont="1" applyBorder="1" applyAlignment="1" quotePrefix="1">
      <alignment horizontal="center" vertical="center" wrapText="1"/>
    </xf>
    <xf numFmtId="14" fontId="2" fillId="0" borderId="1" xfId="0" applyNumberFormat="1" applyFont="1" applyBorder="1" applyAlignment="1" quotePrefix="1">
      <alignment horizontal="center" vertical="center" wrapText="1"/>
    </xf>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dxfs count="1">
    <dxf>
      <font>
        <color rgb="FF9C0006"/>
      </font>
      <fill>
        <patternFill patternType="solid">
          <bgColor rgb="FFFFC7CE"/>
        </patternFill>
      </fill>
    </dxf>
  </dxfs>
  <tableStyles count="0" defaultTableStyle="TableStyleMedium2" defaultPivotStyle="PivotStyleLight16"/>
  <colors>
    <mruColors>
      <color rgb="00FFFF00"/>
      <color rgb="00FF0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C7EDCC"/>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pageSetUpPr fitToPage="1"/>
  </sheetPr>
  <dimension ref="A1:AB33"/>
  <sheetViews>
    <sheetView zoomScale="80" zoomScaleNormal="80" workbookViewId="0">
      <pane ySplit="2" topLeftCell="A18" activePane="bottomLeft" state="frozen"/>
      <selection/>
      <selection pane="bottomLeft" activeCell="E20" sqref="E20:E28"/>
    </sheetView>
  </sheetViews>
  <sheetFormatPr defaultColWidth="8.66666666666667" defaultRowHeight="14.25"/>
  <cols>
    <col min="1" max="1" width="6.91666666666667" style="20" customWidth="1"/>
    <col min="2" max="2" width="6.90833333333333" style="83" customWidth="1"/>
    <col min="3" max="3" width="15.25" style="22" customWidth="1"/>
    <col min="4" max="4" width="15.2583333333333" style="84" customWidth="1"/>
    <col min="5" max="6" width="9.99166666666667" style="20" customWidth="1"/>
    <col min="7" max="7" width="20.5833333333333" style="20" customWidth="1"/>
    <col min="8" max="8" width="10.5833333333333" style="20" customWidth="1"/>
    <col min="9" max="9" width="9.99166666666667" style="21" customWidth="1"/>
    <col min="10" max="11" width="10.5833333333333" style="85" customWidth="1"/>
    <col min="12" max="12" width="30.9166666666667" style="86" customWidth="1"/>
    <col min="13" max="13" width="9.99166666666667" style="86" customWidth="1"/>
    <col min="14" max="14" width="9.99166666666667" style="87" customWidth="1"/>
    <col min="15" max="15" width="13.6666666666667" style="24" customWidth="1"/>
    <col min="16" max="16" width="13.6666666666667" style="25" customWidth="1"/>
    <col min="17" max="17" width="13.6666666666667" style="88" customWidth="1"/>
    <col min="18" max="18" width="13.6666666666667" style="27" customWidth="1"/>
    <col min="19" max="20" width="13.6666666666667" style="24" customWidth="1"/>
    <col min="21" max="21" width="12.625" style="20" customWidth="1"/>
    <col min="22" max="22" width="13.6666666666667" style="28" customWidth="1"/>
    <col min="23" max="26" width="13.6666666666667" style="20" customWidth="1"/>
    <col min="27" max="27" width="13.6666666666667" style="24" customWidth="1"/>
    <col min="28" max="28" width="9" style="20"/>
    <col min="29" max="16384" width="8.66666666666667" style="20"/>
  </cols>
  <sheetData>
    <row r="1" s="14" customFormat="1" ht="40" customHeight="1" spans="1:22">
      <c r="A1" s="29" t="s">
        <v>0</v>
      </c>
      <c r="B1" s="30"/>
      <c r="C1" s="29"/>
      <c r="D1" s="40"/>
      <c r="E1" s="29"/>
      <c r="F1" s="29"/>
      <c r="G1" s="29"/>
      <c r="H1" s="29"/>
      <c r="I1" s="30"/>
      <c r="J1" s="41"/>
      <c r="K1" s="41"/>
      <c r="L1" s="92"/>
      <c r="M1" s="92"/>
      <c r="N1" s="93"/>
      <c r="O1" s="29"/>
      <c r="P1" s="29"/>
      <c r="Q1" s="29"/>
      <c r="R1" s="29"/>
      <c r="S1" s="29"/>
      <c r="T1" s="29"/>
      <c r="V1" s="51"/>
    </row>
    <row r="2" s="15" customFormat="1" ht="39.65" customHeight="1" spans="1:27">
      <c r="A2" s="1" t="s">
        <v>1</v>
      </c>
      <c r="B2" s="31" t="s">
        <v>2</v>
      </c>
      <c r="C2" s="1" t="s">
        <v>3</v>
      </c>
      <c r="D2" s="2" t="s">
        <v>4</v>
      </c>
      <c r="E2" s="1" t="s">
        <v>5</v>
      </c>
      <c r="F2" s="1" t="s">
        <v>6</v>
      </c>
      <c r="G2" s="1" t="s">
        <v>7</v>
      </c>
      <c r="H2" s="1" t="s">
        <v>8</v>
      </c>
      <c r="I2" s="31" t="s">
        <v>9</v>
      </c>
      <c r="J2" s="4" t="s">
        <v>10</v>
      </c>
      <c r="K2" s="4" t="s">
        <v>11</v>
      </c>
      <c r="L2" s="4" t="s">
        <v>12</v>
      </c>
      <c r="M2" s="94" t="s">
        <v>13</v>
      </c>
      <c r="N2" s="94" t="s">
        <v>14</v>
      </c>
      <c r="O2" s="3" t="s">
        <v>15</v>
      </c>
      <c r="P2" s="3" t="s">
        <v>16</v>
      </c>
      <c r="Q2" s="3" t="s">
        <v>17</v>
      </c>
      <c r="R2" s="12" t="s">
        <v>18</v>
      </c>
      <c r="S2" s="3" t="s">
        <v>19</v>
      </c>
      <c r="T2" s="3" t="s">
        <v>20</v>
      </c>
      <c r="U2" s="1" t="s">
        <v>21</v>
      </c>
      <c r="V2" s="52" t="s">
        <v>22</v>
      </c>
      <c r="W2" s="1" t="s">
        <v>23</v>
      </c>
      <c r="X2" s="1" t="s">
        <v>24</v>
      </c>
      <c r="Y2" s="1" t="s">
        <v>25</v>
      </c>
      <c r="Z2" s="1" t="s">
        <v>26</v>
      </c>
      <c r="AA2" s="3" t="s">
        <v>27</v>
      </c>
    </row>
    <row r="3" s="82" customFormat="1" ht="85.5" spans="1:28">
      <c r="A3" s="8">
        <v>1</v>
      </c>
      <c r="B3" s="58" t="s">
        <v>28</v>
      </c>
      <c r="C3" s="7" t="s">
        <v>29</v>
      </c>
      <c r="D3" s="7" t="s">
        <v>30</v>
      </c>
      <c r="E3" s="7" t="s">
        <v>31</v>
      </c>
      <c r="F3" s="5" t="s">
        <v>32</v>
      </c>
      <c r="G3" s="5" t="s">
        <v>33</v>
      </c>
      <c r="H3" s="5" t="s">
        <v>34</v>
      </c>
      <c r="I3" s="7">
        <v>13950235268</v>
      </c>
      <c r="J3" s="10" t="s">
        <v>35</v>
      </c>
      <c r="K3" s="10" t="s">
        <v>36</v>
      </c>
      <c r="L3" s="95" t="s">
        <v>37</v>
      </c>
      <c r="M3" s="95" t="s">
        <v>38</v>
      </c>
      <c r="N3" s="10" t="s">
        <v>39</v>
      </c>
      <c r="O3" s="96">
        <v>44119</v>
      </c>
      <c r="P3" s="9" t="s">
        <v>40</v>
      </c>
      <c r="Q3" s="50" t="s">
        <v>40</v>
      </c>
      <c r="R3" s="103" t="s">
        <v>40</v>
      </c>
      <c r="S3" s="9" t="s">
        <v>40</v>
      </c>
      <c r="T3" s="50">
        <v>44120</v>
      </c>
      <c r="U3" s="5" t="s">
        <v>41</v>
      </c>
      <c r="V3" s="67">
        <v>44124</v>
      </c>
      <c r="W3" s="67">
        <v>44124</v>
      </c>
      <c r="X3" s="67" t="s">
        <v>42</v>
      </c>
      <c r="Y3" s="8" t="s">
        <v>40</v>
      </c>
      <c r="Z3" s="67">
        <v>44124</v>
      </c>
      <c r="AA3" s="9"/>
      <c r="AB3" s="20"/>
    </row>
    <row r="4" s="82" customFormat="1" ht="114" spans="1:28">
      <c r="A4" s="8">
        <v>2</v>
      </c>
      <c r="B4" s="58" t="s">
        <v>43</v>
      </c>
      <c r="C4" s="7" t="s">
        <v>44</v>
      </c>
      <c r="D4" s="7" t="s">
        <v>45</v>
      </c>
      <c r="E4" s="7" t="s">
        <v>46</v>
      </c>
      <c r="F4" s="106" t="s">
        <v>47</v>
      </c>
      <c r="G4" s="5" t="s">
        <v>48</v>
      </c>
      <c r="H4" s="5" t="s">
        <v>49</v>
      </c>
      <c r="I4" s="7">
        <v>18277195178</v>
      </c>
      <c r="J4" s="10" t="s">
        <v>35</v>
      </c>
      <c r="K4" s="10" t="s">
        <v>50</v>
      </c>
      <c r="L4" s="95" t="s">
        <v>51</v>
      </c>
      <c r="M4" s="95" t="s">
        <v>38</v>
      </c>
      <c r="N4" s="10" t="s">
        <v>52</v>
      </c>
      <c r="O4" s="96">
        <v>44119</v>
      </c>
      <c r="P4" s="9" t="s">
        <v>40</v>
      </c>
      <c r="Q4" s="50" t="s">
        <v>40</v>
      </c>
      <c r="R4" s="103" t="s">
        <v>40</v>
      </c>
      <c r="S4" s="9" t="s">
        <v>40</v>
      </c>
      <c r="T4" s="50">
        <v>44120</v>
      </c>
      <c r="U4" s="5" t="s">
        <v>53</v>
      </c>
      <c r="V4" s="67">
        <v>44124</v>
      </c>
      <c r="W4" s="67">
        <v>44124</v>
      </c>
      <c r="X4" s="67" t="s">
        <v>42</v>
      </c>
      <c r="Y4" s="8" t="s">
        <v>40</v>
      </c>
      <c r="Z4" s="67">
        <v>44124</v>
      </c>
      <c r="AA4" s="9"/>
      <c r="AB4" s="20"/>
    </row>
    <row r="5" s="82" customFormat="1" ht="128.25" spans="1:28">
      <c r="A5" s="8">
        <v>3</v>
      </c>
      <c r="B5" s="58">
        <v>20201000016</v>
      </c>
      <c r="C5" s="8" t="s">
        <v>54</v>
      </c>
      <c r="D5" s="5" t="s">
        <v>55</v>
      </c>
      <c r="E5" s="8" t="s">
        <v>56</v>
      </c>
      <c r="F5" s="8" t="s">
        <v>57</v>
      </c>
      <c r="G5" s="8" t="s">
        <v>58</v>
      </c>
      <c r="H5" s="8" t="s">
        <v>59</v>
      </c>
      <c r="I5" s="58">
        <v>18152657658</v>
      </c>
      <c r="J5" s="45" t="s">
        <v>35</v>
      </c>
      <c r="K5" s="45" t="s">
        <v>60</v>
      </c>
      <c r="L5" s="97" t="s">
        <v>61</v>
      </c>
      <c r="M5" s="95" t="s">
        <v>38</v>
      </c>
      <c r="N5" s="10" t="s">
        <v>62</v>
      </c>
      <c r="O5" s="96">
        <v>44125</v>
      </c>
      <c r="P5" s="9" t="s">
        <v>40</v>
      </c>
      <c r="Q5" s="50" t="s">
        <v>40</v>
      </c>
      <c r="R5" s="103" t="s">
        <v>40</v>
      </c>
      <c r="S5" s="9" t="s">
        <v>40</v>
      </c>
      <c r="T5" s="50">
        <v>44125</v>
      </c>
      <c r="U5" s="5" t="s">
        <v>53</v>
      </c>
      <c r="V5" s="67">
        <v>44134</v>
      </c>
      <c r="W5" s="67">
        <v>44134</v>
      </c>
      <c r="X5" s="67" t="s">
        <v>42</v>
      </c>
      <c r="Y5" s="8" t="s">
        <v>40</v>
      </c>
      <c r="Z5" s="67">
        <v>44132</v>
      </c>
      <c r="AA5" s="9"/>
      <c r="AB5" s="20"/>
    </row>
    <row r="6" s="82" customFormat="1" ht="85.5" spans="1:28">
      <c r="A6" s="8">
        <v>4</v>
      </c>
      <c r="B6" s="58">
        <v>20201000017</v>
      </c>
      <c r="C6" s="8" t="s">
        <v>63</v>
      </c>
      <c r="D6" s="5" t="s">
        <v>64</v>
      </c>
      <c r="E6" s="7" t="s">
        <v>65</v>
      </c>
      <c r="F6" s="8" t="s">
        <v>66</v>
      </c>
      <c r="G6" s="8" t="s">
        <v>67</v>
      </c>
      <c r="H6" s="8" t="s">
        <v>68</v>
      </c>
      <c r="I6" s="58">
        <v>15173201116</v>
      </c>
      <c r="J6" s="45" t="s">
        <v>35</v>
      </c>
      <c r="K6" s="45" t="s">
        <v>69</v>
      </c>
      <c r="L6" s="97" t="s">
        <v>70</v>
      </c>
      <c r="M6" s="95" t="s">
        <v>38</v>
      </c>
      <c r="N6" s="10" t="s">
        <v>71</v>
      </c>
      <c r="O6" s="98">
        <v>44126</v>
      </c>
      <c r="P6" s="9" t="s">
        <v>40</v>
      </c>
      <c r="Q6" s="50" t="s">
        <v>40</v>
      </c>
      <c r="R6" s="103" t="s">
        <v>40</v>
      </c>
      <c r="S6" s="9" t="s">
        <v>40</v>
      </c>
      <c r="T6" s="50">
        <v>44126</v>
      </c>
      <c r="U6" s="5" t="s">
        <v>53</v>
      </c>
      <c r="V6" s="67">
        <v>44134</v>
      </c>
      <c r="W6" s="67">
        <v>44134</v>
      </c>
      <c r="X6" s="67" t="s">
        <v>42</v>
      </c>
      <c r="Y6" s="8" t="s">
        <v>40</v>
      </c>
      <c r="Z6" s="67">
        <v>44132</v>
      </c>
      <c r="AA6" s="50"/>
      <c r="AB6" s="20"/>
    </row>
    <row r="7" s="82" customFormat="1" ht="85.5" spans="1:28">
      <c r="A7" s="8">
        <v>5</v>
      </c>
      <c r="B7" s="58">
        <v>20201000018</v>
      </c>
      <c r="C7" s="8" t="s">
        <v>72</v>
      </c>
      <c r="D7" s="5" t="s">
        <v>72</v>
      </c>
      <c r="E7" s="8" t="s">
        <v>73</v>
      </c>
      <c r="F7" s="8" t="s">
        <v>74</v>
      </c>
      <c r="G7" s="8" t="s">
        <v>75</v>
      </c>
      <c r="H7" s="8" t="s">
        <v>76</v>
      </c>
      <c r="I7" s="58">
        <v>13670165487</v>
      </c>
      <c r="J7" s="45" t="s">
        <v>35</v>
      </c>
      <c r="K7" s="45" t="s">
        <v>50</v>
      </c>
      <c r="L7" s="97" t="s">
        <v>51</v>
      </c>
      <c r="M7" s="95" t="s">
        <v>38</v>
      </c>
      <c r="N7" s="10" t="s">
        <v>77</v>
      </c>
      <c r="O7" s="48">
        <v>44126</v>
      </c>
      <c r="P7" s="9" t="s">
        <v>40</v>
      </c>
      <c r="Q7" s="50" t="s">
        <v>40</v>
      </c>
      <c r="R7" s="103" t="s">
        <v>40</v>
      </c>
      <c r="S7" s="9" t="s">
        <v>40</v>
      </c>
      <c r="T7" s="50">
        <v>44126</v>
      </c>
      <c r="U7" s="8" t="s">
        <v>78</v>
      </c>
      <c r="V7" s="67">
        <v>44132</v>
      </c>
      <c r="W7" s="67">
        <v>44134</v>
      </c>
      <c r="X7" s="67" t="s">
        <v>42</v>
      </c>
      <c r="Y7" s="8" t="s">
        <v>40</v>
      </c>
      <c r="Z7" s="67">
        <v>44132</v>
      </c>
      <c r="AA7" s="50"/>
      <c r="AB7" s="20"/>
    </row>
    <row r="8" s="82" customFormat="1" ht="99.75" spans="1:28">
      <c r="A8" s="8">
        <v>6</v>
      </c>
      <c r="B8" s="58">
        <v>20201000019</v>
      </c>
      <c r="C8" s="8" t="s">
        <v>79</v>
      </c>
      <c r="D8" s="5" t="s">
        <v>79</v>
      </c>
      <c r="E8" s="8" t="s">
        <v>80</v>
      </c>
      <c r="F8" s="107" t="s">
        <v>81</v>
      </c>
      <c r="G8" s="8" t="s">
        <v>82</v>
      </c>
      <c r="H8" s="8" t="s">
        <v>83</v>
      </c>
      <c r="I8" s="58">
        <v>15072618173</v>
      </c>
      <c r="J8" s="45" t="s">
        <v>35</v>
      </c>
      <c r="K8" s="45" t="s">
        <v>50</v>
      </c>
      <c r="L8" s="97" t="s">
        <v>84</v>
      </c>
      <c r="M8" s="95" t="s">
        <v>38</v>
      </c>
      <c r="N8" s="10" t="s">
        <v>85</v>
      </c>
      <c r="O8" s="48">
        <v>44126</v>
      </c>
      <c r="P8" s="9" t="s">
        <v>40</v>
      </c>
      <c r="Q8" s="50" t="s">
        <v>40</v>
      </c>
      <c r="R8" s="103" t="s">
        <v>40</v>
      </c>
      <c r="S8" s="9" t="s">
        <v>40</v>
      </c>
      <c r="T8" s="50">
        <v>44127</v>
      </c>
      <c r="U8" s="8" t="s">
        <v>78</v>
      </c>
      <c r="V8" s="67">
        <v>44132</v>
      </c>
      <c r="W8" s="67">
        <v>44134</v>
      </c>
      <c r="X8" s="67" t="s">
        <v>42</v>
      </c>
      <c r="Y8" s="8" t="s">
        <v>40</v>
      </c>
      <c r="Z8" s="67">
        <v>44132</v>
      </c>
      <c r="AA8" s="50"/>
      <c r="AB8" s="20"/>
    </row>
    <row r="9" s="82" customFormat="1" ht="99.75" spans="1:28">
      <c r="A9" s="8">
        <v>7</v>
      </c>
      <c r="B9" s="58">
        <v>20201000020</v>
      </c>
      <c r="C9" s="8" t="s">
        <v>86</v>
      </c>
      <c r="D9" s="5" t="s">
        <v>87</v>
      </c>
      <c r="E9" s="7" t="s">
        <v>88</v>
      </c>
      <c r="F9" s="89" t="s">
        <v>89</v>
      </c>
      <c r="G9" s="8" t="s">
        <v>90</v>
      </c>
      <c r="H9" s="8" t="s">
        <v>91</v>
      </c>
      <c r="I9" s="58">
        <v>18675566487</v>
      </c>
      <c r="J9" s="45" t="s">
        <v>35</v>
      </c>
      <c r="K9" s="45" t="s">
        <v>50</v>
      </c>
      <c r="L9" s="97" t="s">
        <v>92</v>
      </c>
      <c r="M9" s="95" t="s">
        <v>38</v>
      </c>
      <c r="N9" s="10" t="s">
        <v>93</v>
      </c>
      <c r="O9" s="98">
        <v>44126</v>
      </c>
      <c r="P9" s="9" t="s">
        <v>40</v>
      </c>
      <c r="Q9" s="50" t="s">
        <v>40</v>
      </c>
      <c r="R9" s="103" t="s">
        <v>40</v>
      </c>
      <c r="S9" s="9" t="s">
        <v>40</v>
      </c>
      <c r="T9" s="50">
        <v>44126</v>
      </c>
      <c r="U9" s="5" t="s">
        <v>41</v>
      </c>
      <c r="V9" s="67">
        <v>44134</v>
      </c>
      <c r="W9" s="67">
        <v>44134</v>
      </c>
      <c r="X9" s="67" t="s">
        <v>42</v>
      </c>
      <c r="Y9" s="8" t="s">
        <v>40</v>
      </c>
      <c r="Z9" s="67">
        <v>44132</v>
      </c>
      <c r="AA9" s="50"/>
      <c r="AB9" s="20"/>
    </row>
    <row r="10" s="82" customFormat="1" ht="85" customHeight="1" spans="1:28">
      <c r="A10" s="8">
        <v>8</v>
      </c>
      <c r="B10" s="58">
        <v>20201000021</v>
      </c>
      <c r="C10" s="8" t="s">
        <v>94</v>
      </c>
      <c r="D10" s="5" t="s">
        <v>95</v>
      </c>
      <c r="E10" s="8" t="s">
        <v>96</v>
      </c>
      <c r="F10" s="8" t="s">
        <v>97</v>
      </c>
      <c r="G10" s="8" t="s">
        <v>98</v>
      </c>
      <c r="H10" s="8" t="s">
        <v>99</v>
      </c>
      <c r="I10" s="58">
        <v>13342994277</v>
      </c>
      <c r="J10" s="45" t="s">
        <v>35</v>
      </c>
      <c r="K10" s="45" t="s">
        <v>50</v>
      </c>
      <c r="L10" s="97" t="s">
        <v>100</v>
      </c>
      <c r="M10" s="95" t="s">
        <v>38</v>
      </c>
      <c r="N10" s="10" t="s">
        <v>101</v>
      </c>
      <c r="O10" s="98">
        <v>44126</v>
      </c>
      <c r="P10" s="9" t="s">
        <v>40</v>
      </c>
      <c r="Q10" s="50" t="s">
        <v>40</v>
      </c>
      <c r="R10" s="103" t="s">
        <v>40</v>
      </c>
      <c r="S10" s="9" t="s">
        <v>40</v>
      </c>
      <c r="T10" s="50">
        <v>44126</v>
      </c>
      <c r="U10" s="5" t="s">
        <v>41</v>
      </c>
      <c r="V10" s="67">
        <v>44134</v>
      </c>
      <c r="W10" s="67">
        <v>44134</v>
      </c>
      <c r="X10" s="67" t="s">
        <v>42</v>
      </c>
      <c r="Y10" s="8" t="s">
        <v>40</v>
      </c>
      <c r="Z10" s="67">
        <v>44132</v>
      </c>
      <c r="AA10" s="9"/>
      <c r="AB10" s="20"/>
    </row>
    <row r="11" ht="85" customHeight="1" spans="1:28">
      <c r="A11" s="8">
        <v>1</v>
      </c>
      <c r="B11" s="58">
        <v>20211000010</v>
      </c>
      <c r="C11" s="7" t="s">
        <v>102</v>
      </c>
      <c r="D11" s="7" t="s">
        <v>103</v>
      </c>
      <c r="E11" s="7" t="s">
        <v>104</v>
      </c>
      <c r="F11" s="5" t="s">
        <v>105</v>
      </c>
      <c r="G11" s="5" t="s">
        <v>106</v>
      </c>
      <c r="H11" s="5" t="s">
        <v>107</v>
      </c>
      <c r="I11" s="7">
        <v>13312915836</v>
      </c>
      <c r="J11" s="10" t="s">
        <v>35</v>
      </c>
      <c r="K11" s="45" t="s">
        <v>60</v>
      </c>
      <c r="L11" s="95" t="s">
        <v>108</v>
      </c>
      <c r="M11" s="95" t="s">
        <v>38</v>
      </c>
      <c r="N11" s="10" t="s">
        <v>109</v>
      </c>
      <c r="O11" s="44">
        <v>44305</v>
      </c>
      <c r="P11" s="9" t="s">
        <v>40</v>
      </c>
      <c r="Q11" s="50" t="s">
        <v>40</v>
      </c>
      <c r="R11" s="103" t="s">
        <v>40</v>
      </c>
      <c r="S11" s="9" t="s">
        <v>40</v>
      </c>
      <c r="T11" s="50" t="s">
        <v>40</v>
      </c>
      <c r="U11" s="5" t="s">
        <v>53</v>
      </c>
      <c r="V11" s="67">
        <v>44308</v>
      </c>
      <c r="W11" s="67">
        <v>44312</v>
      </c>
      <c r="X11" s="67" t="s">
        <v>42</v>
      </c>
      <c r="Y11" s="67">
        <v>44316</v>
      </c>
      <c r="Z11" s="67">
        <v>44322</v>
      </c>
      <c r="AA11" s="9"/>
      <c r="AB11" s="17" t="s">
        <v>110</v>
      </c>
    </row>
    <row r="12" ht="85" customHeight="1" spans="1:28">
      <c r="A12" s="8">
        <v>2</v>
      </c>
      <c r="B12" s="58">
        <v>20211000013</v>
      </c>
      <c r="C12" s="7" t="s">
        <v>111</v>
      </c>
      <c r="D12" s="7" t="s">
        <v>112</v>
      </c>
      <c r="E12" s="7" t="s">
        <v>113</v>
      </c>
      <c r="F12" s="5" t="s">
        <v>114</v>
      </c>
      <c r="G12" s="5" t="s">
        <v>115</v>
      </c>
      <c r="H12" s="5" t="s">
        <v>116</v>
      </c>
      <c r="I12" s="7">
        <v>13590432422</v>
      </c>
      <c r="J12" s="10" t="s">
        <v>35</v>
      </c>
      <c r="K12" s="10" t="s">
        <v>117</v>
      </c>
      <c r="L12" s="95" t="s">
        <v>84</v>
      </c>
      <c r="M12" s="95" t="s">
        <v>38</v>
      </c>
      <c r="N12" s="10" t="s">
        <v>118</v>
      </c>
      <c r="O12" s="44">
        <v>44305</v>
      </c>
      <c r="P12" s="9" t="s">
        <v>40</v>
      </c>
      <c r="Q12" s="50" t="s">
        <v>40</v>
      </c>
      <c r="R12" s="103" t="s">
        <v>40</v>
      </c>
      <c r="S12" s="9" t="s">
        <v>40</v>
      </c>
      <c r="T12" s="50" t="s">
        <v>40</v>
      </c>
      <c r="U12" s="8" t="s">
        <v>119</v>
      </c>
      <c r="V12" s="67">
        <v>44308</v>
      </c>
      <c r="W12" s="67">
        <v>44312</v>
      </c>
      <c r="X12" s="67" t="s">
        <v>42</v>
      </c>
      <c r="Y12" s="67">
        <v>44316</v>
      </c>
      <c r="Z12" s="67">
        <v>44322</v>
      </c>
      <c r="AA12" s="9"/>
      <c r="AB12" s="17" t="s">
        <v>110</v>
      </c>
    </row>
    <row r="13" ht="85" customHeight="1" spans="1:28">
      <c r="A13" s="8">
        <v>3</v>
      </c>
      <c r="B13" s="58">
        <v>20211000016</v>
      </c>
      <c r="C13" s="8" t="s">
        <v>120</v>
      </c>
      <c r="D13" s="5" t="s">
        <v>121</v>
      </c>
      <c r="E13" s="8" t="s">
        <v>122</v>
      </c>
      <c r="F13" s="8" t="s">
        <v>123</v>
      </c>
      <c r="G13" s="8" t="s">
        <v>124</v>
      </c>
      <c r="H13" s="8" t="s">
        <v>125</v>
      </c>
      <c r="I13" s="58">
        <v>13482562706</v>
      </c>
      <c r="J13" s="10" t="s">
        <v>35</v>
      </c>
      <c r="K13" s="45" t="s">
        <v>60</v>
      </c>
      <c r="L13" s="97" t="s">
        <v>126</v>
      </c>
      <c r="M13" s="95" t="s">
        <v>38</v>
      </c>
      <c r="N13" s="10" t="s">
        <v>127</v>
      </c>
      <c r="O13" s="44">
        <v>44307</v>
      </c>
      <c r="P13" s="9" t="s">
        <v>40</v>
      </c>
      <c r="Q13" s="50" t="s">
        <v>40</v>
      </c>
      <c r="R13" s="103" t="s">
        <v>40</v>
      </c>
      <c r="S13" s="9" t="s">
        <v>40</v>
      </c>
      <c r="T13" s="50" t="s">
        <v>40</v>
      </c>
      <c r="U13" s="5" t="s">
        <v>41</v>
      </c>
      <c r="V13" s="67">
        <v>44309</v>
      </c>
      <c r="W13" s="67">
        <v>44312</v>
      </c>
      <c r="X13" s="67" t="s">
        <v>42</v>
      </c>
      <c r="Y13" s="67">
        <v>44316</v>
      </c>
      <c r="Z13" s="67">
        <v>44322</v>
      </c>
      <c r="AA13" s="9" t="s">
        <v>128</v>
      </c>
      <c r="AB13" s="17" t="s">
        <v>110</v>
      </c>
    </row>
    <row r="14" ht="85" customHeight="1" spans="1:28">
      <c r="A14" s="8">
        <v>1</v>
      </c>
      <c r="B14" s="58" t="s">
        <v>129</v>
      </c>
      <c r="C14" s="8" t="s">
        <v>130</v>
      </c>
      <c r="D14" s="5" t="s">
        <v>131</v>
      </c>
      <c r="E14" s="8" t="s">
        <v>132</v>
      </c>
      <c r="F14" s="107" t="s">
        <v>133</v>
      </c>
      <c r="G14" s="8" t="s">
        <v>134</v>
      </c>
      <c r="H14" s="8" t="s">
        <v>135</v>
      </c>
      <c r="I14" s="58">
        <v>13537672830</v>
      </c>
      <c r="J14" s="10" t="s">
        <v>35</v>
      </c>
      <c r="K14" s="45" t="s">
        <v>60</v>
      </c>
      <c r="L14" s="97" t="s">
        <v>136</v>
      </c>
      <c r="M14" s="95" t="s">
        <v>38</v>
      </c>
      <c r="N14" s="10" t="s">
        <v>137</v>
      </c>
      <c r="O14" s="48">
        <v>44844</v>
      </c>
      <c r="P14" s="9" t="s">
        <v>40</v>
      </c>
      <c r="Q14" s="50" t="s">
        <v>40</v>
      </c>
      <c r="R14" s="103" t="s">
        <v>40</v>
      </c>
      <c r="S14" s="9" t="s">
        <v>40</v>
      </c>
      <c r="T14" s="50" t="s">
        <v>40</v>
      </c>
      <c r="U14" s="8" t="s">
        <v>138</v>
      </c>
      <c r="V14" s="67">
        <v>44853</v>
      </c>
      <c r="W14" s="67">
        <v>44854</v>
      </c>
      <c r="X14" s="67" t="s">
        <v>42</v>
      </c>
      <c r="Y14" s="8" t="s">
        <v>40</v>
      </c>
      <c r="Z14" s="67">
        <v>44845</v>
      </c>
      <c r="AA14" s="50"/>
      <c r="AB14" s="17" t="s">
        <v>110</v>
      </c>
    </row>
    <row r="15" ht="85" customHeight="1" spans="1:28">
      <c r="A15" s="8">
        <v>2</v>
      </c>
      <c r="B15" s="58" t="s">
        <v>139</v>
      </c>
      <c r="C15" s="8" t="s">
        <v>140</v>
      </c>
      <c r="D15" s="5" t="s">
        <v>141</v>
      </c>
      <c r="E15" s="8" t="s">
        <v>142</v>
      </c>
      <c r="F15" s="107" t="s">
        <v>143</v>
      </c>
      <c r="G15" s="8" t="s">
        <v>144</v>
      </c>
      <c r="H15" s="8" t="s">
        <v>145</v>
      </c>
      <c r="I15" s="58" t="s">
        <v>146</v>
      </c>
      <c r="J15" s="10" t="s">
        <v>35</v>
      </c>
      <c r="K15" s="45" t="s">
        <v>50</v>
      </c>
      <c r="L15" s="97" t="s">
        <v>136</v>
      </c>
      <c r="M15" s="95" t="s">
        <v>38</v>
      </c>
      <c r="N15" s="10" t="s">
        <v>147</v>
      </c>
      <c r="O15" s="48">
        <v>44844</v>
      </c>
      <c r="P15" s="9" t="s">
        <v>40</v>
      </c>
      <c r="Q15" s="50" t="s">
        <v>40</v>
      </c>
      <c r="R15" s="103" t="s">
        <v>40</v>
      </c>
      <c r="S15" s="9" t="s">
        <v>40</v>
      </c>
      <c r="T15" s="50" t="s">
        <v>40</v>
      </c>
      <c r="U15" s="8" t="s">
        <v>148</v>
      </c>
      <c r="V15" s="67">
        <v>44853</v>
      </c>
      <c r="W15" s="67">
        <v>44854</v>
      </c>
      <c r="X15" s="67" t="s">
        <v>42</v>
      </c>
      <c r="Y15" s="8" t="s">
        <v>40</v>
      </c>
      <c r="Z15" s="67">
        <v>44845</v>
      </c>
      <c r="AA15" s="50" t="s">
        <v>149</v>
      </c>
      <c r="AB15" s="17" t="s">
        <v>110</v>
      </c>
    </row>
    <row r="16" ht="85" customHeight="1" spans="1:28">
      <c r="A16" s="8">
        <v>3</v>
      </c>
      <c r="B16" s="58" t="s">
        <v>150</v>
      </c>
      <c r="C16" s="8" t="s">
        <v>151</v>
      </c>
      <c r="D16" s="5" t="s">
        <v>152</v>
      </c>
      <c r="E16" s="8" t="s">
        <v>153</v>
      </c>
      <c r="F16" s="107" t="s">
        <v>154</v>
      </c>
      <c r="G16" s="8" t="s">
        <v>155</v>
      </c>
      <c r="H16" s="8" t="s">
        <v>156</v>
      </c>
      <c r="I16" s="58">
        <v>13713687895</v>
      </c>
      <c r="J16" s="10" t="s">
        <v>35</v>
      </c>
      <c r="K16" s="45" t="s">
        <v>157</v>
      </c>
      <c r="L16" s="97" t="s">
        <v>136</v>
      </c>
      <c r="M16" s="95" t="s">
        <v>38</v>
      </c>
      <c r="N16" s="10" t="s">
        <v>158</v>
      </c>
      <c r="O16" s="48">
        <v>44844</v>
      </c>
      <c r="P16" s="9" t="s">
        <v>40</v>
      </c>
      <c r="Q16" s="50" t="s">
        <v>40</v>
      </c>
      <c r="R16" s="103" t="s">
        <v>40</v>
      </c>
      <c r="S16" s="9" t="s">
        <v>40</v>
      </c>
      <c r="T16" s="50" t="s">
        <v>40</v>
      </c>
      <c r="U16" s="8" t="s">
        <v>53</v>
      </c>
      <c r="V16" s="67">
        <v>44853</v>
      </c>
      <c r="W16" s="67">
        <v>44854</v>
      </c>
      <c r="X16" s="67" t="s">
        <v>42</v>
      </c>
      <c r="Y16" s="8" t="s">
        <v>40</v>
      </c>
      <c r="Z16" s="67">
        <v>44845</v>
      </c>
      <c r="AA16" s="50"/>
      <c r="AB16" s="17" t="s">
        <v>110</v>
      </c>
    </row>
    <row r="17" ht="85" customHeight="1" spans="1:28">
      <c r="A17" s="8">
        <v>4</v>
      </c>
      <c r="B17" s="58" t="s">
        <v>159</v>
      </c>
      <c r="C17" s="8" t="s">
        <v>160</v>
      </c>
      <c r="D17" s="5" t="s">
        <v>161</v>
      </c>
      <c r="E17" s="8" t="s">
        <v>162</v>
      </c>
      <c r="F17" s="107" t="s">
        <v>163</v>
      </c>
      <c r="G17" s="8" t="s">
        <v>164</v>
      </c>
      <c r="H17" s="8" t="s">
        <v>165</v>
      </c>
      <c r="I17" s="58">
        <v>13590375377</v>
      </c>
      <c r="J17" s="10" t="s">
        <v>35</v>
      </c>
      <c r="K17" s="45" t="s">
        <v>117</v>
      </c>
      <c r="L17" s="97" t="s">
        <v>136</v>
      </c>
      <c r="M17" s="95" t="s">
        <v>38</v>
      </c>
      <c r="N17" s="10" t="s">
        <v>166</v>
      </c>
      <c r="O17" s="48">
        <v>44844</v>
      </c>
      <c r="P17" s="9" t="s">
        <v>40</v>
      </c>
      <c r="Q17" s="50" t="s">
        <v>40</v>
      </c>
      <c r="R17" s="103" t="s">
        <v>40</v>
      </c>
      <c r="S17" s="9" t="s">
        <v>40</v>
      </c>
      <c r="T17" s="50" t="s">
        <v>40</v>
      </c>
      <c r="U17" s="8" t="s">
        <v>167</v>
      </c>
      <c r="V17" s="67">
        <v>44853</v>
      </c>
      <c r="W17" s="67">
        <v>44854</v>
      </c>
      <c r="X17" s="67" t="s">
        <v>42</v>
      </c>
      <c r="Y17" s="8" t="s">
        <v>40</v>
      </c>
      <c r="Z17" s="67">
        <v>44845</v>
      </c>
      <c r="AA17" s="50"/>
      <c r="AB17" s="17" t="s">
        <v>110</v>
      </c>
    </row>
    <row r="18" ht="85" customHeight="1" spans="1:28">
      <c r="A18" s="8">
        <v>5</v>
      </c>
      <c r="B18" s="58" t="s">
        <v>168</v>
      </c>
      <c r="C18" s="8" t="s">
        <v>169</v>
      </c>
      <c r="D18" s="5" t="s">
        <v>170</v>
      </c>
      <c r="E18" s="8" t="s">
        <v>171</v>
      </c>
      <c r="F18" s="107" t="s">
        <v>172</v>
      </c>
      <c r="G18" s="8" t="s">
        <v>173</v>
      </c>
      <c r="H18" s="8" t="s">
        <v>174</v>
      </c>
      <c r="I18" s="58">
        <v>18200980752</v>
      </c>
      <c r="J18" s="10" t="s">
        <v>35</v>
      </c>
      <c r="K18" s="45" t="s">
        <v>157</v>
      </c>
      <c r="L18" s="97" t="s">
        <v>136</v>
      </c>
      <c r="M18" s="95" t="s">
        <v>38</v>
      </c>
      <c r="N18" s="10" t="s">
        <v>175</v>
      </c>
      <c r="O18" s="48">
        <v>44844</v>
      </c>
      <c r="P18" s="9" t="s">
        <v>40</v>
      </c>
      <c r="Q18" s="50" t="s">
        <v>40</v>
      </c>
      <c r="R18" s="103" t="s">
        <v>40</v>
      </c>
      <c r="S18" s="9" t="s">
        <v>40</v>
      </c>
      <c r="T18" s="50" t="s">
        <v>40</v>
      </c>
      <c r="U18" s="8" t="s">
        <v>176</v>
      </c>
      <c r="V18" s="67">
        <v>44853</v>
      </c>
      <c r="W18" s="67">
        <v>44854</v>
      </c>
      <c r="X18" s="67" t="s">
        <v>42</v>
      </c>
      <c r="Y18" s="8" t="s">
        <v>40</v>
      </c>
      <c r="Z18" s="67">
        <v>44845</v>
      </c>
      <c r="AA18" s="50"/>
      <c r="AB18" s="17" t="s">
        <v>110</v>
      </c>
    </row>
    <row r="19" ht="85" customHeight="1" spans="1:28">
      <c r="A19" s="8">
        <v>6</v>
      </c>
      <c r="B19" s="58" t="s">
        <v>177</v>
      </c>
      <c r="C19" s="8" t="s">
        <v>178</v>
      </c>
      <c r="D19" s="5" t="s">
        <v>179</v>
      </c>
      <c r="E19" s="8" t="s">
        <v>180</v>
      </c>
      <c r="F19" s="107" t="s">
        <v>181</v>
      </c>
      <c r="G19" s="8" t="s">
        <v>182</v>
      </c>
      <c r="H19" s="8" t="s">
        <v>183</v>
      </c>
      <c r="I19" s="58">
        <v>13603063782</v>
      </c>
      <c r="J19" s="10" t="s">
        <v>35</v>
      </c>
      <c r="K19" s="45" t="s">
        <v>50</v>
      </c>
      <c r="L19" s="97" t="s">
        <v>136</v>
      </c>
      <c r="M19" s="95" t="s">
        <v>38</v>
      </c>
      <c r="N19" s="10" t="s">
        <v>184</v>
      </c>
      <c r="O19" s="48">
        <v>44844</v>
      </c>
      <c r="P19" s="9" t="s">
        <v>40</v>
      </c>
      <c r="Q19" s="50" t="s">
        <v>40</v>
      </c>
      <c r="R19" s="103" t="s">
        <v>40</v>
      </c>
      <c r="S19" s="9" t="s">
        <v>40</v>
      </c>
      <c r="T19" s="50" t="s">
        <v>40</v>
      </c>
      <c r="U19" s="8" t="s">
        <v>185</v>
      </c>
      <c r="V19" s="67">
        <v>44853</v>
      </c>
      <c r="W19" s="67">
        <v>44854</v>
      </c>
      <c r="X19" s="67" t="s">
        <v>42</v>
      </c>
      <c r="Y19" s="8" t="s">
        <v>40</v>
      </c>
      <c r="Z19" s="67">
        <v>44845</v>
      </c>
      <c r="AA19" s="50"/>
      <c r="AB19" s="17" t="s">
        <v>110</v>
      </c>
    </row>
    <row r="20" ht="85" customHeight="1" spans="1:27">
      <c r="A20" s="8">
        <v>1</v>
      </c>
      <c r="B20" s="58"/>
      <c r="C20" s="8"/>
      <c r="D20" s="5" t="s">
        <v>186</v>
      </c>
      <c r="E20" s="8" t="s">
        <v>73</v>
      </c>
      <c r="F20" s="8"/>
      <c r="G20" s="8" t="s">
        <v>187</v>
      </c>
      <c r="H20" s="8"/>
      <c r="I20" s="58"/>
      <c r="J20" s="10" t="s">
        <v>35</v>
      </c>
      <c r="K20" s="45"/>
      <c r="L20" s="97" t="s">
        <v>136</v>
      </c>
      <c r="M20" s="95"/>
      <c r="N20" s="10"/>
      <c r="O20" s="48"/>
      <c r="P20" s="9"/>
      <c r="Q20" s="50"/>
      <c r="R20" s="103"/>
      <c r="S20" s="9"/>
      <c r="T20" s="50"/>
      <c r="U20" s="8" t="s">
        <v>167</v>
      </c>
      <c r="V20" s="67"/>
      <c r="W20" s="67"/>
      <c r="X20" s="67" t="s">
        <v>42</v>
      </c>
      <c r="Y20" s="8" t="s">
        <v>40</v>
      </c>
      <c r="Z20" s="67"/>
      <c r="AA20" s="50"/>
    </row>
    <row r="21" ht="85" customHeight="1" spans="1:27">
      <c r="A21" s="8">
        <v>2</v>
      </c>
      <c r="B21" s="58"/>
      <c r="C21" s="8"/>
      <c r="D21" s="5" t="s">
        <v>188</v>
      </c>
      <c r="E21" s="8" t="s">
        <v>171</v>
      </c>
      <c r="F21" s="8"/>
      <c r="G21" s="8" t="s">
        <v>189</v>
      </c>
      <c r="H21" s="8"/>
      <c r="I21" s="58"/>
      <c r="J21" s="10" t="s">
        <v>35</v>
      </c>
      <c r="K21" s="45"/>
      <c r="L21" s="97" t="s">
        <v>136</v>
      </c>
      <c r="M21" s="95"/>
      <c r="N21" s="10"/>
      <c r="O21" s="48"/>
      <c r="P21" s="9"/>
      <c r="Q21" s="50"/>
      <c r="R21" s="103"/>
      <c r="S21" s="9"/>
      <c r="T21" s="50"/>
      <c r="U21" s="8" t="s">
        <v>190</v>
      </c>
      <c r="V21" s="67"/>
      <c r="W21" s="67"/>
      <c r="X21" s="67" t="s">
        <v>42</v>
      </c>
      <c r="Y21" s="8" t="s">
        <v>40</v>
      </c>
      <c r="Z21" s="67"/>
      <c r="AA21" s="50"/>
    </row>
    <row r="22" ht="85" customHeight="1" spans="1:27">
      <c r="A22" s="8">
        <v>3</v>
      </c>
      <c r="B22" s="58"/>
      <c r="C22" s="8"/>
      <c r="D22" s="5" t="s">
        <v>191</v>
      </c>
      <c r="E22" s="8" t="s">
        <v>192</v>
      </c>
      <c r="F22" s="8"/>
      <c r="G22" s="8" t="s">
        <v>193</v>
      </c>
      <c r="H22" s="8"/>
      <c r="I22" s="58"/>
      <c r="J22" s="10" t="s">
        <v>35</v>
      </c>
      <c r="K22" s="45"/>
      <c r="L22" s="97" t="s">
        <v>136</v>
      </c>
      <c r="M22" s="95"/>
      <c r="N22" s="10"/>
      <c r="O22" s="48"/>
      <c r="P22" s="9"/>
      <c r="Q22" s="50"/>
      <c r="R22" s="103"/>
      <c r="S22" s="9"/>
      <c r="T22" s="50"/>
      <c r="U22" s="8" t="s">
        <v>138</v>
      </c>
      <c r="V22" s="67"/>
      <c r="W22" s="67"/>
      <c r="X22" s="67" t="s">
        <v>42</v>
      </c>
      <c r="Y22" s="8" t="s">
        <v>40</v>
      </c>
      <c r="Z22" s="67"/>
      <c r="AA22" s="50"/>
    </row>
    <row r="23" ht="85" customHeight="1" spans="1:27">
      <c r="A23" s="8">
        <v>4</v>
      </c>
      <c r="B23" s="58"/>
      <c r="C23" s="8"/>
      <c r="D23" s="5" t="s">
        <v>194</v>
      </c>
      <c r="E23" s="8" t="s">
        <v>195</v>
      </c>
      <c r="F23" s="8"/>
      <c r="G23" s="8" t="s">
        <v>196</v>
      </c>
      <c r="H23" s="8"/>
      <c r="I23" s="58"/>
      <c r="J23" s="10" t="s">
        <v>35</v>
      </c>
      <c r="K23" s="45"/>
      <c r="L23" s="97" t="s">
        <v>136</v>
      </c>
      <c r="M23" s="95"/>
      <c r="N23" s="10"/>
      <c r="O23" s="48"/>
      <c r="P23" s="9"/>
      <c r="Q23" s="50"/>
      <c r="R23" s="103"/>
      <c r="S23" s="9"/>
      <c r="T23" s="50"/>
      <c r="U23" s="8" t="s">
        <v>167</v>
      </c>
      <c r="V23" s="67"/>
      <c r="W23" s="67"/>
      <c r="X23" s="67" t="s">
        <v>42</v>
      </c>
      <c r="Y23" s="8" t="s">
        <v>40</v>
      </c>
      <c r="Z23" s="67"/>
      <c r="AA23" s="50"/>
    </row>
    <row r="24" ht="85" customHeight="1" spans="1:27">
      <c r="A24" s="8">
        <v>5</v>
      </c>
      <c r="B24" s="58"/>
      <c r="C24" s="8"/>
      <c r="D24" s="5" t="s">
        <v>197</v>
      </c>
      <c r="E24" s="8" t="s">
        <v>198</v>
      </c>
      <c r="F24" s="8"/>
      <c r="G24" s="8" t="s">
        <v>199</v>
      </c>
      <c r="H24" s="8"/>
      <c r="I24" s="58"/>
      <c r="J24" s="10" t="s">
        <v>35</v>
      </c>
      <c r="K24" s="45"/>
      <c r="L24" s="97" t="s">
        <v>136</v>
      </c>
      <c r="M24" s="95"/>
      <c r="N24" s="10"/>
      <c r="O24" s="48"/>
      <c r="P24" s="9"/>
      <c r="Q24" s="50"/>
      <c r="R24" s="103"/>
      <c r="S24" s="9"/>
      <c r="T24" s="50"/>
      <c r="U24" s="8" t="s">
        <v>138</v>
      </c>
      <c r="V24" s="67"/>
      <c r="W24" s="67"/>
      <c r="X24" s="67" t="s">
        <v>42</v>
      </c>
      <c r="Y24" s="8" t="s">
        <v>40</v>
      </c>
      <c r="Z24" s="67"/>
      <c r="AA24" s="50"/>
    </row>
    <row r="25" ht="85" customHeight="1" spans="1:27">
      <c r="A25" s="8">
        <v>6</v>
      </c>
      <c r="B25" s="58"/>
      <c r="C25" s="8"/>
      <c r="D25" s="5" t="s">
        <v>200</v>
      </c>
      <c r="E25" s="8" t="s">
        <v>201</v>
      </c>
      <c r="F25" s="8"/>
      <c r="G25" s="8" t="s">
        <v>202</v>
      </c>
      <c r="H25" s="8"/>
      <c r="I25" s="58"/>
      <c r="J25" s="10" t="s">
        <v>35</v>
      </c>
      <c r="K25" s="45"/>
      <c r="L25" s="97" t="s">
        <v>136</v>
      </c>
      <c r="M25" s="95"/>
      <c r="N25" s="10"/>
      <c r="O25" s="48"/>
      <c r="P25" s="9"/>
      <c r="Q25" s="50"/>
      <c r="R25" s="103"/>
      <c r="S25" s="9"/>
      <c r="T25" s="50"/>
      <c r="U25" s="8" t="s">
        <v>190</v>
      </c>
      <c r="V25" s="67"/>
      <c r="W25" s="67"/>
      <c r="X25" s="67" t="s">
        <v>42</v>
      </c>
      <c r="Y25" s="8" t="s">
        <v>40</v>
      </c>
      <c r="Z25" s="67"/>
      <c r="AA25" s="50"/>
    </row>
    <row r="26" ht="85" customHeight="1" spans="1:27">
      <c r="A26" s="8">
        <v>7</v>
      </c>
      <c r="B26" s="58"/>
      <c r="C26" s="8"/>
      <c r="D26" s="5" t="s">
        <v>203</v>
      </c>
      <c r="E26" s="8" t="s">
        <v>204</v>
      </c>
      <c r="F26" s="8"/>
      <c r="G26" s="8" t="s">
        <v>205</v>
      </c>
      <c r="H26" s="8"/>
      <c r="I26" s="58"/>
      <c r="J26" s="10" t="s">
        <v>35</v>
      </c>
      <c r="K26" s="45"/>
      <c r="L26" s="97" t="s">
        <v>206</v>
      </c>
      <c r="M26" s="95"/>
      <c r="N26" s="10"/>
      <c r="O26" s="48"/>
      <c r="P26" s="9"/>
      <c r="Q26" s="50"/>
      <c r="R26" s="103"/>
      <c r="S26" s="9"/>
      <c r="T26" s="50"/>
      <c r="U26" s="8" t="s">
        <v>207</v>
      </c>
      <c r="V26" s="67"/>
      <c r="W26" s="67"/>
      <c r="X26" s="67" t="s">
        <v>42</v>
      </c>
      <c r="Y26" s="8" t="s">
        <v>40</v>
      </c>
      <c r="Z26" s="67"/>
      <c r="AA26" s="50"/>
    </row>
    <row r="27" ht="85" customHeight="1" spans="1:27">
      <c r="A27" s="8">
        <v>8</v>
      </c>
      <c r="B27" s="58"/>
      <c r="C27" s="8"/>
      <c r="D27" s="5" t="s">
        <v>208</v>
      </c>
      <c r="E27" s="8" t="s">
        <v>180</v>
      </c>
      <c r="F27" s="8"/>
      <c r="G27" s="8" t="s">
        <v>209</v>
      </c>
      <c r="H27" s="8"/>
      <c r="I27" s="58"/>
      <c r="J27" s="10" t="s">
        <v>35</v>
      </c>
      <c r="K27" s="45"/>
      <c r="L27" s="97" t="s">
        <v>206</v>
      </c>
      <c r="M27" s="95"/>
      <c r="N27" s="10"/>
      <c r="O27" s="48"/>
      <c r="P27" s="9"/>
      <c r="Q27" s="50"/>
      <c r="R27" s="103"/>
      <c r="S27" s="9"/>
      <c r="T27" s="50"/>
      <c r="U27" s="8" t="s">
        <v>210</v>
      </c>
      <c r="V27" s="67"/>
      <c r="W27" s="67"/>
      <c r="X27" s="67" t="s">
        <v>42</v>
      </c>
      <c r="Y27" s="8" t="s">
        <v>40</v>
      </c>
      <c r="Z27" s="67"/>
      <c r="AA27" s="50"/>
    </row>
    <row r="28" ht="85" customHeight="1" spans="1:27">
      <c r="A28" s="8">
        <v>9</v>
      </c>
      <c r="B28" s="58"/>
      <c r="C28" s="8"/>
      <c r="D28" s="5" t="s">
        <v>211</v>
      </c>
      <c r="E28" s="8" t="s">
        <v>212</v>
      </c>
      <c r="F28" s="8"/>
      <c r="G28" s="8" t="s">
        <v>213</v>
      </c>
      <c r="H28" s="8"/>
      <c r="I28" s="58"/>
      <c r="J28" s="10" t="s">
        <v>35</v>
      </c>
      <c r="K28" s="45"/>
      <c r="L28" s="97" t="s">
        <v>206</v>
      </c>
      <c r="M28" s="95"/>
      <c r="N28" s="10"/>
      <c r="O28" s="48"/>
      <c r="P28" s="9"/>
      <c r="Q28" s="50"/>
      <c r="R28" s="103"/>
      <c r="S28" s="9"/>
      <c r="T28" s="50"/>
      <c r="U28" s="8" t="s">
        <v>167</v>
      </c>
      <c r="V28" s="67"/>
      <c r="W28" s="67"/>
      <c r="X28" s="67" t="s">
        <v>42</v>
      </c>
      <c r="Y28" s="8" t="s">
        <v>40</v>
      </c>
      <c r="Z28" s="67"/>
      <c r="AA28" s="50"/>
    </row>
    <row r="29" ht="85" customHeight="1" spans="1:27">
      <c r="A29" s="8"/>
      <c r="B29" s="58"/>
      <c r="C29" s="8"/>
      <c r="D29" s="5"/>
      <c r="E29" s="8"/>
      <c r="F29" s="8"/>
      <c r="G29" s="8"/>
      <c r="H29" s="8"/>
      <c r="I29" s="58"/>
      <c r="J29" s="10" t="s">
        <v>35</v>
      </c>
      <c r="K29" s="45"/>
      <c r="L29" s="97"/>
      <c r="M29" s="95"/>
      <c r="N29" s="10"/>
      <c r="O29" s="48"/>
      <c r="P29" s="9"/>
      <c r="Q29" s="50"/>
      <c r="R29" s="103"/>
      <c r="S29" s="9"/>
      <c r="T29" s="50"/>
      <c r="U29" s="8"/>
      <c r="V29" s="67"/>
      <c r="W29" s="67"/>
      <c r="X29" s="67" t="s">
        <v>42</v>
      </c>
      <c r="Y29" s="8" t="s">
        <v>40</v>
      </c>
      <c r="Z29" s="67"/>
      <c r="AA29" s="50"/>
    </row>
    <row r="30" ht="85" customHeight="1" spans="1:27">
      <c r="A30" s="8"/>
      <c r="B30" s="58"/>
      <c r="C30" s="8"/>
      <c r="D30" s="5"/>
      <c r="E30" s="8"/>
      <c r="F30" s="8"/>
      <c r="G30" s="8"/>
      <c r="H30" s="8"/>
      <c r="I30" s="58"/>
      <c r="J30" s="10" t="s">
        <v>35</v>
      </c>
      <c r="K30" s="45"/>
      <c r="L30" s="97"/>
      <c r="M30" s="95"/>
      <c r="N30" s="10"/>
      <c r="O30" s="48"/>
      <c r="P30" s="9"/>
      <c r="Q30" s="50"/>
      <c r="R30" s="103"/>
      <c r="S30" s="9"/>
      <c r="T30" s="50"/>
      <c r="U30" s="8"/>
      <c r="V30" s="67"/>
      <c r="W30" s="67"/>
      <c r="X30" s="67" t="s">
        <v>42</v>
      </c>
      <c r="Y30" s="8" t="s">
        <v>40</v>
      </c>
      <c r="Z30" s="67"/>
      <c r="AA30" s="50"/>
    </row>
    <row r="31" ht="30" customHeight="1" spans="1:27">
      <c r="A31" s="18"/>
      <c r="B31" s="90"/>
      <c r="C31" s="71"/>
      <c r="D31" s="91"/>
      <c r="E31" s="18"/>
      <c r="F31" s="18"/>
      <c r="G31" s="18"/>
      <c r="H31" s="18"/>
      <c r="I31" s="70"/>
      <c r="J31" s="75"/>
      <c r="K31" s="75"/>
      <c r="L31" s="99"/>
      <c r="M31" s="99"/>
      <c r="N31" s="100"/>
      <c r="O31" s="73"/>
      <c r="P31" s="74"/>
      <c r="Q31" s="104"/>
      <c r="R31" s="76"/>
      <c r="S31" s="73"/>
      <c r="T31" s="73"/>
      <c r="U31" s="18"/>
      <c r="V31" s="81"/>
      <c r="W31" s="18"/>
      <c r="X31" s="18"/>
      <c r="Y31" s="18"/>
      <c r="Z31" s="18"/>
      <c r="AA31" s="73"/>
    </row>
    <row r="32" ht="30" customHeight="1" spans="1:27">
      <c r="A32" s="18"/>
      <c r="B32" s="90"/>
      <c r="C32" s="71"/>
      <c r="D32" s="91"/>
      <c r="E32" s="18"/>
      <c r="F32" s="18"/>
      <c r="G32" s="18"/>
      <c r="H32" s="18"/>
      <c r="I32" s="70"/>
      <c r="J32" s="75"/>
      <c r="K32" s="75"/>
      <c r="L32" s="99"/>
      <c r="M32" s="99"/>
      <c r="N32" s="101" t="s">
        <v>214</v>
      </c>
      <c r="O32" s="78">
        <f>COUNTA(O20:O30)</f>
        <v>0</v>
      </c>
      <c r="P32" s="102"/>
      <c r="Q32" s="105"/>
      <c r="R32" s="80"/>
      <c r="S32" s="73"/>
      <c r="T32" s="73"/>
      <c r="U32" s="18"/>
      <c r="V32" s="81"/>
      <c r="W32" s="18"/>
      <c r="X32" s="18"/>
      <c r="Y32" s="18"/>
      <c r="Z32" s="18"/>
      <c r="AA32" s="73"/>
    </row>
    <row r="33" ht="30" customHeight="1" spans="1:27">
      <c r="A33" s="18"/>
      <c r="B33" s="90"/>
      <c r="C33" s="71"/>
      <c r="D33" s="91"/>
      <c r="E33" s="18"/>
      <c r="F33" s="18"/>
      <c r="G33" s="18"/>
      <c r="H33" s="18"/>
      <c r="I33" s="70"/>
      <c r="J33" s="75"/>
      <c r="K33" s="75"/>
      <c r="L33" s="99"/>
      <c r="M33" s="99"/>
      <c r="N33" s="101" t="s">
        <v>215</v>
      </c>
      <c r="O33" s="78">
        <f>SUM(O32:O32)</f>
        <v>0</v>
      </c>
      <c r="P33" s="102"/>
      <c r="Q33" s="105"/>
      <c r="R33" s="80"/>
      <c r="S33" s="73"/>
      <c r="T33" s="73"/>
      <c r="U33" s="18"/>
      <c r="V33" s="81"/>
      <c r="W33" s="18"/>
      <c r="X33" s="18"/>
      <c r="Y33" s="18"/>
      <c r="Z33" s="18"/>
      <c r="AA33" s="73"/>
    </row>
  </sheetData>
  <autoFilter ref="A2:AA30">
    <extLst/>
  </autoFilter>
  <mergeCells count="1">
    <mergeCell ref="A1:S1"/>
  </mergeCells>
  <conditionalFormatting sqref="Z2">
    <cfRule type="timePeriod" dxfId="0" priority="6" timePeriod="tomorrow">
      <formula>FLOOR(Z2,1)=TODAY()+1</formula>
    </cfRule>
  </conditionalFormatting>
  <conditionalFormatting sqref="X3:X30">
    <cfRule type="timePeriod" dxfId="0" priority="1" timePeriod="tomorrow">
      <formula>FLOOR(X3,1)=TODAY()+1</formula>
    </cfRule>
    <cfRule type="timePeriod" dxfId="0" priority="2" timePeriod="tomorrow">
      <formula>FLOOR(X3,1)=TODAY()+1</formula>
    </cfRule>
  </conditionalFormatting>
  <conditionalFormatting sqref="Y11:Y13">
    <cfRule type="timePeriod" dxfId="0" priority="3" timePeriod="tomorrow">
      <formula>FLOOR(Y11,1)=TODAY()+1</formula>
    </cfRule>
  </conditionalFormatting>
  <conditionalFormatting sqref="Z3:Z10">
    <cfRule type="timePeriod" dxfId="0" priority="4" timePeriod="tomorrow">
      <formula>FLOOR(Z3,1)=TODAY()+1</formula>
    </cfRule>
  </conditionalFormatting>
  <conditionalFormatting sqref="Z11:Z30">
    <cfRule type="timePeriod" dxfId="0" priority="9" timePeriod="tomorrow">
      <formula>FLOOR(Z11,1)=TODAY()+1</formula>
    </cfRule>
  </conditionalFormatting>
  <conditionalFormatting sqref="V1:Y2 V11:W30 Y14:Y30 V31:Y1048576">
    <cfRule type="timePeriod" dxfId="0" priority="10" timePeriod="tomorrow">
      <formula>FLOOR(V1,1)=TODAY()+1</formula>
    </cfRule>
  </conditionalFormatting>
  <conditionalFormatting sqref="V3:W10 Y3:Y10">
    <cfRule type="timePeriod" dxfId="0" priority="5" timePeriod="tomorrow">
      <formula>FLOOR(V3,1)=TODAY()+1</formula>
    </cfRule>
  </conditionalFormatting>
  <printOptions horizontalCentered="1"/>
  <pageMargins left="0.751388888888889" right="0.751388888888889" top="0.802777777777778" bottom="0.802777777777778" header="0.511805555555556" footer="0.511805555555556"/>
  <pageSetup paperSize="9" scale="34" fitToHeight="0" orientation="landscape" horizontalDpi="600"/>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pageSetUpPr fitToPage="1"/>
  </sheetPr>
  <dimension ref="A1:AB151"/>
  <sheetViews>
    <sheetView tabSelected="1" zoomScale="85" zoomScaleNormal="85" workbookViewId="0">
      <pane xSplit="5" ySplit="2" topLeftCell="F142" activePane="bottomRight" state="frozen"/>
      <selection/>
      <selection pane="topRight"/>
      <selection pane="bottomLeft"/>
      <selection pane="bottomRight" activeCell="D128" sqref="D128"/>
    </sheetView>
  </sheetViews>
  <sheetFormatPr defaultColWidth="8.66666666666667" defaultRowHeight="14.25"/>
  <cols>
    <col min="1" max="1" width="6.91666666666667" style="20" customWidth="1"/>
    <col min="2" max="2" width="6.90833333333333" style="21" customWidth="1"/>
    <col min="3" max="3" width="15.2583333333333" style="22" customWidth="1"/>
    <col min="4" max="4" width="12.625" style="22" customWidth="1"/>
    <col min="5" max="7" width="9.99166666666667" style="20" customWidth="1"/>
    <col min="8" max="8" width="15.25" style="20" customWidth="1"/>
    <col min="9" max="9" width="69.25" style="23" customWidth="1"/>
    <col min="10" max="10" width="9.99166666666667" style="20" customWidth="1"/>
    <col min="11" max="11" width="9.99166666666667" style="19" customWidth="1"/>
    <col min="12" max="12" width="13.6666666666667" style="24" customWidth="1"/>
    <col min="13" max="13" width="13.6666666666667" style="25" customWidth="1"/>
    <col min="14" max="14" width="13.6666666666667" style="26" customWidth="1"/>
    <col min="15" max="15" width="13.6666666666667" style="27" customWidth="1"/>
    <col min="16" max="16" width="13.6666666666667" style="24" customWidth="1"/>
    <col min="17" max="17" width="9.99166666666667" style="24" hidden="1" customWidth="1"/>
    <col min="18" max="18" width="9" style="20" customWidth="1"/>
    <col min="19" max="19" width="13.6666666666667" style="28" customWidth="1"/>
    <col min="20" max="23" width="13.6666666666667" style="20" customWidth="1"/>
    <col min="24" max="24" width="13.6666666666667" style="24" customWidth="1"/>
    <col min="25" max="25" width="9" style="20" customWidth="1"/>
    <col min="26" max="16384" width="8.66666666666667" style="20"/>
  </cols>
  <sheetData>
    <row r="1" s="14" customFormat="1" ht="40" customHeight="1" spans="1:19">
      <c r="A1" s="29" t="s">
        <v>216</v>
      </c>
      <c r="B1" s="30"/>
      <c r="C1" s="29"/>
      <c r="D1" s="29"/>
      <c r="E1" s="29"/>
      <c r="F1" s="29"/>
      <c r="G1" s="29"/>
      <c r="H1" s="29"/>
      <c r="I1" s="39"/>
      <c r="J1" s="29"/>
      <c r="K1" s="40"/>
      <c r="L1" s="29"/>
      <c r="M1" s="29"/>
      <c r="N1" s="41"/>
      <c r="O1" s="29"/>
      <c r="P1" s="29"/>
      <c r="Q1" s="29"/>
      <c r="S1" s="51"/>
    </row>
    <row r="2" s="15" customFormat="1" ht="39.65" customHeight="1" spans="1:24">
      <c r="A2" s="1" t="s">
        <v>1</v>
      </c>
      <c r="B2" s="31" t="s">
        <v>217</v>
      </c>
      <c r="C2" s="1" t="s">
        <v>218</v>
      </c>
      <c r="D2" s="1" t="s">
        <v>4</v>
      </c>
      <c r="E2" s="1" t="s">
        <v>219</v>
      </c>
      <c r="F2" s="1" t="s">
        <v>220</v>
      </c>
      <c r="G2" s="1" t="s">
        <v>221</v>
      </c>
      <c r="H2" s="1" t="s">
        <v>222</v>
      </c>
      <c r="I2" s="1" t="s">
        <v>223</v>
      </c>
      <c r="J2" s="2" t="s">
        <v>224</v>
      </c>
      <c r="K2" s="2" t="s">
        <v>225</v>
      </c>
      <c r="L2" s="3" t="s">
        <v>226</v>
      </c>
      <c r="M2" s="3" t="s">
        <v>227</v>
      </c>
      <c r="N2" s="4" t="s">
        <v>17</v>
      </c>
      <c r="O2" s="12" t="s">
        <v>228</v>
      </c>
      <c r="P2" s="3" t="s">
        <v>229</v>
      </c>
      <c r="Q2" s="3" t="s">
        <v>230</v>
      </c>
      <c r="R2" s="1" t="s">
        <v>231</v>
      </c>
      <c r="S2" s="52" t="s">
        <v>232</v>
      </c>
      <c r="T2" s="1" t="s">
        <v>233</v>
      </c>
      <c r="U2" s="1" t="s">
        <v>234</v>
      </c>
      <c r="V2" s="52" t="s">
        <v>235</v>
      </c>
      <c r="W2" s="52" t="s">
        <v>236</v>
      </c>
      <c r="X2" s="3" t="s">
        <v>27</v>
      </c>
    </row>
    <row r="3" s="16" customFormat="1" ht="57" spans="1:24">
      <c r="A3" s="5">
        <v>1</v>
      </c>
      <c r="B3" s="5" t="s">
        <v>40</v>
      </c>
      <c r="C3" s="32"/>
      <c r="D3" s="33" t="s">
        <v>237</v>
      </c>
      <c r="E3" s="5" t="s">
        <v>238</v>
      </c>
      <c r="F3" s="32"/>
      <c r="G3" s="32"/>
      <c r="H3" s="32"/>
      <c r="I3" s="42" t="s">
        <v>239</v>
      </c>
      <c r="J3" s="43"/>
      <c r="K3" s="5" t="s">
        <v>240</v>
      </c>
      <c r="L3" s="44">
        <v>42712</v>
      </c>
      <c r="M3" s="44">
        <v>42744</v>
      </c>
      <c r="N3" s="45" t="s">
        <v>241</v>
      </c>
      <c r="O3" s="13">
        <v>0.3</v>
      </c>
      <c r="P3" s="32"/>
      <c r="Q3" s="32"/>
      <c r="R3" s="32"/>
      <c r="S3" s="5" t="s">
        <v>40</v>
      </c>
      <c r="T3" s="5" t="s">
        <v>40</v>
      </c>
      <c r="U3" s="5" t="s">
        <v>40</v>
      </c>
      <c r="V3" s="5" t="s">
        <v>40</v>
      </c>
      <c r="W3" s="5" t="s">
        <v>40</v>
      </c>
      <c r="X3" s="5"/>
    </row>
    <row r="4" s="16" customFormat="1" ht="135.75" customHeight="1" spans="1:24">
      <c r="A4" s="5">
        <v>2</v>
      </c>
      <c r="B4" s="5" t="s">
        <v>40</v>
      </c>
      <c r="C4" s="32"/>
      <c r="D4" s="33" t="s">
        <v>242</v>
      </c>
      <c r="E4" s="5" t="s">
        <v>243</v>
      </c>
      <c r="F4" s="32"/>
      <c r="G4" s="32"/>
      <c r="H4" s="32"/>
      <c r="I4" s="42" t="s">
        <v>244</v>
      </c>
      <c r="J4" s="43"/>
      <c r="K4" s="5" t="s">
        <v>245</v>
      </c>
      <c r="L4" s="44">
        <v>42740</v>
      </c>
      <c r="M4" s="44">
        <v>42753</v>
      </c>
      <c r="N4" s="45" t="s">
        <v>241</v>
      </c>
      <c r="O4" s="13">
        <v>0.3</v>
      </c>
      <c r="P4" s="32"/>
      <c r="Q4" s="32"/>
      <c r="R4" s="32"/>
      <c r="S4" s="5" t="s">
        <v>40</v>
      </c>
      <c r="T4" s="5" t="s">
        <v>40</v>
      </c>
      <c r="U4" s="5" t="s">
        <v>40</v>
      </c>
      <c r="V4" s="5" t="s">
        <v>40</v>
      </c>
      <c r="W4" s="5" t="s">
        <v>40</v>
      </c>
      <c r="X4" s="5"/>
    </row>
    <row r="5" s="16" customFormat="1" ht="57" spans="1:24">
      <c r="A5" s="5">
        <v>3</v>
      </c>
      <c r="B5" s="5" t="s">
        <v>40</v>
      </c>
      <c r="C5" s="32"/>
      <c r="D5" s="34" t="s">
        <v>246</v>
      </c>
      <c r="E5" s="5" t="s">
        <v>247</v>
      </c>
      <c r="F5" s="5" t="s">
        <v>248</v>
      </c>
      <c r="G5" s="32"/>
      <c r="H5" s="32"/>
      <c r="I5" s="42" t="s">
        <v>249</v>
      </c>
      <c r="J5" s="43"/>
      <c r="K5" s="5" t="s">
        <v>250</v>
      </c>
      <c r="L5" s="44">
        <v>42740</v>
      </c>
      <c r="M5" s="44">
        <v>42789</v>
      </c>
      <c r="N5" s="45" t="s">
        <v>241</v>
      </c>
      <c r="O5" s="13">
        <v>2</v>
      </c>
      <c r="P5" s="32"/>
      <c r="Q5" s="32"/>
      <c r="R5" s="32"/>
      <c r="S5" s="5" t="s">
        <v>40</v>
      </c>
      <c r="T5" s="5" t="s">
        <v>40</v>
      </c>
      <c r="U5" s="5" t="s">
        <v>40</v>
      </c>
      <c r="V5" s="5" t="s">
        <v>40</v>
      </c>
      <c r="W5" s="5" t="s">
        <v>40</v>
      </c>
      <c r="X5" s="5"/>
    </row>
    <row r="6" s="16" customFormat="1" ht="57" spans="1:24">
      <c r="A6" s="5">
        <v>4</v>
      </c>
      <c r="B6" s="5" t="s">
        <v>40</v>
      </c>
      <c r="C6" s="32"/>
      <c r="D6" s="35"/>
      <c r="E6" s="5" t="s">
        <v>251</v>
      </c>
      <c r="F6" s="5" t="s">
        <v>252</v>
      </c>
      <c r="G6" s="32"/>
      <c r="H6" s="32"/>
      <c r="I6" s="42" t="s">
        <v>253</v>
      </c>
      <c r="J6" s="43"/>
      <c r="K6" s="5" t="s">
        <v>254</v>
      </c>
      <c r="L6" s="44">
        <v>42740</v>
      </c>
      <c r="M6" s="44">
        <v>42789</v>
      </c>
      <c r="N6" s="45" t="s">
        <v>241</v>
      </c>
      <c r="O6" s="13">
        <v>1</v>
      </c>
      <c r="P6" s="32"/>
      <c r="Q6" s="32"/>
      <c r="R6" s="32"/>
      <c r="S6" s="5" t="s">
        <v>40</v>
      </c>
      <c r="T6" s="5" t="s">
        <v>40</v>
      </c>
      <c r="U6" s="5" t="s">
        <v>40</v>
      </c>
      <c r="V6" s="5" t="s">
        <v>40</v>
      </c>
      <c r="W6" s="5" t="s">
        <v>40</v>
      </c>
      <c r="X6" s="5"/>
    </row>
    <row r="7" s="16" customFormat="1" ht="57" spans="1:24">
      <c r="A7" s="5">
        <v>5</v>
      </c>
      <c r="B7" s="5" t="s">
        <v>40</v>
      </c>
      <c r="C7" s="32"/>
      <c r="D7" s="36"/>
      <c r="E7" s="5" t="s">
        <v>255</v>
      </c>
      <c r="F7" s="5" t="s">
        <v>256</v>
      </c>
      <c r="G7" s="32"/>
      <c r="H7" s="32"/>
      <c r="I7" s="42" t="s">
        <v>257</v>
      </c>
      <c r="J7" s="43"/>
      <c r="K7" s="5" t="s">
        <v>258</v>
      </c>
      <c r="L7" s="44">
        <v>42740</v>
      </c>
      <c r="M7" s="44">
        <v>42789</v>
      </c>
      <c r="N7" s="45" t="s">
        <v>241</v>
      </c>
      <c r="O7" s="13">
        <v>1</v>
      </c>
      <c r="P7" s="32"/>
      <c r="Q7" s="32"/>
      <c r="R7" s="32"/>
      <c r="S7" s="5" t="s">
        <v>40</v>
      </c>
      <c r="T7" s="5" t="s">
        <v>40</v>
      </c>
      <c r="U7" s="5" t="s">
        <v>40</v>
      </c>
      <c r="V7" s="5" t="s">
        <v>40</v>
      </c>
      <c r="W7" s="5" t="s">
        <v>40</v>
      </c>
      <c r="X7" s="5"/>
    </row>
    <row r="8" s="16" customFormat="1" ht="57" spans="1:24">
      <c r="A8" s="5">
        <v>6</v>
      </c>
      <c r="B8" s="5" t="s">
        <v>40</v>
      </c>
      <c r="C8" s="32"/>
      <c r="D8" s="34" t="s">
        <v>259</v>
      </c>
      <c r="E8" s="5" t="s">
        <v>251</v>
      </c>
      <c r="F8" s="5" t="s">
        <v>252</v>
      </c>
      <c r="G8" s="32"/>
      <c r="H8" s="32"/>
      <c r="I8" s="42" t="s">
        <v>260</v>
      </c>
      <c r="J8" s="43"/>
      <c r="K8" s="5" t="s">
        <v>261</v>
      </c>
      <c r="L8" s="44">
        <v>42831</v>
      </c>
      <c r="M8" s="44">
        <v>42860</v>
      </c>
      <c r="N8" s="45" t="s">
        <v>241</v>
      </c>
      <c r="O8" s="13">
        <v>2</v>
      </c>
      <c r="P8" s="32"/>
      <c r="Q8" s="32"/>
      <c r="R8" s="32"/>
      <c r="S8" s="5" t="s">
        <v>40</v>
      </c>
      <c r="T8" s="5" t="s">
        <v>40</v>
      </c>
      <c r="U8" s="5" t="s">
        <v>40</v>
      </c>
      <c r="V8" s="5" t="s">
        <v>40</v>
      </c>
      <c r="W8" s="5" t="s">
        <v>40</v>
      </c>
      <c r="X8" s="5"/>
    </row>
    <row r="9" s="16" customFormat="1" ht="57" spans="1:24">
      <c r="A9" s="5">
        <v>7</v>
      </c>
      <c r="B9" s="5" t="s">
        <v>40</v>
      </c>
      <c r="C9" s="32"/>
      <c r="D9" s="35"/>
      <c r="E9" s="5" t="s">
        <v>255</v>
      </c>
      <c r="F9" s="5" t="s">
        <v>256</v>
      </c>
      <c r="G9" s="32"/>
      <c r="H9" s="32"/>
      <c r="I9" s="42" t="s">
        <v>262</v>
      </c>
      <c r="J9" s="43"/>
      <c r="K9" s="5" t="s">
        <v>263</v>
      </c>
      <c r="L9" s="44">
        <v>42831</v>
      </c>
      <c r="M9" s="44">
        <v>42860</v>
      </c>
      <c r="N9" s="45" t="s">
        <v>241</v>
      </c>
      <c r="O9" s="13">
        <v>3</v>
      </c>
      <c r="P9" s="32"/>
      <c r="Q9" s="32"/>
      <c r="R9" s="32"/>
      <c r="S9" s="5" t="s">
        <v>40</v>
      </c>
      <c r="T9" s="5" t="s">
        <v>40</v>
      </c>
      <c r="U9" s="5" t="s">
        <v>40</v>
      </c>
      <c r="V9" s="5" t="s">
        <v>40</v>
      </c>
      <c r="W9" s="5" t="s">
        <v>40</v>
      </c>
      <c r="X9" s="5"/>
    </row>
    <row r="10" s="16" customFormat="1" ht="57" spans="1:24">
      <c r="A10" s="5">
        <v>8</v>
      </c>
      <c r="B10" s="5" t="s">
        <v>40</v>
      </c>
      <c r="C10" s="32"/>
      <c r="D10" s="35"/>
      <c r="E10" s="5" t="s">
        <v>264</v>
      </c>
      <c r="F10" s="5" t="s">
        <v>265</v>
      </c>
      <c r="G10" s="32"/>
      <c r="H10" s="32"/>
      <c r="I10" s="42" t="s">
        <v>266</v>
      </c>
      <c r="J10" s="43"/>
      <c r="K10" s="5" t="s">
        <v>267</v>
      </c>
      <c r="L10" s="44">
        <v>42831</v>
      </c>
      <c r="M10" s="44">
        <v>42860</v>
      </c>
      <c r="N10" s="45" t="s">
        <v>241</v>
      </c>
      <c r="O10" s="13">
        <v>1</v>
      </c>
      <c r="P10" s="32"/>
      <c r="Q10" s="32"/>
      <c r="R10" s="32"/>
      <c r="S10" s="5" t="s">
        <v>40</v>
      </c>
      <c r="T10" s="5" t="s">
        <v>40</v>
      </c>
      <c r="U10" s="5" t="s">
        <v>40</v>
      </c>
      <c r="V10" s="5" t="s">
        <v>40</v>
      </c>
      <c r="W10" s="5" t="s">
        <v>40</v>
      </c>
      <c r="X10" s="5"/>
    </row>
    <row r="11" s="16" customFormat="1" ht="57" spans="1:24">
      <c r="A11" s="5">
        <v>9</v>
      </c>
      <c r="B11" s="5" t="s">
        <v>40</v>
      </c>
      <c r="C11" s="32"/>
      <c r="D11" s="36"/>
      <c r="E11" s="5" t="s">
        <v>268</v>
      </c>
      <c r="F11" s="5" t="s">
        <v>248</v>
      </c>
      <c r="G11" s="32"/>
      <c r="H11" s="32"/>
      <c r="I11" s="42" t="s">
        <v>269</v>
      </c>
      <c r="J11" s="43"/>
      <c r="K11" s="5" t="s">
        <v>270</v>
      </c>
      <c r="L11" s="44">
        <v>42831</v>
      </c>
      <c r="M11" s="44">
        <v>42860</v>
      </c>
      <c r="N11" s="45" t="s">
        <v>241</v>
      </c>
      <c r="O11" s="13">
        <v>3</v>
      </c>
      <c r="P11" s="32"/>
      <c r="Q11" s="32"/>
      <c r="R11" s="32"/>
      <c r="S11" s="5" t="s">
        <v>40</v>
      </c>
      <c r="T11" s="5" t="s">
        <v>40</v>
      </c>
      <c r="U11" s="5" t="s">
        <v>40</v>
      </c>
      <c r="V11" s="5" t="s">
        <v>40</v>
      </c>
      <c r="W11" s="5" t="s">
        <v>40</v>
      </c>
      <c r="X11" s="5"/>
    </row>
    <row r="12" s="16" customFormat="1" ht="57" spans="1:24">
      <c r="A12" s="5">
        <v>10</v>
      </c>
      <c r="B12" s="5" t="s">
        <v>40</v>
      </c>
      <c r="C12" s="32"/>
      <c r="D12" s="33" t="s">
        <v>271</v>
      </c>
      <c r="E12" s="5" t="s">
        <v>272</v>
      </c>
      <c r="F12" s="5" t="s">
        <v>256</v>
      </c>
      <c r="G12" s="32"/>
      <c r="H12" s="32"/>
      <c r="I12" s="46" t="s">
        <v>273</v>
      </c>
      <c r="J12" s="43"/>
      <c r="K12" s="5" t="s">
        <v>274</v>
      </c>
      <c r="L12" s="44">
        <v>42989</v>
      </c>
      <c r="M12" s="44">
        <v>43020</v>
      </c>
      <c r="N12" s="45" t="s">
        <v>241</v>
      </c>
      <c r="O12" s="13">
        <v>1</v>
      </c>
      <c r="P12" s="32"/>
      <c r="Q12" s="32"/>
      <c r="R12" s="32"/>
      <c r="S12" s="5" t="s">
        <v>40</v>
      </c>
      <c r="T12" s="5" t="s">
        <v>40</v>
      </c>
      <c r="U12" s="5" t="s">
        <v>40</v>
      </c>
      <c r="V12" s="5" t="s">
        <v>40</v>
      </c>
      <c r="W12" s="5" t="s">
        <v>40</v>
      </c>
      <c r="X12" s="5"/>
    </row>
    <row r="13" s="16" customFormat="1" ht="57" spans="1:24">
      <c r="A13" s="5">
        <v>11</v>
      </c>
      <c r="B13" s="5" t="s">
        <v>40</v>
      </c>
      <c r="C13" s="32"/>
      <c r="D13" s="33" t="s">
        <v>275</v>
      </c>
      <c r="E13" s="5" t="s">
        <v>276</v>
      </c>
      <c r="F13" s="5" t="s">
        <v>256</v>
      </c>
      <c r="G13" s="32"/>
      <c r="H13" s="32"/>
      <c r="I13" s="42" t="s">
        <v>277</v>
      </c>
      <c r="J13" s="43"/>
      <c r="K13" s="5" t="s">
        <v>278</v>
      </c>
      <c r="L13" s="44">
        <v>43033</v>
      </c>
      <c r="M13" s="44">
        <v>43056</v>
      </c>
      <c r="N13" s="45" t="s">
        <v>241</v>
      </c>
      <c r="O13" s="13">
        <v>5</v>
      </c>
      <c r="P13" s="32"/>
      <c r="Q13" s="32"/>
      <c r="R13" s="32"/>
      <c r="S13" s="5" t="s">
        <v>40</v>
      </c>
      <c r="T13" s="5" t="s">
        <v>40</v>
      </c>
      <c r="U13" s="5" t="s">
        <v>40</v>
      </c>
      <c r="V13" s="5" t="s">
        <v>40</v>
      </c>
      <c r="W13" s="5" t="s">
        <v>40</v>
      </c>
      <c r="X13" s="5"/>
    </row>
    <row r="14" s="16" customFormat="1" ht="71.25" spans="1:24">
      <c r="A14" s="5">
        <v>12</v>
      </c>
      <c r="B14" s="5" t="s">
        <v>40</v>
      </c>
      <c r="C14" s="32"/>
      <c r="D14" s="33" t="s">
        <v>279</v>
      </c>
      <c r="E14" s="5" t="s">
        <v>272</v>
      </c>
      <c r="F14" s="5" t="s">
        <v>256</v>
      </c>
      <c r="G14" s="32"/>
      <c r="H14" s="32"/>
      <c r="I14" s="42" t="s">
        <v>280</v>
      </c>
      <c r="J14" s="43"/>
      <c r="K14" s="5" t="s">
        <v>281</v>
      </c>
      <c r="L14" s="44">
        <v>43018</v>
      </c>
      <c r="M14" s="44">
        <v>43056</v>
      </c>
      <c r="N14" s="45" t="s">
        <v>241</v>
      </c>
      <c r="O14" s="13">
        <v>6.5</v>
      </c>
      <c r="P14" s="32"/>
      <c r="Q14" s="32"/>
      <c r="R14" s="32"/>
      <c r="S14" s="5" t="s">
        <v>40</v>
      </c>
      <c r="T14" s="5" t="s">
        <v>40</v>
      </c>
      <c r="U14" s="5" t="s">
        <v>40</v>
      </c>
      <c r="V14" s="5" t="s">
        <v>40</v>
      </c>
      <c r="W14" s="5" t="s">
        <v>40</v>
      </c>
      <c r="X14" s="5"/>
    </row>
    <row r="15" s="16" customFormat="1" ht="57" spans="1:24">
      <c r="A15" s="5">
        <v>13</v>
      </c>
      <c r="B15" s="5" t="s">
        <v>40</v>
      </c>
      <c r="C15" s="32"/>
      <c r="D15" s="33" t="s">
        <v>282</v>
      </c>
      <c r="E15" s="5" t="s">
        <v>283</v>
      </c>
      <c r="F15" s="5" t="s">
        <v>256</v>
      </c>
      <c r="G15" s="32"/>
      <c r="H15" s="32"/>
      <c r="I15" s="42" t="s">
        <v>284</v>
      </c>
      <c r="J15" s="43"/>
      <c r="K15" s="5" t="s">
        <v>285</v>
      </c>
      <c r="L15" s="44">
        <v>43034</v>
      </c>
      <c r="M15" s="44">
        <v>43084</v>
      </c>
      <c r="N15" s="45" t="s">
        <v>241</v>
      </c>
      <c r="O15" s="13">
        <v>5</v>
      </c>
      <c r="P15" s="32"/>
      <c r="Q15" s="32"/>
      <c r="R15" s="32"/>
      <c r="S15" s="5" t="s">
        <v>40</v>
      </c>
      <c r="T15" s="5" t="s">
        <v>40</v>
      </c>
      <c r="U15" s="5" t="s">
        <v>40</v>
      </c>
      <c r="V15" s="5" t="s">
        <v>40</v>
      </c>
      <c r="W15" s="5" t="s">
        <v>40</v>
      </c>
      <c r="X15" s="5"/>
    </row>
    <row r="16" s="16" customFormat="1" ht="114" spans="1:25">
      <c r="A16" s="5">
        <v>1</v>
      </c>
      <c r="B16" s="5" t="s">
        <v>40</v>
      </c>
      <c r="C16" s="32"/>
      <c r="D16" s="33" t="s">
        <v>286</v>
      </c>
      <c r="E16" s="5" t="s">
        <v>287</v>
      </c>
      <c r="F16" s="5" t="s">
        <v>248</v>
      </c>
      <c r="G16" s="32"/>
      <c r="H16" s="32"/>
      <c r="I16" s="42" t="s">
        <v>288</v>
      </c>
      <c r="J16" s="43"/>
      <c r="K16" s="5" t="s">
        <v>289</v>
      </c>
      <c r="L16" s="44">
        <v>43088</v>
      </c>
      <c r="M16" s="44">
        <v>43124</v>
      </c>
      <c r="N16" s="45" t="s">
        <v>241</v>
      </c>
      <c r="O16" s="13">
        <v>3</v>
      </c>
      <c r="P16" s="9">
        <v>43131</v>
      </c>
      <c r="Q16" s="53"/>
      <c r="R16" s="5" t="s">
        <v>290</v>
      </c>
      <c r="S16" s="5" t="s">
        <v>40</v>
      </c>
      <c r="T16" s="5" t="s">
        <v>40</v>
      </c>
      <c r="U16" s="5" t="s">
        <v>40</v>
      </c>
      <c r="V16" s="5" t="s">
        <v>40</v>
      </c>
      <c r="W16" s="5" t="s">
        <v>40</v>
      </c>
      <c r="X16" s="9"/>
      <c r="Y16" s="54"/>
    </row>
    <row r="17" s="16" customFormat="1" ht="99.75" spans="1:25">
      <c r="A17" s="5">
        <v>2</v>
      </c>
      <c r="B17" s="5" t="s">
        <v>40</v>
      </c>
      <c r="C17" s="32"/>
      <c r="D17" s="33"/>
      <c r="E17" s="5" t="s">
        <v>291</v>
      </c>
      <c r="F17" s="5" t="s">
        <v>256</v>
      </c>
      <c r="G17" s="32"/>
      <c r="H17" s="32"/>
      <c r="I17" s="42" t="s">
        <v>292</v>
      </c>
      <c r="J17" s="43"/>
      <c r="K17" s="5" t="s">
        <v>293</v>
      </c>
      <c r="L17" s="44">
        <v>43088</v>
      </c>
      <c r="M17" s="44">
        <v>43124</v>
      </c>
      <c r="N17" s="45" t="s">
        <v>241</v>
      </c>
      <c r="O17" s="13">
        <v>3</v>
      </c>
      <c r="P17" s="9">
        <v>43131</v>
      </c>
      <c r="Q17" s="53"/>
      <c r="R17" s="5" t="s">
        <v>290</v>
      </c>
      <c r="S17" s="5" t="s">
        <v>40</v>
      </c>
      <c r="T17" s="5" t="s">
        <v>40</v>
      </c>
      <c r="U17" s="5" t="s">
        <v>40</v>
      </c>
      <c r="V17" s="5" t="s">
        <v>40</v>
      </c>
      <c r="W17" s="5" t="s">
        <v>40</v>
      </c>
      <c r="X17" s="9"/>
      <c r="Y17" s="54"/>
    </row>
    <row r="18" s="16" customFormat="1" ht="142.5" spans="1:25">
      <c r="A18" s="5">
        <v>3</v>
      </c>
      <c r="B18" s="5" t="s">
        <v>40</v>
      </c>
      <c r="C18" s="32"/>
      <c r="D18" s="33"/>
      <c r="E18" s="5" t="s">
        <v>294</v>
      </c>
      <c r="F18" s="5" t="s">
        <v>265</v>
      </c>
      <c r="G18" s="32"/>
      <c r="H18" s="32"/>
      <c r="I18" s="42" t="s">
        <v>295</v>
      </c>
      <c r="J18" s="43"/>
      <c r="K18" s="5" t="s">
        <v>296</v>
      </c>
      <c r="L18" s="44">
        <v>43088</v>
      </c>
      <c r="M18" s="44">
        <v>43124</v>
      </c>
      <c r="N18" s="45" t="s">
        <v>241</v>
      </c>
      <c r="O18" s="13">
        <v>1</v>
      </c>
      <c r="P18" s="9">
        <v>43131</v>
      </c>
      <c r="Q18" s="53"/>
      <c r="R18" s="5" t="s">
        <v>290</v>
      </c>
      <c r="S18" s="5" t="s">
        <v>40</v>
      </c>
      <c r="T18" s="5" t="s">
        <v>40</v>
      </c>
      <c r="U18" s="5" t="s">
        <v>40</v>
      </c>
      <c r="V18" s="5" t="s">
        <v>40</v>
      </c>
      <c r="W18" s="5" t="s">
        <v>40</v>
      </c>
      <c r="X18" s="9" t="s">
        <v>297</v>
      </c>
      <c r="Y18" s="54"/>
    </row>
    <row r="19" s="16" customFormat="1" ht="114" spans="1:25">
      <c r="A19" s="5">
        <v>4</v>
      </c>
      <c r="B19" s="5" t="s">
        <v>40</v>
      </c>
      <c r="C19" s="32"/>
      <c r="D19" s="37" t="s">
        <v>298</v>
      </c>
      <c r="E19" s="5" t="s">
        <v>299</v>
      </c>
      <c r="F19" s="5" t="s">
        <v>248</v>
      </c>
      <c r="G19" s="32"/>
      <c r="H19" s="32"/>
      <c r="I19" s="42" t="s">
        <v>300</v>
      </c>
      <c r="J19" s="43"/>
      <c r="K19" s="5" t="s">
        <v>301</v>
      </c>
      <c r="L19" s="44">
        <v>43095</v>
      </c>
      <c r="M19" s="44">
        <v>43118</v>
      </c>
      <c r="N19" s="45" t="s">
        <v>241</v>
      </c>
      <c r="O19" s="13">
        <v>3</v>
      </c>
      <c r="P19" s="9">
        <v>43129</v>
      </c>
      <c r="Q19" s="53"/>
      <c r="R19" s="5" t="s">
        <v>290</v>
      </c>
      <c r="S19" s="5" t="s">
        <v>40</v>
      </c>
      <c r="T19" s="5" t="s">
        <v>40</v>
      </c>
      <c r="U19" s="5" t="s">
        <v>40</v>
      </c>
      <c r="V19" s="5" t="s">
        <v>40</v>
      </c>
      <c r="W19" s="5" t="s">
        <v>40</v>
      </c>
      <c r="X19" s="9"/>
      <c r="Y19" s="54"/>
    </row>
    <row r="20" s="16" customFormat="1" ht="71.25" spans="1:25">
      <c r="A20" s="5">
        <v>5</v>
      </c>
      <c r="B20" s="5" t="s">
        <v>40</v>
      </c>
      <c r="C20" s="32"/>
      <c r="D20" s="37"/>
      <c r="E20" s="5" t="s">
        <v>302</v>
      </c>
      <c r="F20" s="5" t="s">
        <v>265</v>
      </c>
      <c r="G20" s="32"/>
      <c r="H20" s="32"/>
      <c r="I20" s="42" t="s">
        <v>303</v>
      </c>
      <c r="J20" s="43"/>
      <c r="K20" s="5" t="s">
        <v>304</v>
      </c>
      <c r="L20" s="44">
        <v>43095</v>
      </c>
      <c r="M20" s="44">
        <v>43118</v>
      </c>
      <c r="N20" s="45" t="s">
        <v>241</v>
      </c>
      <c r="O20" s="13">
        <v>1</v>
      </c>
      <c r="P20" s="9">
        <v>43129</v>
      </c>
      <c r="Q20" s="53"/>
      <c r="R20" s="5" t="s">
        <v>290</v>
      </c>
      <c r="S20" s="5" t="s">
        <v>40</v>
      </c>
      <c r="T20" s="5" t="s">
        <v>40</v>
      </c>
      <c r="U20" s="5" t="s">
        <v>40</v>
      </c>
      <c r="V20" s="5" t="s">
        <v>40</v>
      </c>
      <c r="W20" s="5" t="s">
        <v>40</v>
      </c>
      <c r="X20" s="9"/>
      <c r="Y20" s="54"/>
    </row>
    <row r="21" s="16" customFormat="1" ht="99.75" spans="1:25">
      <c r="A21" s="5">
        <v>6</v>
      </c>
      <c r="B21" s="5" t="s">
        <v>40</v>
      </c>
      <c r="C21" s="32"/>
      <c r="D21" s="37"/>
      <c r="E21" s="5" t="s">
        <v>305</v>
      </c>
      <c r="F21" s="5" t="s">
        <v>252</v>
      </c>
      <c r="G21" s="32"/>
      <c r="H21" s="32"/>
      <c r="I21" s="42" t="s">
        <v>306</v>
      </c>
      <c r="J21" s="43"/>
      <c r="K21" s="5" t="s">
        <v>307</v>
      </c>
      <c r="L21" s="44">
        <v>43095</v>
      </c>
      <c r="M21" s="44">
        <v>43118</v>
      </c>
      <c r="N21" s="45" t="s">
        <v>241</v>
      </c>
      <c r="O21" s="13">
        <v>3</v>
      </c>
      <c r="P21" s="9">
        <v>43129</v>
      </c>
      <c r="Q21" s="53"/>
      <c r="R21" s="5" t="s">
        <v>290</v>
      </c>
      <c r="S21" s="5" t="s">
        <v>40</v>
      </c>
      <c r="T21" s="5" t="s">
        <v>40</v>
      </c>
      <c r="U21" s="5" t="s">
        <v>40</v>
      </c>
      <c r="V21" s="5" t="s">
        <v>40</v>
      </c>
      <c r="W21" s="5" t="s">
        <v>40</v>
      </c>
      <c r="X21" s="9"/>
      <c r="Y21" s="54"/>
    </row>
    <row r="22" s="16" customFormat="1" ht="85.5" spans="1:25">
      <c r="A22" s="5">
        <v>7</v>
      </c>
      <c r="B22" s="5" t="s">
        <v>40</v>
      </c>
      <c r="C22" s="5" t="s">
        <v>308</v>
      </c>
      <c r="D22" s="37" t="s">
        <v>309</v>
      </c>
      <c r="E22" s="5" t="s">
        <v>310</v>
      </c>
      <c r="F22" s="5" t="s">
        <v>248</v>
      </c>
      <c r="G22" s="106" t="s">
        <v>311</v>
      </c>
      <c r="H22" s="5" t="s">
        <v>312</v>
      </c>
      <c r="I22" s="42" t="s">
        <v>313</v>
      </c>
      <c r="J22" s="42" t="s">
        <v>314</v>
      </c>
      <c r="K22" s="5" t="s">
        <v>315</v>
      </c>
      <c r="L22" s="44">
        <v>43132</v>
      </c>
      <c r="M22" s="44">
        <v>43175</v>
      </c>
      <c r="N22" s="45" t="s">
        <v>241</v>
      </c>
      <c r="O22" s="13">
        <v>1</v>
      </c>
      <c r="P22" s="9">
        <v>43182</v>
      </c>
      <c r="Q22" s="53"/>
      <c r="R22" s="5" t="s">
        <v>316</v>
      </c>
      <c r="S22" s="32"/>
      <c r="T22" s="5" t="s">
        <v>40</v>
      </c>
      <c r="U22" s="5" t="s">
        <v>317</v>
      </c>
      <c r="V22" s="5" t="s">
        <v>40</v>
      </c>
      <c r="W22" s="5" t="s">
        <v>40</v>
      </c>
      <c r="X22" s="9"/>
      <c r="Y22" s="54"/>
    </row>
    <row r="23" s="16" customFormat="1" ht="85.5" spans="1:25">
      <c r="A23" s="5">
        <v>8</v>
      </c>
      <c r="B23" s="5" t="s">
        <v>40</v>
      </c>
      <c r="C23" s="5" t="s">
        <v>318</v>
      </c>
      <c r="D23" s="37"/>
      <c r="E23" s="7" t="s">
        <v>319</v>
      </c>
      <c r="F23" s="5" t="s">
        <v>265</v>
      </c>
      <c r="G23" s="106" t="s">
        <v>320</v>
      </c>
      <c r="H23" s="5" t="s">
        <v>321</v>
      </c>
      <c r="I23" s="42" t="s">
        <v>322</v>
      </c>
      <c r="J23" s="42" t="s">
        <v>323</v>
      </c>
      <c r="K23" s="5" t="s">
        <v>324</v>
      </c>
      <c r="L23" s="44">
        <v>43132</v>
      </c>
      <c r="M23" s="44">
        <v>43167</v>
      </c>
      <c r="N23" s="45" t="s">
        <v>241</v>
      </c>
      <c r="O23" s="13">
        <v>1</v>
      </c>
      <c r="P23" s="9">
        <v>43182</v>
      </c>
      <c r="Q23" s="53"/>
      <c r="R23" s="5" t="s">
        <v>316</v>
      </c>
      <c r="S23" s="32"/>
      <c r="T23" s="5" t="s">
        <v>40</v>
      </c>
      <c r="U23" s="5" t="s">
        <v>317</v>
      </c>
      <c r="V23" s="5" t="s">
        <v>40</v>
      </c>
      <c r="W23" s="5" t="s">
        <v>40</v>
      </c>
      <c r="X23" s="9"/>
      <c r="Y23" s="54"/>
    </row>
    <row r="24" s="16" customFormat="1" ht="99.75" spans="1:25">
      <c r="A24" s="5">
        <v>9</v>
      </c>
      <c r="B24" s="5" t="s">
        <v>40</v>
      </c>
      <c r="C24" s="5" t="s">
        <v>325</v>
      </c>
      <c r="D24" s="37"/>
      <c r="E24" s="5" t="s">
        <v>326</v>
      </c>
      <c r="F24" s="5" t="s">
        <v>256</v>
      </c>
      <c r="G24" s="106" t="s">
        <v>327</v>
      </c>
      <c r="H24" s="5" t="s">
        <v>328</v>
      </c>
      <c r="I24" s="42" t="s">
        <v>329</v>
      </c>
      <c r="J24" s="42" t="s">
        <v>330</v>
      </c>
      <c r="K24" s="5" t="s">
        <v>331</v>
      </c>
      <c r="L24" s="44">
        <v>43132</v>
      </c>
      <c r="M24" s="44">
        <v>43167</v>
      </c>
      <c r="N24" s="45" t="s">
        <v>241</v>
      </c>
      <c r="O24" s="13">
        <v>1</v>
      </c>
      <c r="P24" s="9">
        <v>43182</v>
      </c>
      <c r="Q24" s="53"/>
      <c r="R24" s="5" t="s">
        <v>316</v>
      </c>
      <c r="S24" s="32"/>
      <c r="T24" s="5" t="s">
        <v>40</v>
      </c>
      <c r="U24" s="5" t="s">
        <v>317</v>
      </c>
      <c r="V24" s="5" t="s">
        <v>40</v>
      </c>
      <c r="W24" s="5" t="s">
        <v>40</v>
      </c>
      <c r="X24" s="9"/>
      <c r="Y24" s="54"/>
    </row>
    <row r="25" s="16" customFormat="1" ht="85.5" spans="1:25">
      <c r="A25" s="5">
        <v>10</v>
      </c>
      <c r="B25" s="5" t="s">
        <v>40</v>
      </c>
      <c r="C25" s="5" t="s">
        <v>332</v>
      </c>
      <c r="D25" s="33" t="s">
        <v>333</v>
      </c>
      <c r="E25" s="5" t="s">
        <v>334</v>
      </c>
      <c r="F25" s="5" t="s">
        <v>256</v>
      </c>
      <c r="G25" s="106" t="s">
        <v>335</v>
      </c>
      <c r="H25" s="5" t="s">
        <v>336</v>
      </c>
      <c r="I25" s="42" t="s">
        <v>337</v>
      </c>
      <c r="J25" s="42" t="s">
        <v>338</v>
      </c>
      <c r="K25" s="5" t="s">
        <v>339</v>
      </c>
      <c r="L25" s="44">
        <v>43179</v>
      </c>
      <c r="M25" s="44">
        <v>43202</v>
      </c>
      <c r="N25" s="45" t="s">
        <v>241</v>
      </c>
      <c r="O25" s="13">
        <v>5</v>
      </c>
      <c r="P25" s="9">
        <v>43214</v>
      </c>
      <c r="Q25" s="53"/>
      <c r="R25" s="5" t="s">
        <v>316</v>
      </c>
      <c r="S25" s="32"/>
      <c r="T25" s="5" t="s">
        <v>40</v>
      </c>
      <c r="U25" s="5" t="s">
        <v>317</v>
      </c>
      <c r="V25" s="5" t="s">
        <v>40</v>
      </c>
      <c r="W25" s="5" t="s">
        <v>40</v>
      </c>
      <c r="X25" s="9" t="s">
        <v>340</v>
      </c>
      <c r="Y25" s="54"/>
    </row>
    <row r="26" s="16" customFormat="1" ht="99.75" spans="1:25">
      <c r="A26" s="5">
        <v>11</v>
      </c>
      <c r="B26" s="5" t="s">
        <v>40</v>
      </c>
      <c r="C26" s="5" t="s">
        <v>341</v>
      </c>
      <c r="D26" s="37" t="s">
        <v>342</v>
      </c>
      <c r="E26" s="5" t="s">
        <v>326</v>
      </c>
      <c r="F26" s="5" t="s">
        <v>256</v>
      </c>
      <c r="G26" s="106" t="s">
        <v>327</v>
      </c>
      <c r="H26" s="5" t="s">
        <v>343</v>
      </c>
      <c r="I26" s="42" t="s">
        <v>344</v>
      </c>
      <c r="J26" s="42" t="s">
        <v>345</v>
      </c>
      <c r="K26" s="5" t="s">
        <v>346</v>
      </c>
      <c r="L26" s="44">
        <v>43273</v>
      </c>
      <c r="M26" s="44">
        <v>43293</v>
      </c>
      <c r="N26" s="45" t="s">
        <v>241</v>
      </c>
      <c r="O26" s="13">
        <v>3</v>
      </c>
      <c r="P26" s="9">
        <v>43314</v>
      </c>
      <c r="Q26" s="53"/>
      <c r="R26" s="5" t="s">
        <v>316</v>
      </c>
      <c r="S26" s="32"/>
      <c r="T26" s="5" t="s">
        <v>40</v>
      </c>
      <c r="U26" s="5" t="s">
        <v>317</v>
      </c>
      <c r="V26" s="5" t="s">
        <v>40</v>
      </c>
      <c r="W26" s="5" t="s">
        <v>40</v>
      </c>
      <c r="X26" s="9"/>
      <c r="Y26" s="54"/>
    </row>
    <row r="27" s="16" customFormat="1" ht="99.75" spans="1:25">
      <c r="A27" s="5">
        <v>12</v>
      </c>
      <c r="B27" s="5" t="s">
        <v>40</v>
      </c>
      <c r="C27" s="5" t="s">
        <v>347</v>
      </c>
      <c r="D27" s="37"/>
      <c r="E27" s="5" t="s">
        <v>348</v>
      </c>
      <c r="F27" s="5" t="s">
        <v>349</v>
      </c>
      <c r="G27" s="106" t="s">
        <v>350</v>
      </c>
      <c r="H27" s="5" t="s">
        <v>351</v>
      </c>
      <c r="I27" s="42" t="s">
        <v>344</v>
      </c>
      <c r="J27" s="42" t="s">
        <v>352</v>
      </c>
      <c r="K27" s="5" t="s">
        <v>353</v>
      </c>
      <c r="L27" s="44">
        <v>43273</v>
      </c>
      <c r="M27" s="44">
        <v>43293</v>
      </c>
      <c r="N27" s="45" t="s">
        <v>241</v>
      </c>
      <c r="O27" s="13">
        <v>0.5</v>
      </c>
      <c r="P27" s="9">
        <v>43314</v>
      </c>
      <c r="Q27" s="53"/>
      <c r="R27" s="5" t="s">
        <v>316</v>
      </c>
      <c r="S27" s="32"/>
      <c r="T27" s="5" t="s">
        <v>40</v>
      </c>
      <c r="U27" s="5" t="s">
        <v>317</v>
      </c>
      <c r="V27" s="5" t="s">
        <v>40</v>
      </c>
      <c r="W27" s="5" t="s">
        <v>40</v>
      </c>
      <c r="X27" s="9"/>
      <c r="Y27" s="54"/>
    </row>
    <row r="28" s="16" customFormat="1" ht="99.75" spans="1:25">
      <c r="A28" s="5">
        <v>13</v>
      </c>
      <c r="B28" s="5" t="s">
        <v>40</v>
      </c>
      <c r="C28" s="5" t="s">
        <v>354</v>
      </c>
      <c r="D28" s="37"/>
      <c r="E28" s="5" t="s">
        <v>355</v>
      </c>
      <c r="F28" s="5" t="s">
        <v>356</v>
      </c>
      <c r="G28" s="106" t="s">
        <v>357</v>
      </c>
      <c r="H28" s="5" t="s">
        <v>358</v>
      </c>
      <c r="I28" s="42" t="s">
        <v>344</v>
      </c>
      <c r="J28" s="42" t="s">
        <v>359</v>
      </c>
      <c r="K28" s="5" t="s">
        <v>360</v>
      </c>
      <c r="L28" s="44">
        <v>43273</v>
      </c>
      <c r="M28" s="44">
        <v>43293</v>
      </c>
      <c r="N28" s="45" t="s">
        <v>241</v>
      </c>
      <c r="O28" s="13">
        <v>0.5</v>
      </c>
      <c r="P28" s="9">
        <v>43314</v>
      </c>
      <c r="Q28" s="53"/>
      <c r="R28" s="5" t="s">
        <v>316</v>
      </c>
      <c r="S28" s="32"/>
      <c r="T28" s="5" t="s">
        <v>40</v>
      </c>
      <c r="U28" s="5" t="s">
        <v>317</v>
      </c>
      <c r="V28" s="5" t="s">
        <v>40</v>
      </c>
      <c r="W28" s="5" t="s">
        <v>40</v>
      </c>
      <c r="X28" s="9"/>
      <c r="Y28" s="54"/>
    </row>
    <row r="29" s="16" customFormat="1" ht="128.25" spans="1:25">
      <c r="A29" s="5">
        <v>14</v>
      </c>
      <c r="B29" s="5" t="s">
        <v>40</v>
      </c>
      <c r="C29" s="5" t="s">
        <v>361</v>
      </c>
      <c r="D29" s="37" t="s">
        <v>362</v>
      </c>
      <c r="E29" s="5" t="s">
        <v>363</v>
      </c>
      <c r="F29" s="5" t="s">
        <v>256</v>
      </c>
      <c r="G29" s="106" t="s">
        <v>364</v>
      </c>
      <c r="H29" s="5" t="s">
        <v>365</v>
      </c>
      <c r="I29" s="42" t="s">
        <v>366</v>
      </c>
      <c r="J29" s="42" t="s">
        <v>367</v>
      </c>
      <c r="K29" s="5" t="s">
        <v>368</v>
      </c>
      <c r="L29" s="44">
        <v>43322</v>
      </c>
      <c r="M29" s="44">
        <v>43335</v>
      </c>
      <c r="N29" s="45" t="s">
        <v>241</v>
      </c>
      <c r="O29" s="13">
        <v>2.9999</v>
      </c>
      <c r="P29" s="9">
        <v>43360</v>
      </c>
      <c r="Q29" s="53"/>
      <c r="R29" s="5" t="s">
        <v>290</v>
      </c>
      <c r="S29" s="32"/>
      <c r="T29" s="5" t="s">
        <v>40</v>
      </c>
      <c r="U29" s="5" t="s">
        <v>317</v>
      </c>
      <c r="V29" s="5" t="s">
        <v>40</v>
      </c>
      <c r="W29" s="5" t="s">
        <v>40</v>
      </c>
      <c r="X29" s="9" t="s">
        <v>369</v>
      </c>
      <c r="Y29" s="54"/>
    </row>
    <row r="30" s="16" customFormat="1" ht="128.25" spans="1:25">
      <c r="A30" s="5">
        <v>15</v>
      </c>
      <c r="B30" s="5" t="s">
        <v>40</v>
      </c>
      <c r="C30" s="5" t="s">
        <v>370</v>
      </c>
      <c r="D30" s="37" t="s">
        <v>371</v>
      </c>
      <c r="E30" s="7" t="s">
        <v>272</v>
      </c>
      <c r="F30" s="5" t="s">
        <v>256</v>
      </c>
      <c r="G30" s="106" t="s">
        <v>372</v>
      </c>
      <c r="H30" s="5" t="s">
        <v>373</v>
      </c>
      <c r="I30" s="46" t="s">
        <v>374</v>
      </c>
      <c r="J30" s="42" t="s">
        <v>375</v>
      </c>
      <c r="K30" s="5" t="s">
        <v>376</v>
      </c>
      <c r="L30" s="44">
        <v>43335</v>
      </c>
      <c r="M30" s="44">
        <v>43355</v>
      </c>
      <c r="N30" s="45" t="s">
        <v>241</v>
      </c>
      <c r="O30" s="13">
        <v>1</v>
      </c>
      <c r="P30" s="9">
        <v>43373</v>
      </c>
      <c r="Q30" s="53"/>
      <c r="R30" s="5" t="s">
        <v>290</v>
      </c>
      <c r="S30" s="32"/>
      <c r="T30" s="5" t="s">
        <v>40</v>
      </c>
      <c r="U30" s="5" t="s">
        <v>317</v>
      </c>
      <c r="V30" s="5" t="s">
        <v>40</v>
      </c>
      <c r="W30" s="5" t="s">
        <v>40</v>
      </c>
      <c r="X30" s="9" t="s">
        <v>377</v>
      </c>
      <c r="Y30" s="54"/>
    </row>
    <row r="31" s="16" customFormat="1" ht="85.5" spans="1:25">
      <c r="A31" s="5">
        <v>16</v>
      </c>
      <c r="B31" s="5" t="s">
        <v>40</v>
      </c>
      <c r="C31" s="5" t="s">
        <v>378</v>
      </c>
      <c r="D31" s="33" t="s">
        <v>379</v>
      </c>
      <c r="E31" s="5" t="s">
        <v>380</v>
      </c>
      <c r="F31" s="5" t="s">
        <v>248</v>
      </c>
      <c r="G31" s="106" t="s">
        <v>381</v>
      </c>
      <c r="H31" s="5" t="s">
        <v>312</v>
      </c>
      <c r="I31" s="42" t="s">
        <v>382</v>
      </c>
      <c r="J31" s="42" t="s">
        <v>383</v>
      </c>
      <c r="K31" s="9" t="s">
        <v>384</v>
      </c>
      <c r="L31" s="44">
        <v>43321</v>
      </c>
      <c r="M31" s="44">
        <v>43348</v>
      </c>
      <c r="N31" s="45" t="s">
        <v>241</v>
      </c>
      <c r="O31" s="13">
        <v>1</v>
      </c>
      <c r="P31" s="9">
        <v>43370</v>
      </c>
      <c r="Q31" s="53"/>
      <c r="R31" s="5" t="s">
        <v>316</v>
      </c>
      <c r="S31" s="32"/>
      <c r="T31" s="5" t="s">
        <v>40</v>
      </c>
      <c r="U31" s="5" t="s">
        <v>317</v>
      </c>
      <c r="V31" s="5" t="s">
        <v>40</v>
      </c>
      <c r="W31" s="5" t="s">
        <v>40</v>
      </c>
      <c r="X31" s="9"/>
      <c r="Y31" s="54"/>
    </row>
    <row r="32" s="16" customFormat="1" ht="85.5" spans="1:25">
      <c r="A32" s="5">
        <v>17</v>
      </c>
      <c r="B32" s="5" t="s">
        <v>40</v>
      </c>
      <c r="C32" s="5" t="s">
        <v>385</v>
      </c>
      <c r="D32" s="33"/>
      <c r="E32" s="7" t="s">
        <v>386</v>
      </c>
      <c r="F32" s="5" t="s">
        <v>248</v>
      </c>
      <c r="G32" s="106" t="s">
        <v>387</v>
      </c>
      <c r="H32" s="5" t="s">
        <v>312</v>
      </c>
      <c r="I32" s="42" t="s">
        <v>388</v>
      </c>
      <c r="J32" s="42" t="s">
        <v>389</v>
      </c>
      <c r="K32" s="9" t="s">
        <v>390</v>
      </c>
      <c r="L32" s="44">
        <v>43321</v>
      </c>
      <c r="M32" s="44">
        <v>43348</v>
      </c>
      <c r="N32" s="45" t="s">
        <v>241</v>
      </c>
      <c r="O32" s="13">
        <v>2</v>
      </c>
      <c r="P32" s="9">
        <v>43370</v>
      </c>
      <c r="Q32" s="53"/>
      <c r="R32" s="5" t="s">
        <v>316</v>
      </c>
      <c r="S32" s="32"/>
      <c r="T32" s="5" t="s">
        <v>40</v>
      </c>
      <c r="U32" s="5" t="s">
        <v>317</v>
      </c>
      <c r="V32" s="5" t="s">
        <v>40</v>
      </c>
      <c r="W32" s="5" t="s">
        <v>40</v>
      </c>
      <c r="X32" s="9" t="s">
        <v>340</v>
      </c>
      <c r="Y32" s="54"/>
    </row>
    <row r="33" s="16" customFormat="1" ht="71.25" spans="1:25">
      <c r="A33" s="5">
        <v>18</v>
      </c>
      <c r="B33" s="5" t="s">
        <v>40</v>
      </c>
      <c r="C33" s="5" t="s">
        <v>391</v>
      </c>
      <c r="D33" s="33"/>
      <c r="E33" s="7" t="s">
        <v>305</v>
      </c>
      <c r="F33" s="5" t="s">
        <v>252</v>
      </c>
      <c r="G33" s="106" t="s">
        <v>392</v>
      </c>
      <c r="H33" s="5" t="s">
        <v>393</v>
      </c>
      <c r="I33" s="42" t="s">
        <v>394</v>
      </c>
      <c r="J33" s="42" t="s">
        <v>395</v>
      </c>
      <c r="K33" s="9" t="s">
        <v>396</v>
      </c>
      <c r="L33" s="44">
        <v>43321</v>
      </c>
      <c r="M33" s="44">
        <v>43348</v>
      </c>
      <c r="N33" s="45" t="s">
        <v>241</v>
      </c>
      <c r="O33" s="13">
        <v>1</v>
      </c>
      <c r="P33" s="9">
        <v>43370</v>
      </c>
      <c r="Q33" s="53"/>
      <c r="R33" s="5" t="s">
        <v>316</v>
      </c>
      <c r="S33" s="32"/>
      <c r="T33" s="5" t="s">
        <v>40</v>
      </c>
      <c r="U33" s="5" t="s">
        <v>317</v>
      </c>
      <c r="V33" s="5" t="s">
        <v>40</v>
      </c>
      <c r="W33" s="5" t="s">
        <v>40</v>
      </c>
      <c r="X33" s="9"/>
      <c r="Y33" s="54"/>
    </row>
    <row r="34" s="16" customFormat="1" ht="71.25" spans="1:25">
      <c r="A34" s="5">
        <v>19</v>
      </c>
      <c r="B34" s="5" t="s">
        <v>40</v>
      </c>
      <c r="C34" s="5" t="s">
        <v>397</v>
      </c>
      <c r="D34" s="33"/>
      <c r="E34" s="7" t="s">
        <v>302</v>
      </c>
      <c r="F34" s="5" t="s">
        <v>265</v>
      </c>
      <c r="G34" s="106" t="s">
        <v>398</v>
      </c>
      <c r="H34" s="5" t="s">
        <v>321</v>
      </c>
      <c r="I34" s="42" t="s">
        <v>399</v>
      </c>
      <c r="J34" s="42" t="s">
        <v>400</v>
      </c>
      <c r="K34" s="9" t="s">
        <v>401</v>
      </c>
      <c r="L34" s="44">
        <v>43321</v>
      </c>
      <c r="M34" s="44">
        <v>43348</v>
      </c>
      <c r="N34" s="45" t="s">
        <v>241</v>
      </c>
      <c r="O34" s="13">
        <v>1</v>
      </c>
      <c r="P34" s="9">
        <v>43370</v>
      </c>
      <c r="Q34" s="53"/>
      <c r="R34" s="5" t="s">
        <v>316</v>
      </c>
      <c r="S34" s="32"/>
      <c r="T34" s="5" t="s">
        <v>40</v>
      </c>
      <c r="U34" s="5" t="s">
        <v>317</v>
      </c>
      <c r="V34" s="5" t="s">
        <v>40</v>
      </c>
      <c r="W34" s="5" t="s">
        <v>40</v>
      </c>
      <c r="X34" s="9" t="s">
        <v>402</v>
      </c>
      <c r="Y34" s="54"/>
    </row>
    <row r="35" s="16" customFormat="1" ht="71.25" spans="1:25">
      <c r="A35" s="5">
        <v>20</v>
      </c>
      <c r="B35" s="5" t="s">
        <v>40</v>
      </c>
      <c r="C35" s="5" t="s">
        <v>403</v>
      </c>
      <c r="D35" s="37" t="s">
        <v>404</v>
      </c>
      <c r="E35" s="5" t="s">
        <v>405</v>
      </c>
      <c r="F35" s="5" t="s">
        <v>256</v>
      </c>
      <c r="G35" s="106" t="s">
        <v>406</v>
      </c>
      <c r="H35" s="5" t="s">
        <v>407</v>
      </c>
      <c r="I35" s="46" t="s">
        <v>408</v>
      </c>
      <c r="J35" s="42" t="s">
        <v>409</v>
      </c>
      <c r="K35" s="9" t="s">
        <v>410</v>
      </c>
      <c r="L35" s="44">
        <v>43273</v>
      </c>
      <c r="M35" s="44">
        <v>43304</v>
      </c>
      <c r="N35" s="45" t="s">
        <v>241</v>
      </c>
      <c r="O35" s="13">
        <v>10</v>
      </c>
      <c r="P35" s="9">
        <v>43306</v>
      </c>
      <c r="Q35" s="53"/>
      <c r="R35" s="5" t="s">
        <v>411</v>
      </c>
      <c r="S35" s="32"/>
      <c r="T35" s="5" t="s">
        <v>40</v>
      </c>
      <c r="U35" s="5" t="s">
        <v>317</v>
      </c>
      <c r="V35" s="5" t="s">
        <v>40</v>
      </c>
      <c r="W35" s="5" t="s">
        <v>40</v>
      </c>
      <c r="X35" s="9"/>
      <c r="Y35" s="54"/>
    </row>
    <row r="36" s="16" customFormat="1" ht="85.5" spans="1:25">
      <c r="A36" s="5">
        <v>21</v>
      </c>
      <c r="B36" s="5" t="s">
        <v>40</v>
      </c>
      <c r="C36" s="5" t="s">
        <v>378</v>
      </c>
      <c r="D36" s="37" t="s">
        <v>412</v>
      </c>
      <c r="E36" s="5" t="s">
        <v>380</v>
      </c>
      <c r="F36" s="5" t="s">
        <v>248</v>
      </c>
      <c r="G36" s="106" t="s">
        <v>381</v>
      </c>
      <c r="H36" s="5" t="s">
        <v>312</v>
      </c>
      <c r="I36" s="42" t="s">
        <v>413</v>
      </c>
      <c r="J36" s="42" t="s">
        <v>414</v>
      </c>
      <c r="K36" s="5" t="s">
        <v>415</v>
      </c>
      <c r="L36" s="44">
        <v>43311</v>
      </c>
      <c r="M36" s="44">
        <v>43332</v>
      </c>
      <c r="N36" s="45" t="s">
        <v>241</v>
      </c>
      <c r="O36" s="13">
        <v>2</v>
      </c>
      <c r="P36" s="9">
        <v>43360</v>
      </c>
      <c r="Q36" s="53"/>
      <c r="R36" s="5" t="s">
        <v>411</v>
      </c>
      <c r="S36" s="32"/>
      <c r="T36" s="5" t="s">
        <v>40</v>
      </c>
      <c r="U36" s="5" t="s">
        <v>317</v>
      </c>
      <c r="V36" s="5" t="s">
        <v>40</v>
      </c>
      <c r="W36" s="5" t="s">
        <v>40</v>
      </c>
      <c r="X36" s="9"/>
      <c r="Y36" s="54"/>
    </row>
    <row r="37" s="16" customFormat="1" ht="71.25" spans="1:25">
      <c r="A37" s="5">
        <v>22</v>
      </c>
      <c r="B37" s="5" t="s">
        <v>40</v>
      </c>
      <c r="C37" s="5" t="s">
        <v>416</v>
      </c>
      <c r="D37" s="37"/>
      <c r="E37" s="5" t="s">
        <v>302</v>
      </c>
      <c r="F37" s="5" t="s">
        <v>265</v>
      </c>
      <c r="G37" s="106" t="s">
        <v>398</v>
      </c>
      <c r="H37" s="5" t="s">
        <v>321</v>
      </c>
      <c r="I37" s="42" t="s">
        <v>417</v>
      </c>
      <c r="J37" s="42" t="s">
        <v>418</v>
      </c>
      <c r="K37" s="5" t="s">
        <v>419</v>
      </c>
      <c r="L37" s="44">
        <v>43311</v>
      </c>
      <c r="M37" s="44">
        <v>43332</v>
      </c>
      <c r="N37" s="45" t="s">
        <v>241</v>
      </c>
      <c r="O37" s="13">
        <v>1</v>
      </c>
      <c r="P37" s="9">
        <v>43360</v>
      </c>
      <c r="Q37" s="53"/>
      <c r="R37" s="5" t="s">
        <v>411</v>
      </c>
      <c r="S37" s="32"/>
      <c r="T37" s="5" t="s">
        <v>40</v>
      </c>
      <c r="U37" s="5" t="s">
        <v>317</v>
      </c>
      <c r="V37" s="5" t="s">
        <v>40</v>
      </c>
      <c r="W37" s="5" t="s">
        <v>40</v>
      </c>
      <c r="X37" s="9" t="s">
        <v>340</v>
      </c>
      <c r="Y37" s="54"/>
    </row>
    <row r="38" s="16" customFormat="1" ht="85.5" spans="1:25">
      <c r="A38" s="5">
        <v>23</v>
      </c>
      <c r="B38" s="5" t="s">
        <v>40</v>
      </c>
      <c r="C38" s="5" t="s">
        <v>391</v>
      </c>
      <c r="D38" s="37"/>
      <c r="E38" s="5" t="s">
        <v>305</v>
      </c>
      <c r="F38" s="5" t="s">
        <v>252</v>
      </c>
      <c r="G38" s="106" t="s">
        <v>392</v>
      </c>
      <c r="H38" s="5" t="s">
        <v>393</v>
      </c>
      <c r="I38" s="42" t="s">
        <v>420</v>
      </c>
      <c r="J38" s="42" t="s">
        <v>421</v>
      </c>
      <c r="K38" s="5" t="s">
        <v>422</v>
      </c>
      <c r="L38" s="44">
        <v>43313</v>
      </c>
      <c r="M38" s="44">
        <v>43332</v>
      </c>
      <c r="N38" s="45" t="s">
        <v>241</v>
      </c>
      <c r="O38" s="13">
        <v>1</v>
      </c>
      <c r="P38" s="9">
        <v>43360</v>
      </c>
      <c r="Q38" s="53"/>
      <c r="R38" s="5" t="s">
        <v>411</v>
      </c>
      <c r="S38" s="32"/>
      <c r="T38" s="5" t="s">
        <v>40</v>
      </c>
      <c r="U38" s="5" t="s">
        <v>317</v>
      </c>
      <c r="V38" s="5" t="s">
        <v>40</v>
      </c>
      <c r="W38" s="5" t="s">
        <v>40</v>
      </c>
      <c r="X38" s="9"/>
      <c r="Y38" s="54"/>
    </row>
    <row r="39" s="16" customFormat="1" ht="85.5" spans="1:25">
      <c r="A39" s="5">
        <v>24</v>
      </c>
      <c r="B39" s="5" t="s">
        <v>40</v>
      </c>
      <c r="C39" s="5" t="s">
        <v>423</v>
      </c>
      <c r="D39" s="37"/>
      <c r="E39" s="5" t="s">
        <v>424</v>
      </c>
      <c r="F39" s="5" t="s">
        <v>248</v>
      </c>
      <c r="G39" s="106" t="s">
        <v>425</v>
      </c>
      <c r="H39" s="5" t="s">
        <v>312</v>
      </c>
      <c r="I39" s="42" t="s">
        <v>426</v>
      </c>
      <c r="J39" s="42" t="s">
        <v>427</v>
      </c>
      <c r="K39" s="5" t="s">
        <v>428</v>
      </c>
      <c r="L39" s="44">
        <v>43313</v>
      </c>
      <c r="M39" s="44">
        <v>43332</v>
      </c>
      <c r="N39" s="45" t="s">
        <v>241</v>
      </c>
      <c r="O39" s="13">
        <v>3</v>
      </c>
      <c r="P39" s="9">
        <v>43360</v>
      </c>
      <c r="Q39" s="53"/>
      <c r="R39" s="5" t="s">
        <v>411</v>
      </c>
      <c r="S39" s="32"/>
      <c r="T39" s="5" t="s">
        <v>40</v>
      </c>
      <c r="U39" s="5" t="s">
        <v>317</v>
      </c>
      <c r="V39" s="5" t="s">
        <v>40</v>
      </c>
      <c r="W39" s="5" t="s">
        <v>40</v>
      </c>
      <c r="X39" s="9" t="s">
        <v>340</v>
      </c>
      <c r="Y39" s="54"/>
    </row>
    <row r="40" s="16" customFormat="1" ht="71.25" spans="1:25">
      <c r="A40" s="5">
        <v>25</v>
      </c>
      <c r="B40" s="5" t="s">
        <v>40</v>
      </c>
      <c r="C40" s="5" t="s">
        <v>429</v>
      </c>
      <c r="D40" s="33" t="s">
        <v>430</v>
      </c>
      <c r="E40" s="5" t="s">
        <v>431</v>
      </c>
      <c r="F40" s="5" t="s">
        <v>248</v>
      </c>
      <c r="G40" s="106" t="s">
        <v>432</v>
      </c>
      <c r="H40" s="5" t="s">
        <v>312</v>
      </c>
      <c r="I40" s="42" t="s">
        <v>433</v>
      </c>
      <c r="J40" s="42" t="s">
        <v>434</v>
      </c>
      <c r="K40" s="5" t="s">
        <v>435</v>
      </c>
      <c r="L40" s="44">
        <v>43368</v>
      </c>
      <c r="M40" s="44">
        <v>43399</v>
      </c>
      <c r="N40" s="45" t="s">
        <v>241</v>
      </c>
      <c r="O40" s="13">
        <v>1</v>
      </c>
      <c r="P40" s="9">
        <v>43419</v>
      </c>
      <c r="Q40" s="53"/>
      <c r="R40" s="5" t="s">
        <v>316</v>
      </c>
      <c r="S40" s="32"/>
      <c r="T40" s="5" t="s">
        <v>40</v>
      </c>
      <c r="U40" s="5" t="s">
        <v>317</v>
      </c>
      <c r="V40" s="5" t="s">
        <v>40</v>
      </c>
      <c r="W40" s="5" t="s">
        <v>40</v>
      </c>
      <c r="X40" s="9" t="s">
        <v>340</v>
      </c>
      <c r="Y40" s="54"/>
    </row>
    <row r="41" s="16" customFormat="1" ht="71.25" spans="1:25">
      <c r="A41" s="5">
        <v>26</v>
      </c>
      <c r="B41" s="5" t="s">
        <v>40</v>
      </c>
      <c r="C41" s="5" t="s">
        <v>436</v>
      </c>
      <c r="D41" s="33"/>
      <c r="E41" s="5" t="s">
        <v>437</v>
      </c>
      <c r="F41" s="5" t="s">
        <v>248</v>
      </c>
      <c r="G41" s="106" t="s">
        <v>438</v>
      </c>
      <c r="H41" s="5" t="s">
        <v>312</v>
      </c>
      <c r="I41" s="42" t="s">
        <v>439</v>
      </c>
      <c r="J41" s="42" t="s">
        <v>440</v>
      </c>
      <c r="K41" s="5" t="s">
        <v>441</v>
      </c>
      <c r="L41" s="44">
        <v>43368</v>
      </c>
      <c r="M41" s="44">
        <v>43399</v>
      </c>
      <c r="N41" s="45" t="s">
        <v>241</v>
      </c>
      <c r="O41" s="13">
        <v>3</v>
      </c>
      <c r="P41" s="9">
        <v>43419</v>
      </c>
      <c r="Q41" s="53"/>
      <c r="R41" s="5" t="s">
        <v>316</v>
      </c>
      <c r="S41" s="32"/>
      <c r="T41" s="5" t="s">
        <v>40</v>
      </c>
      <c r="U41" s="5" t="s">
        <v>317</v>
      </c>
      <c r="V41" s="5" t="s">
        <v>40</v>
      </c>
      <c r="W41" s="5" t="s">
        <v>40</v>
      </c>
      <c r="X41" s="9" t="s">
        <v>340</v>
      </c>
      <c r="Y41" s="54"/>
    </row>
    <row r="42" s="16" customFormat="1" ht="71.25" spans="1:25">
      <c r="A42" s="5">
        <v>27</v>
      </c>
      <c r="B42" s="5" t="s">
        <v>40</v>
      </c>
      <c r="C42" s="5" t="s">
        <v>397</v>
      </c>
      <c r="D42" s="33"/>
      <c r="E42" s="5" t="s">
        <v>302</v>
      </c>
      <c r="F42" s="5" t="s">
        <v>265</v>
      </c>
      <c r="G42" s="106" t="s">
        <v>398</v>
      </c>
      <c r="H42" s="5" t="s">
        <v>321</v>
      </c>
      <c r="I42" s="42" t="s">
        <v>442</v>
      </c>
      <c r="J42" s="42" t="s">
        <v>443</v>
      </c>
      <c r="K42" s="5" t="s">
        <v>444</v>
      </c>
      <c r="L42" s="44">
        <v>43368</v>
      </c>
      <c r="M42" s="44">
        <v>43399</v>
      </c>
      <c r="N42" s="45" t="s">
        <v>241</v>
      </c>
      <c r="O42" s="13">
        <v>1</v>
      </c>
      <c r="P42" s="9">
        <v>43419</v>
      </c>
      <c r="Q42" s="53"/>
      <c r="R42" s="5" t="s">
        <v>316</v>
      </c>
      <c r="S42" s="32"/>
      <c r="T42" s="5" t="s">
        <v>40</v>
      </c>
      <c r="U42" s="5" t="s">
        <v>317</v>
      </c>
      <c r="V42" s="5" t="s">
        <v>40</v>
      </c>
      <c r="W42" s="5" t="s">
        <v>40</v>
      </c>
      <c r="X42" s="9" t="s">
        <v>340</v>
      </c>
      <c r="Y42" s="54"/>
    </row>
    <row r="43" s="16" customFormat="1" ht="71.25" spans="1:25">
      <c r="A43" s="5">
        <v>28</v>
      </c>
      <c r="B43" s="5" t="s">
        <v>40</v>
      </c>
      <c r="C43" s="5" t="s">
        <v>445</v>
      </c>
      <c r="D43" s="33"/>
      <c r="E43" s="5" t="s">
        <v>446</v>
      </c>
      <c r="F43" s="5" t="s">
        <v>252</v>
      </c>
      <c r="G43" s="106" t="s">
        <v>447</v>
      </c>
      <c r="H43" s="5" t="s">
        <v>393</v>
      </c>
      <c r="I43" s="42" t="s">
        <v>448</v>
      </c>
      <c r="J43" s="42" t="s">
        <v>449</v>
      </c>
      <c r="K43" s="5" t="s">
        <v>450</v>
      </c>
      <c r="L43" s="44">
        <v>43368</v>
      </c>
      <c r="M43" s="44">
        <v>43399</v>
      </c>
      <c r="N43" s="45" t="s">
        <v>241</v>
      </c>
      <c r="O43" s="13">
        <v>2</v>
      </c>
      <c r="P43" s="9">
        <v>43419</v>
      </c>
      <c r="Q43" s="53"/>
      <c r="R43" s="5" t="s">
        <v>316</v>
      </c>
      <c r="S43" s="32"/>
      <c r="T43" s="5" t="s">
        <v>40</v>
      </c>
      <c r="U43" s="5" t="s">
        <v>317</v>
      </c>
      <c r="V43" s="5" t="s">
        <v>40</v>
      </c>
      <c r="W43" s="5" t="s">
        <v>40</v>
      </c>
      <c r="X43" s="9" t="s">
        <v>340</v>
      </c>
      <c r="Y43" s="54"/>
    </row>
    <row r="44" s="16" customFormat="1" ht="71.25" spans="1:25">
      <c r="A44" s="5">
        <v>29</v>
      </c>
      <c r="B44" s="5" t="s">
        <v>40</v>
      </c>
      <c r="C44" s="5" t="s">
        <v>451</v>
      </c>
      <c r="D44" s="33"/>
      <c r="E44" s="5" t="s">
        <v>452</v>
      </c>
      <c r="F44" s="5" t="s">
        <v>256</v>
      </c>
      <c r="G44" s="106" t="s">
        <v>453</v>
      </c>
      <c r="H44" s="5" t="s">
        <v>454</v>
      </c>
      <c r="I44" s="42" t="s">
        <v>455</v>
      </c>
      <c r="J44" s="42" t="s">
        <v>456</v>
      </c>
      <c r="K44" s="5" t="s">
        <v>457</v>
      </c>
      <c r="L44" s="44">
        <v>43368</v>
      </c>
      <c r="M44" s="44">
        <v>43399</v>
      </c>
      <c r="N44" s="45" t="s">
        <v>241</v>
      </c>
      <c r="O44" s="13">
        <v>3</v>
      </c>
      <c r="P44" s="9">
        <v>43419</v>
      </c>
      <c r="Q44" s="53"/>
      <c r="R44" s="5" t="s">
        <v>316</v>
      </c>
      <c r="S44" s="32"/>
      <c r="T44" s="5" t="s">
        <v>40</v>
      </c>
      <c r="U44" s="5" t="s">
        <v>317</v>
      </c>
      <c r="V44" s="5" t="s">
        <v>40</v>
      </c>
      <c r="W44" s="5" t="s">
        <v>40</v>
      </c>
      <c r="X44" s="9" t="s">
        <v>340</v>
      </c>
      <c r="Y44" s="54"/>
    </row>
    <row r="45" s="17" customFormat="1" ht="71.25" spans="1:25">
      <c r="A45" s="8">
        <v>1</v>
      </c>
      <c r="B45" s="5" t="s">
        <v>40</v>
      </c>
      <c r="C45" s="7" t="s">
        <v>458</v>
      </c>
      <c r="D45" s="37" t="s">
        <v>379</v>
      </c>
      <c r="E45" s="7" t="s">
        <v>380</v>
      </c>
      <c r="F45" s="8" t="s">
        <v>256</v>
      </c>
      <c r="G45" s="106" t="s">
        <v>381</v>
      </c>
      <c r="H45" s="5" t="s">
        <v>459</v>
      </c>
      <c r="I45" s="47" t="s">
        <v>460</v>
      </c>
      <c r="J45" s="42" t="s">
        <v>461</v>
      </c>
      <c r="K45" s="5" t="s">
        <v>462</v>
      </c>
      <c r="L45" s="48">
        <v>43483</v>
      </c>
      <c r="M45" s="48">
        <v>43490</v>
      </c>
      <c r="N45" s="45" t="s">
        <v>241</v>
      </c>
      <c r="O45" s="49">
        <v>1</v>
      </c>
      <c r="P45" s="50">
        <v>43510</v>
      </c>
      <c r="Q45" s="50" t="s">
        <v>463</v>
      </c>
      <c r="R45" s="5" t="s">
        <v>411</v>
      </c>
      <c r="S45" s="8" t="s">
        <v>464</v>
      </c>
      <c r="T45" s="5" t="s">
        <v>40</v>
      </c>
      <c r="U45" s="5" t="s">
        <v>317</v>
      </c>
      <c r="V45" s="5" t="s">
        <v>40</v>
      </c>
      <c r="W45" s="5" t="s">
        <v>40</v>
      </c>
      <c r="X45" s="50" t="s">
        <v>465</v>
      </c>
      <c r="Y45" s="18"/>
    </row>
    <row r="46" s="17" customFormat="1" ht="71.25" spans="1:25">
      <c r="A46" s="8">
        <v>2</v>
      </c>
      <c r="B46" s="5" t="s">
        <v>40</v>
      </c>
      <c r="C46" s="8" t="s">
        <v>466</v>
      </c>
      <c r="D46" s="37" t="s">
        <v>467</v>
      </c>
      <c r="E46" s="8" t="s">
        <v>468</v>
      </c>
      <c r="F46" s="8" t="s">
        <v>252</v>
      </c>
      <c r="G46" s="106" t="s">
        <v>469</v>
      </c>
      <c r="H46" s="5" t="s">
        <v>470</v>
      </c>
      <c r="I46" s="47" t="s">
        <v>471</v>
      </c>
      <c r="J46" s="42" t="s">
        <v>472</v>
      </c>
      <c r="K46" s="5" t="s">
        <v>473</v>
      </c>
      <c r="L46" s="48">
        <v>43553</v>
      </c>
      <c r="M46" s="48">
        <v>43563</v>
      </c>
      <c r="N46" s="45" t="s">
        <v>474</v>
      </c>
      <c r="O46" s="49">
        <v>1</v>
      </c>
      <c r="P46" s="50">
        <v>43614</v>
      </c>
      <c r="Q46" s="50" t="s">
        <v>475</v>
      </c>
      <c r="R46" s="5" t="s">
        <v>411</v>
      </c>
      <c r="S46" s="8" t="s">
        <v>476</v>
      </c>
      <c r="T46" s="5" t="s">
        <v>40</v>
      </c>
      <c r="U46" s="5" t="s">
        <v>317</v>
      </c>
      <c r="V46" s="5" t="s">
        <v>40</v>
      </c>
      <c r="W46" s="5" t="s">
        <v>40</v>
      </c>
      <c r="X46" s="50" t="s">
        <v>465</v>
      </c>
      <c r="Y46" s="18"/>
    </row>
    <row r="47" s="17" customFormat="1" ht="71.25" spans="1:25">
      <c r="A47" s="8">
        <v>3</v>
      </c>
      <c r="B47" s="5" t="s">
        <v>40</v>
      </c>
      <c r="C47" s="8" t="s">
        <v>477</v>
      </c>
      <c r="D47" s="37" t="s">
        <v>478</v>
      </c>
      <c r="E47" s="8" t="s">
        <v>479</v>
      </c>
      <c r="F47" s="5" t="s">
        <v>349</v>
      </c>
      <c r="G47" s="106" t="s">
        <v>480</v>
      </c>
      <c r="H47" s="5" t="s">
        <v>481</v>
      </c>
      <c r="I47" s="47" t="s">
        <v>482</v>
      </c>
      <c r="J47" s="42" t="s">
        <v>483</v>
      </c>
      <c r="K47" s="5" t="s">
        <v>484</v>
      </c>
      <c r="L47" s="48">
        <v>43595</v>
      </c>
      <c r="M47" s="48">
        <v>43616</v>
      </c>
      <c r="N47" s="45" t="s">
        <v>241</v>
      </c>
      <c r="O47" s="49">
        <v>0.5</v>
      </c>
      <c r="P47" s="50">
        <v>43627</v>
      </c>
      <c r="Q47" s="50" t="s">
        <v>485</v>
      </c>
      <c r="R47" s="5" t="s">
        <v>290</v>
      </c>
      <c r="S47" s="8" t="s">
        <v>476</v>
      </c>
      <c r="T47" s="5" t="s">
        <v>40</v>
      </c>
      <c r="U47" s="5" t="s">
        <v>317</v>
      </c>
      <c r="V47" s="5" t="s">
        <v>40</v>
      </c>
      <c r="W47" s="5" t="s">
        <v>40</v>
      </c>
      <c r="X47" s="50" t="s">
        <v>465</v>
      </c>
      <c r="Y47" s="18"/>
    </row>
    <row r="48" s="17" customFormat="1" ht="85.5" spans="1:25">
      <c r="A48" s="8">
        <v>4</v>
      </c>
      <c r="B48" s="5" t="s">
        <v>40</v>
      </c>
      <c r="C48" s="8" t="s">
        <v>486</v>
      </c>
      <c r="D48" s="38" t="s">
        <v>487</v>
      </c>
      <c r="E48" s="8" t="s">
        <v>488</v>
      </c>
      <c r="F48" s="8" t="s">
        <v>256</v>
      </c>
      <c r="G48" s="106" t="s">
        <v>489</v>
      </c>
      <c r="H48" s="5" t="s">
        <v>490</v>
      </c>
      <c r="I48" s="47" t="s">
        <v>491</v>
      </c>
      <c r="J48" s="42" t="s">
        <v>492</v>
      </c>
      <c r="K48" s="5" t="s">
        <v>493</v>
      </c>
      <c r="L48" s="48">
        <v>43640</v>
      </c>
      <c r="M48" s="48">
        <v>43677</v>
      </c>
      <c r="N48" s="45" t="s">
        <v>241</v>
      </c>
      <c r="O48" s="49">
        <v>2.5</v>
      </c>
      <c r="P48" s="50">
        <v>43699</v>
      </c>
      <c r="Q48" s="50" t="s">
        <v>494</v>
      </c>
      <c r="R48" s="5" t="s">
        <v>411</v>
      </c>
      <c r="S48" s="8" t="s">
        <v>476</v>
      </c>
      <c r="T48" s="5" t="s">
        <v>40</v>
      </c>
      <c r="U48" s="8" t="s">
        <v>495</v>
      </c>
      <c r="V48" s="5" t="s">
        <v>40</v>
      </c>
      <c r="W48" s="5" t="s">
        <v>40</v>
      </c>
      <c r="X48" s="50"/>
      <c r="Y48" s="18"/>
    </row>
    <row r="49" s="17" customFormat="1" ht="85.5" spans="1:25">
      <c r="A49" s="8">
        <v>5</v>
      </c>
      <c r="B49" s="5" t="s">
        <v>40</v>
      </c>
      <c r="C49" s="8" t="s">
        <v>496</v>
      </c>
      <c r="D49" s="38" t="s">
        <v>497</v>
      </c>
      <c r="E49" s="7" t="s">
        <v>498</v>
      </c>
      <c r="F49" s="8" t="s">
        <v>256</v>
      </c>
      <c r="G49" s="106" t="s">
        <v>499</v>
      </c>
      <c r="H49" s="5" t="s">
        <v>500</v>
      </c>
      <c r="I49" s="47" t="s">
        <v>501</v>
      </c>
      <c r="J49" s="42" t="s">
        <v>502</v>
      </c>
      <c r="K49" s="5" t="s">
        <v>503</v>
      </c>
      <c r="L49" s="48">
        <v>43647</v>
      </c>
      <c r="M49" s="48">
        <v>43676</v>
      </c>
      <c r="N49" s="45" t="s">
        <v>241</v>
      </c>
      <c r="O49" s="49">
        <v>3</v>
      </c>
      <c r="P49" s="50">
        <v>43685</v>
      </c>
      <c r="Q49" s="50" t="s">
        <v>504</v>
      </c>
      <c r="R49" s="5" t="s">
        <v>316</v>
      </c>
      <c r="S49" s="8" t="s">
        <v>476</v>
      </c>
      <c r="T49" s="5" t="s">
        <v>40</v>
      </c>
      <c r="U49" s="8" t="s">
        <v>495</v>
      </c>
      <c r="V49" s="5" t="s">
        <v>40</v>
      </c>
      <c r="W49" s="5" t="s">
        <v>40</v>
      </c>
      <c r="X49" s="50" t="s">
        <v>505</v>
      </c>
      <c r="Y49" s="18"/>
    </row>
    <row r="50" s="17" customFormat="1" ht="85.5" spans="1:25">
      <c r="A50" s="8">
        <v>6</v>
      </c>
      <c r="B50" s="5" t="s">
        <v>40</v>
      </c>
      <c r="C50" s="8" t="s">
        <v>506</v>
      </c>
      <c r="D50" s="38"/>
      <c r="E50" s="8" t="s">
        <v>507</v>
      </c>
      <c r="F50" s="5" t="s">
        <v>349</v>
      </c>
      <c r="G50" s="106" t="s">
        <v>508</v>
      </c>
      <c r="H50" s="5" t="s">
        <v>500</v>
      </c>
      <c r="I50" s="47" t="s">
        <v>509</v>
      </c>
      <c r="J50" s="42" t="s">
        <v>510</v>
      </c>
      <c r="K50" s="5" t="s">
        <v>511</v>
      </c>
      <c r="L50" s="48">
        <v>43647</v>
      </c>
      <c r="M50" s="48">
        <v>43676</v>
      </c>
      <c r="N50" s="45" t="s">
        <v>241</v>
      </c>
      <c r="O50" s="49">
        <v>0.5</v>
      </c>
      <c r="P50" s="50">
        <v>43685</v>
      </c>
      <c r="Q50" s="50" t="s">
        <v>512</v>
      </c>
      <c r="R50" s="5" t="s">
        <v>316</v>
      </c>
      <c r="S50" s="8" t="s">
        <v>476</v>
      </c>
      <c r="T50" s="5" t="s">
        <v>40</v>
      </c>
      <c r="U50" s="8" t="s">
        <v>495</v>
      </c>
      <c r="V50" s="5" t="s">
        <v>40</v>
      </c>
      <c r="W50" s="5" t="s">
        <v>40</v>
      </c>
      <c r="X50" s="50" t="s">
        <v>505</v>
      </c>
      <c r="Y50" s="18"/>
    </row>
    <row r="51" s="17" customFormat="1" ht="85.5" spans="1:25">
      <c r="A51" s="8">
        <v>7</v>
      </c>
      <c r="B51" s="5" t="s">
        <v>40</v>
      </c>
      <c r="C51" s="8" t="s">
        <v>513</v>
      </c>
      <c r="D51" s="38"/>
      <c r="E51" s="8" t="s">
        <v>514</v>
      </c>
      <c r="F51" s="8" t="s">
        <v>356</v>
      </c>
      <c r="G51" s="106" t="s">
        <v>515</v>
      </c>
      <c r="H51" s="5" t="s">
        <v>500</v>
      </c>
      <c r="I51" s="47" t="s">
        <v>516</v>
      </c>
      <c r="J51" s="42" t="s">
        <v>517</v>
      </c>
      <c r="K51" s="5" t="s">
        <v>518</v>
      </c>
      <c r="L51" s="48">
        <v>43647</v>
      </c>
      <c r="M51" s="48">
        <v>43676</v>
      </c>
      <c r="N51" s="45" t="s">
        <v>241</v>
      </c>
      <c r="O51" s="49">
        <v>0.5</v>
      </c>
      <c r="P51" s="50">
        <v>43685</v>
      </c>
      <c r="Q51" s="50" t="s">
        <v>519</v>
      </c>
      <c r="R51" s="5" t="s">
        <v>316</v>
      </c>
      <c r="S51" s="8" t="s">
        <v>476</v>
      </c>
      <c r="T51" s="5" t="s">
        <v>40</v>
      </c>
      <c r="U51" s="8" t="s">
        <v>495</v>
      </c>
      <c r="V51" s="5" t="s">
        <v>40</v>
      </c>
      <c r="W51" s="5" t="s">
        <v>40</v>
      </c>
      <c r="X51" s="50"/>
      <c r="Y51" s="18"/>
    </row>
    <row r="52" s="17" customFormat="1" ht="71.25" spans="1:25">
      <c r="A52" s="8">
        <v>8</v>
      </c>
      <c r="B52" s="5" t="s">
        <v>40</v>
      </c>
      <c r="C52" s="7" t="s">
        <v>520</v>
      </c>
      <c r="D52" s="37" t="s">
        <v>521</v>
      </c>
      <c r="E52" s="7" t="s">
        <v>522</v>
      </c>
      <c r="F52" s="8" t="s">
        <v>256</v>
      </c>
      <c r="G52" s="106" t="s">
        <v>523</v>
      </c>
      <c r="H52" s="5" t="s">
        <v>524</v>
      </c>
      <c r="I52" s="46" t="s">
        <v>525</v>
      </c>
      <c r="J52" s="42" t="s">
        <v>526</v>
      </c>
      <c r="K52" s="5" t="s">
        <v>527</v>
      </c>
      <c r="L52" s="48">
        <v>43685</v>
      </c>
      <c r="M52" s="48">
        <v>43717</v>
      </c>
      <c r="N52" s="45" t="s">
        <v>241</v>
      </c>
      <c r="O52" s="49">
        <v>10</v>
      </c>
      <c r="P52" s="50">
        <v>43735</v>
      </c>
      <c r="Q52" s="50" t="s">
        <v>528</v>
      </c>
      <c r="R52" s="5" t="s">
        <v>316</v>
      </c>
      <c r="S52" s="8" t="s">
        <v>476</v>
      </c>
      <c r="T52" s="5" t="s">
        <v>40</v>
      </c>
      <c r="U52" s="8" t="s">
        <v>495</v>
      </c>
      <c r="V52" s="9" t="s">
        <v>529</v>
      </c>
      <c r="W52" s="32"/>
      <c r="X52" s="50"/>
      <c r="Y52" s="18"/>
    </row>
    <row r="53" s="17" customFormat="1" ht="71.25" spans="1:26">
      <c r="A53" s="8">
        <v>9</v>
      </c>
      <c r="B53" s="5" t="s">
        <v>40</v>
      </c>
      <c r="C53" s="8" t="s">
        <v>530</v>
      </c>
      <c r="D53" s="38" t="s">
        <v>531</v>
      </c>
      <c r="E53" s="8" t="s">
        <v>532</v>
      </c>
      <c r="F53" s="8" t="s">
        <v>256</v>
      </c>
      <c r="G53" s="106" t="s">
        <v>533</v>
      </c>
      <c r="H53" s="5" t="s">
        <v>534</v>
      </c>
      <c r="I53" s="47" t="s">
        <v>535</v>
      </c>
      <c r="J53" s="42" t="s">
        <v>536</v>
      </c>
      <c r="K53" s="5" t="s">
        <v>537</v>
      </c>
      <c r="L53" s="48">
        <v>43692</v>
      </c>
      <c r="M53" s="48">
        <v>43717</v>
      </c>
      <c r="N53" s="45" t="s">
        <v>241</v>
      </c>
      <c r="O53" s="49">
        <v>3</v>
      </c>
      <c r="P53" s="50">
        <v>43735</v>
      </c>
      <c r="Q53" s="50" t="s">
        <v>538</v>
      </c>
      <c r="R53" s="5" t="s">
        <v>316</v>
      </c>
      <c r="S53" s="8" t="s">
        <v>476</v>
      </c>
      <c r="T53" s="5" t="s">
        <v>40</v>
      </c>
      <c r="U53" s="8" t="s">
        <v>495</v>
      </c>
      <c r="V53" s="9" t="s">
        <v>529</v>
      </c>
      <c r="W53" s="32"/>
      <c r="X53" s="9" t="s">
        <v>539</v>
      </c>
      <c r="Y53" s="18"/>
      <c r="Z53" s="55"/>
    </row>
    <row r="54" s="17" customFormat="1" ht="57" spans="1:26">
      <c r="A54" s="8">
        <v>10</v>
      </c>
      <c r="B54" s="5" t="s">
        <v>40</v>
      </c>
      <c r="C54" s="8" t="s">
        <v>540</v>
      </c>
      <c r="D54" s="38"/>
      <c r="E54" s="8" t="s">
        <v>541</v>
      </c>
      <c r="F54" s="5" t="s">
        <v>349</v>
      </c>
      <c r="G54" s="106" t="s">
        <v>542</v>
      </c>
      <c r="H54" s="5" t="s">
        <v>534</v>
      </c>
      <c r="I54" s="47" t="s">
        <v>543</v>
      </c>
      <c r="J54" s="42" t="s">
        <v>544</v>
      </c>
      <c r="K54" s="5" t="s">
        <v>545</v>
      </c>
      <c r="L54" s="48">
        <v>43692</v>
      </c>
      <c r="M54" s="48">
        <v>43717</v>
      </c>
      <c r="N54" s="45" t="s">
        <v>241</v>
      </c>
      <c r="O54" s="49">
        <v>0.5</v>
      </c>
      <c r="P54" s="50">
        <v>43735</v>
      </c>
      <c r="Q54" s="50" t="s">
        <v>546</v>
      </c>
      <c r="R54" s="5" t="s">
        <v>316</v>
      </c>
      <c r="S54" s="8" t="s">
        <v>476</v>
      </c>
      <c r="T54" s="5" t="s">
        <v>40</v>
      </c>
      <c r="U54" s="8" t="s">
        <v>495</v>
      </c>
      <c r="V54" s="9" t="s">
        <v>529</v>
      </c>
      <c r="W54" s="32"/>
      <c r="X54" s="9" t="s">
        <v>539</v>
      </c>
      <c r="Y54" s="18"/>
      <c r="Z54" s="55"/>
    </row>
    <row r="55" s="17" customFormat="1" ht="71.25" spans="1:25">
      <c r="A55" s="8">
        <v>11</v>
      </c>
      <c r="B55" s="5" t="s">
        <v>40</v>
      </c>
      <c r="C55" s="8" t="s">
        <v>547</v>
      </c>
      <c r="D55" s="38"/>
      <c r="E55" s="8" t="s">
        <v>548</v>
      </c>
      <c r="F55" s="8" t="s">
        <v>356</v>
      </c>
      <c r="G55" s="106" t="s">
        <v>549</v>
      </c>
      <c r="H55" s="5" t="s">
        <v>534</v>
      </c>
      <c r="I55" s="47" t="s">
        <v>550</v>
      </c>
      <c r="J55" s="42" t="s">
        <v>551</v>
      </c>
      <c r="K55" s="5" t="s">
        <v>552</v>
      </c>
      <c r="L55" s="48">
        <v>43692</v>
      </c>
      <c r="M55" s="48">
        <v>43717</v>
      </c>
      <c r="N55" s="45" t="s">
        <v>241</v>
      </c>
      <c r="O55" s="49">
        <v>0.5</v>
      </c>
      <c r="P55" s="50">
        <v>43735</v>
      </c>
      <c r="Q55" s="50" t="s">
        <v>553</v>
      </c>
      <c r="R55" s="5" t="s">
        <v>316</v>
      </c>
      <c r="S55" s="8" t="s">
        <v>476</v>
      </c>
      <c r="T55" s="5" t="s">
        <v>40</v>
      </c>
      <c r="U55" s="8" t="s">
        <v>495</v>
      </c>
      <c r="V55" s="9" t="s">
        <v>529</v>
      </c>
      <c r="W55" s="32"/>
      <c r="X55" s="50"/>
      <c r="Y55" s="18"/>
    </row>
    <row r="56" s="17" customFormat="1" ht="114" spans="1:25">
      <c r="A56" s="8">
        <v>12</v>
      </c>
      <c r="B56" s="5" t="s">
        <v>40</v>
      </c>
      <c r="C56" s="8" t="s">
        <v>554</v>
      </c>
      <c r="D56" s="38" t="s">
        <v>555</v>
      </c>
      <c r="E56" s="8" t="s">
        <v>556</v>
      </c>
      <c r="F56" s="8" t="s">
        <v>256</v>
      </c>
      <c r="G56" s="106" t="s">
        <v>557</v>
      </c>
      <c r="H56" s="5" t="s">
        <v>558</v>
      </c>
      <c r="I56" s="47" t="s">
        <v>559</v>
      </c>
      <c r="J56" s="42" t="s">
        <v>560</v>
      </c>
      <c r="K56" s="5" t="s">
        <v>561</v>
      </c>
      <c r="L56" s="48">
        <v>43707</v>
      </c>
      <c r="M56" s="48">
        <v>43731</v>
      </c>
      <c r="N56" s="45" t="s">
        <v>241</v>
      </c>
      <c r="O56" s="49">
        <v>3</v>
      </c>
      <c r="P56" s="50">
        <v>43752</v>
      </c>
      <c r="Q56" s="50" t="s">
        <v>562</v>
      </c>
      <c r="R56" s="5" t="s">
        <v>290</v>
      </c>
      <c r="S56" s="8" t="s">
        <v>476</v>
      </c>
      <c r="T56" s="5" t="s">
        <v>40</v>
      </c>
      <c r="U56" s="8" t="s">
        <v>495</v>
      </c>
      <c r="V56" s="9" t="s">
        <v>529</v>
      </c>
      <c r="W56" s="32"/>
      <c r="X56" s="50" t="s">
        <v>563</v>
      </c>
      <c r="Y56" s="18"/>
    </row>
    <row r="57" s="17" customFormat="1" ht="114" spans="1:25">
      <c r="A57" s="8">
        <v>13</v>
      </c>
      <c r="B57" s="5" t="s">
        <v>40</v>
      </c>
      <c r="C57" s="8" t="s">
        <v>564</v>
      </c>
      <c r="D57" s="38"/>
      <c r="E57" s="8" t="s">
        <v>565</v>
      </c>
      <c r="F57" s="5" t="s">
        <v>349</v>
      </c>
      <c r="G57" s="106" t="s">
        <v>566</v>
      </c>
      <c r="H57" s="5" t="s">
        <v>567</v>
      </c>
      <c r="I57" s="47" t="s">
        <v>568</v>
      </c>
      <c r="J57" s="42" t="s">
        <v>569</v>
      </c>
      <c r="K57" s="5" t="s">
        <v>570</v>
      </c>
      <c r="L57" s="48">
        <v>43707</v>
      </c>
      <c r="M57" s="48">
        <v>43731</v>
      </c>
      <c r="N57" s="45" t="s">
        <v>241</v>
      </c>
      <c r="O57" s="49">
        <v>0.5</v>
      </c>
      <c r="P57" s="50">
        <v>43752</v>
      </c>
      <c r="Q57" s="50" t="s">
        <v>571</v>
      </c>
      <c r="R57" s="5" t="s">
        <v>290</v>
      </c>
      <c r="S57" s="8" t="s">
        <v>476</v>
      </c>
      <c r="T57" s="5" t="s">
        <v>40</v>
      </c>
      <c r="U57" s="8" t="s">
        <v>495</v>
      </c>
      <c r="V57" s="9" t="s">
        <v>529</v>
      </c>
      <c r="W57" s="32"/>
      <c r="X57" s="50" t="s">
        <v>572</v>
      </c>
      <c r="Y57" s="18"/>
    </row>
    <row r="58" s="17" customFormat="1" ht="114" spans="1:25">
      <c r="A58" s="8">
        <v>14</v>
      </c>
      <c r="B58" s="5" t="s">
        <v>40</v>
      </c>
      <c r="C58" s="8" t="s">
        <v>573</v>
      </c>
      <c r="D58" s="38"/>
      <c r="E58" s="8" t="s">
        <v>574</v>
      </c>
      <c r="F58" s="8" t="s">
        <v>356</v>
      </c>
      <c r="G58" s="106" t="s">
        <v>575</v>
      </c>
      <c r="H58" s="5" t="s">
        <v>576</v>
      </c>
      <c r="I58" s="47" t="s">
        <v>577</v>
      </c>
      <c r="J58" s="42" t="s">
        <v>578</v>
      </c>
      <c r="K58" s="5" t="s">
        <v>579</v>
      </c>
      <c r="L58" s="48">
        <v>43707</v>
      </c>
      <c r="M58" s="48">
        <v>43731</v>
      </c>
      <c r="N58" s="45" t="s">
        <v>241</v>
      </c>
      <c r="O58" s="49">
        <v>0.5</v>
      </c>
      <c r="P58" s="50">
        <v>43752</v>
      </c>
      <c r="Q58" s="50" t="s">
        <v>580</v>
      </c>
      <c r="R58" s="5" t="s">
        <v>290</v>
      </c>
      <c r="S58" s="8" t="s">
        <v>476</v>
      </c>
      <c r="T58" s="5" t="s">
        <v>40</v>
      </c>
      <c r="U58" s="8" t="s">
        <v>495</v>
      </c>
      <c r="V58" s="9" t="s">
        <v>529</v>
      </c>
      <c r="W58" s="32"/>
      <c r="X58" s="50" t="s">
        <v>572</v>
      </c>
      <c r="Y58" s="18"/>
    </row>
    <row r="59" s="17" customFormat="1" ht="85.5" spans="1:25">
      <c r="A59" s="8">
        <v>15</v>
      </c>
      <c r="B59" s="5" t="s">
        <v>40</v>
      </c>
      <c r="C59" s="8" t="s">
        <v>581</v>
      </c>
      <c r="D59" s="37" t="s">
        <v>582</v>
      </c>
      <c r="E59" s="7" t="s">
        <v>583</v>
      </c>
      <c r="F59" s="5" t="s">
        <v>248</v>
      </c>
      <c r="G59" s="106" t="s">
        <v>584</v>
      </c>
      <c r="H59" s="5" t="s">
        <v>534</v>
      </c>
      <c r="I59" s="42" t="s">
        <v>585</v>
      </c>
      <c r="J59" s="42" t="s">
        <v>586</v>
      </c>
      <c r="K59" s="5" t="s">
        <v>587</v>
      </c>
      <c r="L59" s="44">
        <v>43713</v>
      </c>
      <c r="M59" s="44">
        <v>43747</v>
      </c>
      <c r="N59" s="45" t="s">
        <v>241</v>
      </c>
      <c r="O59" s="49">
        <v>3</v>
      </c>
      <c r="P59" s="9">
        <v>43732</v>
      </c>
      <c r="Q59" s="50" t="s">
        <v>588</v>
      </c>
      <c r="R59" s="5" t="s">
        <v>411</v>
      </c>
      <c r="S59" s="8" t="s">
        <v>476</v>
      </c>
      <c r="T59" s="5" t="s">
        <v>40</v>
      </c>
      <c r="U59" s="8" t="s">
        <v>495</v>
      </c>
      <c r="V59" s="9" t="s">
        <v>529</v>
      </c>
      <c r="W59" s="32"/>
      <c r="X59" s="9" t="s">
        <v>572</v>
      </c>
      <c r="Y59" s="18"/>
    </row>
    <row r="60" s="17" customFormat="1" ht="71.25" spans="1:25">
      <c r="A60" s="8">
        <v>16</v>
      </c>
      <c r="B60" s="5" t="s">
        <v>40</v>
      </c>
      <c r="C60" s="8" t="s">
        <v>589</v>
      </c>
      <c r="D60" s="37"/>
      <c r="E60" s="5" t="s">
        <v>590</v>
      </c>
      <c r="F60" s="5" t="s">
        <v>591</v>
      </c>
      <c r="G60" s="106" t="s">
        <v>592</v>
      </c>
      <c r="H60" s="5" t="s">
        <v>534</v>
      </c>
      <c r="I60" s="42" t="s">
        <v>593</v>
      </c>
      <c r="J60" s="42" t="s">
        <v>594</v>
      </c>
      <c r="K60" s="5" t="s">
        <v>595</v>
      </c>
      <c r="L60" s="44">
        <v>43713</v>
      </c>
      <c r="M60" s="44">
        <v>43747</v>
      </c>
      <c r="N60" s="45" t="s">
        <v>241</v>
      </c>
      <c r="O60" s="49">
        <v>0.5</v>
      </c>
      <c r="P60" s="9">
        <v>43732</v>
      </c>
      <c r="Q60" s="50" t="s">
        <v>596</v>
      </c>
      <c r="R60" s="5" t="s">
        <v>411</v>
      </c>
      <c r="S60" s="8" t="s">
        <v>476</v>
      </c>
      <c r="T60" s="5" t="s">
        <v>40</v>
      </c>
      <c r="U60" s="8" t="s">
        <v>495</v>
      </c>
      <c r="V60" s="9" t="s">
        <v>529</v>
      </c>
      <c r="W60" s="32"/>
      <c r="X60" s="9" t="s">
        <v>572</v>
      </c>
      <c r="Y60" s="18"/>
    </row>
    <row r="61" s="17" customFormat="1" ht="71.25" spans="1:26">
      <c r="A61" s="8">
        <v>17</v>
      </c>
      <c r="B61" s="5" t="s">
        <v>40</v>
      </c>
      <c r="C61" s="8" t="s">
        <v>597</v>
      </c>
      <c r="D61" s="37"/>
      <c r="E61" s="7" t="s">
        <v>598</v>
      </c>
      <c r="F61" s="8" t="s">
        <v>599</v>
      </c>
      <c r="G61" s="106" t="s">
        <v>600</v>
      </c>
      <c r="H61" s="5" t="s">
        <v>534</v>
      </c>
      <c r="I61" s="42" t="s">
        <v>601</v>
      </c>
      <c r="J61" s="42" t="s">
        <v>602</v>
      </c>
      <c r="K61" s="5" t="s">
        <v>603</v>
      </c>
      <c r="L61" s="44">
        <v>43713</v>
      </c>
      <c r="M61" s="44">
        <v>43747</v>
      </c>
      <c r="N61" s="45" t="s">
        <v>241</v>
      </c>
      <c r="O61" s="49">
        <v>0.5</v>
      </c>
      <c r="P61" s="9">
        <v>43732</v>
      </c>
      <c r="Q61" s="50" t="s">
        <v>604</v>
      </c>
      <c r="R61" s="5" t="s">
        <v>411</v>
      </c>
      <c r="S61" s="8" t="s">
        <v>476</v>
      </c>
      <c r="T61" s="5" t="s">
        <v>40</v>
      </c>
      <c r="U61" s="8" t="s">
        <v>495</v>
      </c>
      <c r="V61" s="9" t="s">
        <v>529</v>
      </c>
      <c r="W61" s="32"/>
      <c r="X61" s="9" t="s">
        <v>539</v>
      </c>
      <c r="Y61" s="18"/>
      <c r="Z61" s="55"/>
    </row>
    <row r="62" s="17" customFormat="1" ht="71.25" spans="1:26">
      <c r="A62" s="8">
        <v>18</v>
      </c>
      <c r="B62" s="5" t="s">
        <v>40</v>
      </c>
      <c r="C62" s="7" t="s">
        <v>605</v>
      </c>
      <c r="D62" s="37" t="s">
        <v>606</v>
      </c>
      <c r="E62" s="7" t="s">
        <v>607</v>
      </c>
      <c r="F62" s="5" t="s">
        <v>248</v>
      </c>
      <c r="G62" s="106" t="s">
        <v>608</v>
      </c>
      <c r="H62" s="5" t="s">
        <v>609</v>
      </c>
      <c r="I62" s="42" t="s">
        <v>610</v>
      </c>
      <c r="J62" s="42" t="s">
        <v>611</v>
      </c>
      <c r="K62" s="5" t="s">
        <v>612</v>
      </c>
      <c r="L62" s="44">
        <v>43763</v>
      </c>
      <c r="M62" s="44">
        <v>43801</v>
      </c>
      <c r="N62" s="45" t="s">
        <v>241</v>
      </c>
      <c r="O62" s="49">
        <v>2</v>
      </c>
      <c r="P62" s="9">
        <v>43809</v>
      </c>
      <c r="Q62" s="50" t="s">
        <v>613</v>
      </c>
      <c r="R62" s="5" t="s">
        <v>316</v>
      </c>
      <c r="S62" s="8" t="s">
        <v>476</v>
      </c>
      <c r="T62" s="5" t="s">
        <v>40</v>
      </c>
      <c r="U62" s="8" t="s">
        <v>495</v>
      </c>
      <c r="V62" s="9" t="s">
        <v>529</v>
      </c>
      <c r="W62" s="32"/>
      <c r="X62" s="9" t="s">
        <v>614</v>
      </c>
      <c r="Y62" s="18"/>
      <c r="Z62" s="55"/>
    </row>
    <row r="63" s="17" customFormat="1" ht="85.5" spans="1:26">
      <c r="A63" s="8">
        <v>19</v>
      </c>
      <c r="B63" s="5" t="s">
        <v>40</v>
      </c>
      <c r="C63" s="7" t="s">
        <v>615</v>
      </c>
      <c r="D63" s="37" t="s">
        <v>616</v>
      </c>
      <c r="E63" s="7" t="s">
        <v>46</v>
      </c>
      <c r="F63" s="5" t="s">
        <v>256</v>
      </c>
      <c r="G63" s="106" t="s">
        <v>47</v>
      </c>
      <c r="H63" s="5" t="s">
        <v>617</v>
      </c>
      <c r="I63" s="42" t="s">
        <v>618</v>
      </c>
      <c r="J63" s="42" t="s">
        <v>619</v>
      </c>
      <c r="K63" s="5" t="s">
        <v>620</v>
      </c>
      <c r="L63" s="44">
        <v>43762</v>
      </c>
      <c r="M63" s="44">
        <v>43781</v>
      </c>
      <c r="N63" s="45" t="s">
        <v>241</v>
      </c>
      <c r="O63" s="49">
        <v>1</v>
      </c>
      <c r="P63" s="9">
        <v>43804</v>
      </c>
      <c r="Q63" s="50" t="s">
        <v>621</v>
      </c>
      <c r="R63" s="5" t="s">
        <v>290</v>
      </c>
      <c r="S63" s="8" t="s">
        <v>476</v>
      </c>
      <c r="T63" s="5" t="s">
        <v>40</v>
      </c>
      <c r="U63" s="8" t="s">
        <v>495</v>
      </c>
      <c r="V63" s="9" t="s">
        <v>529</v>
      </c>
      <c r="W63" s="32"/>
      <c r="X63" s="9" t="s">
        <v>614</v>
      </c>
      <c r="Y63" s="18"/>
      <c r="Z63" s="55"/>
    </row>
    <row r="64" s="17" customFormat="1" ht="71.25" spans="1:26">
      <c r="A64" s="8">
        <v>20</v>
      </c>
      <c r="B64" s="5" t="s">
        <v>40</v>
      </c>
      <c r="C64" s="7" t="s">
        <v>622</v>
      </c>
      <c r="D64" s="37"/>
      <c r="E64" s="7" t="s">
        <v>46</v>
      </c>
      <c r="F64" s="5" t="s">
        <v>256</v>
      </c>
      <c r="G64" s="106" t="s">
        <v>47</v>
      </c>
      <c r="H64" s="5" t="s">
        <v>623</v>
      </c>
      <c r="I64" s="42" t="s">
        <v>624</v>
      </c>
      <c r="J64" s="42" t="s">
        <v>625</v>
      </c>
      <c r="K64" s="5" t="s">
        <v>626</v>
      </c>
      <c r="L64" s="44">
        <v>43762</v>
      </c>
      <c r="M64" s="44">
        <v>43781</v>
      </c>
      <c r="N64" s="45" t="s">
        <v>241</v>
      </c>
      <c r="O64" s="49">
        <v>2</v>
      </c>
      <c r="P64" s="9">
        <v>43804</v>
      </c>
      <c r="Q64" s="50" t="s">
        <v>627</v>
      </c>
      <c r="R64" s="5" t="s">
        <v>290</v>
      </c>
      <c r="S64" s="8" t="s">
        <v>476</v>
      </c>
      <c r="T64" s="5" t="s">
        <v>40</v>
      </c>
      <c r="U64" s="8" t="s">
        <v>495</v>
      </c>
      <c r="V64" s="9" t="s">
        <v>529</v>
      </c>
      <c r="W64" s="32"/>
      <c r="X64" s="9" t="s">
        <v>614</v>
      </c>
      <c r="Y64" s="18"/>
      <c r="Z64" s="55"/>
    </row>
    <row r="65" s="17" customFormat="1" ht="85.5" spans="1:26">
      <c r="A65" s="8">
        <v>21</v>
      </c>
      <c r="B65" s="5" t="s">
        <v>40</v>
      </c>
      <c r="C65" s="7" t="s">
        <v>628</v>
      </c>
      <c r="D65" s="37" t="s">
        <v>629</v>
      </c>
      <c r="E65" s="7" t="s">
        <v>630</v>
      </c>
      <c r="F65" s="5" t="s">
        <v>256</v>
      </c>
      <c r="G65" s="106" t="s">
        <v>631</v>
      </c>
      <c r="H65" s="5" t="s">
        <v>632</v>
      </c>
      <c r="I65" s="63" t="s">
        <v>633</v>
      </c>
      <c r="J65" s="42" t="s">
        <v>634</v>
      </c>
      <c r="K65" s="5" t="s">
        <v>635</v>
      </c>
      <c r="L65" s="44">
        <v>43763</v>
      </c>
      <c r="M65" s="44">
        <v>43789</v>
      </c>
      <c r="N65" s="45" t="s">
        <v>241</v>
      </c>
      <c r="O65" s="49">
        <v>0.5</v>
      </c>
      <c r="P65" s="9">
        <v>43819</v>
      </c>
      <c r="Q65" s="50" t="s">
        <v>636</v>
      </c>
      <c r="R65" s="5" t="s">
        <v>411</v>
      </c>
      <c r="S65" s="8" t="s">
        <v>476</v>
      </c>
      <c r="T65" s="5" t="s">
        <v>40</v>
      </c>
      <c r="U65" s="8" t="s">
        <v>495</v>
      </c>
      <c r="V65" s="9" t="s">
        <v>529</v>
      </c>
      <c r="W65" s="32"/>
      <c r="X65" s="9" t="s">
        <v>614</v>
      </c>
      <c r="Y65" s="18"/>
      <c r="Z65" s="55"/>
    </row>
    <row r="66" s="17" customFormat="1" ht="71.25" spans="1:26">
      <c r="A66" s="8">
        <v>1</v>
      </c>
      <c r="B66" s="50" t="s">
        <v>637</v>
      </c>
      <c r="C66" s="8" t="s">
        <v>638</v>
      </c>
      <c r="D66" s="37" t="s">
        <v>639</v>
      </c>
      <c r="E66" s="7" t="s">
        <v>640</v>
      </c>
      <c r="F66" s="5" t="s">
        <v>591</v>
      </c>
      <c r="G66" s="106" t="s">
        <v>641</v>
      </c>
      <c r="H66" s="5" t="s">
        <v>642</v>
      </c>
      <c r="I66" s="42" t="s">
        <v>643</v>
      </c>
      <c r="J66" s="42" t="s">
        <v>644</v>
      </c>
      <c r="K66" s="9" t="s">
        <v>645</v>
      </c>
      <c r="L66" s="44">
        <v>43796</v>
      </c>
      <c r="M66" s="44">
        <v>43833</v>
      </c>
      <c r="N66" s="45" t="s">
        <v>241</v>
      </c>
      <c r="O66" s="49">
        <v>0.5</v>
      </c>
      <c r="P66" s="9">
        <v>43845</v>
      </c>
      <c r="Q66" s="45" t="s">
        <v>646</v>
      </c>
      <c r="R66" s="5" t="s">
        <v>290</v>
      </c>
      <c r="S66" s="67">
        <v>43837</v>
      </c>
      <c r="T66" s="67">
        <v>43892</v>
      </c>
      <c r="U66" s="8" t="s">
        <v>495</v>
      </c>
      <c r="V66" s="9" t="s">
        <v>529</v>
      </c>
      <c r="W66" s="67">
        <v>44036</v>
      </c>
      <c r="X66" s="9" t="s">
        <v>614</v>
      </c>
      <c r="Y66" s="18"/>
      <c r="Z66" s="17" t="s">
        <v>110</v>
      </c>
    </row>
    <row r="67" s="17" customFormat="1" ht="71.25" spans="1:26">
      <c r="A67" s="8">
        <v>2</v>
      </c>
      <c r="B67" s="50" t="s">
        <v>647</v>
      </c>
      <c r="C67" s="7" t="s">
        <v>648</v>
      </c>
      <c r="D67" s="37" t="s">
        <v>649</v>
      </c>
      <c r="E67" s="7" t="s">
        <v>650</v>
      </c>
      <c r="F67" s="5" t="s">
        <v>248</v>
      </c>
      <c r="G67" s="106" t="s">
        <v>651</v>
      </c>
      <c r="H67" s="5" t="s">
        <v>623</v>
      </c>
      <c r="I67" s="42" t="s">
        <v>652</v>
      </c>
      <c r="J67" s="42" t="s">
        <v>653</v>
      </c>
      <c r="K67" s="9" t="s">
        <v>654</v>
      </c>
      <c r="L67" s="44">
        <v>43813</v>
      </c>
      <c r="M67" s="44">
        <v>43833</v>
      </c>
      <c r="N67" s="45" t="s">
        <v>241</v>
      </c>
      <c r="O67" s="49">
        <v>2</v>
      </c>
      <c r="P67" s="9">
        <v>43845</v>
      </c>
      <c r="Q67" s="45" t="s">
        <v>655</v>
      </c>
      <c r="R67" s="5" t="s">
        <v>290</v>
      </c>
      <c r="S67" s="67">
        <v>43837</v>
      </c>
      <c r="T67" s="67">
        <v>43892</v>
      </c>
      <c r="U67" s="8" t="s">
        <v>495</v>
      </c>
      <c r="V67" s="9" t="s">
        <v>529</v>
      </c>
      <c r="W67" s="67">
        <v>44036</v>
      </c>
      <c r="X67" s="9" t="s">
        <v>614</v>
      </c>
      <c r="Y67" s="18"/>
      <c r="Z67" s="17" t="s">
        <v>110</v>
      </c>
    </row>
    <row r="68" s="17" customFormat="1" ht="71.25" spans="1:26">
      <c r="A68" s="8">
        <v>3</v>
      </c>
      <c r="B68" s="50" t="s">
        <v>656</v>
      </c>
      <c r="C68" s="8" t="s">
        <v>657</v>
      </c>
      <c r="D68" s="38" t="s">
        <v>658</v>
      </c>
      <c r="E68" s="8" t="s">
        <v>659</v>
      </c>
      <c r="F68" s="8" t="s">
        <v>256</v>
      </c>
      <c r="G68" s="106" t="s">
        <v>660</v>
      </c>
      <c r="H68" s="5" t="s">
        <v>661</v>
      </c>
      <c r="I68" s="46" t="s">
        <v>662</v>
      </c>
      <c r="J68" s="42" t="s">
        <v>663</v>
      </c>
      <c r="K68" s="9" t="s">
        <v>664</v>
      </c>
      <c r="L68" s="44">
        <v>43830</v>
      </c>
      <c r="M68" s="48">
        <v>43846</v>
      </c>
      <c r="N68" s="45" t="s">
        <v>241</v>
      </c>
      <c r="O68" s="49">
        <v>2</v>
      </c>
      <c r="P68" s="50">
        <v>43851</v>
      </c>
      <c r="Q68" s="45" t="s">
        <v>665</v>
      </c>
      <c r="R68" s="5" t="s">
        <v>290</v>
      </c>
      <c r="S68" s="67">
        <v>43847</v>
      </c>
      <c r="T68" s="67">
        <v>43892</v>
      </c>
      <c r="U68" s="8" t="s">
        <v>495</v>
      </c>
      <c r="V68" s="9" t="s">
        <v>529</v>
      </c>
      <c r="W68" s="67" t="s">
        <v>666</v>
      </c>
      <c r="X68" s="9" t="s">
        <v>614</v>
      </c>
      <c r="Y68" s="18"/>
      <c r="Z68" s="17" t="s">
        <v>110</v>
      </c>
    </row>
    <row r="69" s="17" customFormat="1" ht="71.25" spans="1:26">
      <c r="A69" s="8">
        <v>4</v>
      </c>
      <c r="B69" s="50" t="s">
        <v>667</v>
      </c>
      <c r="C69" s="8" t="str">
        <f t="shared" ref="C69:C71" si="0">_xlfn.CONCAT(E69,H69,"行政处罚案")</f>
        <v>深圳市深安企业有限公司未按照规定组织危大工程验收行政处罚案</v>
      </c>
      <c r="D69" s="38" t="s">
        <v>668</v>
      </c>
      <c r="E69" s="7" t="s">
        <v>498</v>
      </c>
      <c r="F69" s="8" t="s">
        <v>256</v>
      </c>
      <c r="G69" s="106" t="s">
        <v>499</v>
      </c>
      <c r="H69" s="5" t="s">
        <v>669</v>
      </c>
      <c r="I69" s="47" t="s">
        <v>670</v>
      </c>
      <c r="J69" s="42" t="s">
        <v>671</v>
      </c>
      <c r="K69" s="9" t="s">
        <v>672</v>
      </c>
      <c r="L69" s="48">
        <v>43970</v>
      </c>
      <c r="M69" s="48">
        <v>44005</v>
      </c>
      <c r="N69" s="45" t="s">
        <v>241</v>
      </c>
      <c r="O69" s="49">
        <v>3</v>
      </c>
      <c r="P69" s="50">
        <v>44018</v>
      </c>
      <c r="Q69" s="45" t="s">
        <v>673</v>
      </c>
      <c r="R69" s="5" t="s">
        <v>316</v>
      </c>
      <c r="S69" s="67">
        <v>44010</v>
      </c>
      <c r="T69" s="67">
        <v>44019</v>
      </c>
      <c r="U69" s="8" t="s">
        <v>495</v>
      </c>
      <c r="V69" s="9" t="s">
        <v>529</v>
      </c>
      <c r="W69" s="67">
        <v>44032</v>
      </c>
      <c r="X69" s="50"/>
      <c r="Y69" s="18"/>
      <c r="Z69" s="17" t="s">
        <v>110</v>
      </c>
    </row>
    <row r="70" s="17" customFormat="1" ht="71.25" spans="1:26">
      <c r="A70" s="8">
        <v>5</v>
      </c>
      <c r="B70" s="50" t="s">
        <v>674</v>
      </c>
      <c r="C70" s="8" t="str">
        <f t="shared" si="0"/>
        <v>林明涛未按照规定组织危大工程验收行政处罚案</v>
      </c>
      <c r="D70" s="38"/>
      <c r="E70" s="8" t="s">
        <v>675</v>
      </c>
      <c r="F70" s="8" t="s">
        <v>349</v>
      </c>
      <c r="G70" s="106" t="s">
        <v>676</v>
      </c>
      <c r="H70" s="5" t="s">
        <v>669</v>
      </c>
      <c r="I70" s="47" t="s">
        <v>677</v>
      </c>
      <c r="J70" s="42" t="s">
        <v>678</v>
      </c>
      <c r="K70" s="9" t="s">
        <v>679</v>
      </c>
      <c r="L70" s="48">
        <v>43970</v>
      </c>
      <c r="M70" s="48">
        <v>44005</v>
      </c>
      <c r="N70" s="45" t="s">
        <v>241</v>
      </c>
      <c r="O70" s="49">
        <v>0.5</v>
      </c>
      <c r="P70" s="50">
        <v>44018</v>
      </c>
      <c r="Q70" s="45" t="s">
        <v>680</v>
      </c>
      <c r="R70" s="5" t="s">
        <v>316</v>
      </c>
      <c r="S70" s="67">
        <v>44010</v>
      </c>
      <c r="T70" s="67">
        <v>44019</v>
      </c>
      <c r="U70" s="8" t="s">
        <v>495</v>
      </c>
      <c r="V70" s="9" t="s">
        <v>529</v>
      </c>
      <c r="W70" s="67">
        <v>44032</v>
      </c>
      <c r="X70" s="50"/>
      <c r="Y70" s="18"/>
      <c r="Z70" s="17" t="s">
        <v>110</v>
      </c>
    </row>
    <row r="71" s="17" customFormat="1" ht="71.25" spans="1:26">
      <c r="A71" s="8">
        <v>6</v>
      </c>
      <c r="B71" s="50" t="s">
        <v>681</v>
      </c>
      <c r="C71" s="8" t="str">
        <f t="shared" si="0"/>
        <v>王烨炜未按照规定组织危大工程验收行政处罚案</v>
      </c>
      <c r="D71" s="38"/>
      <c r="E71" s="8" t="s">
        <v>682</v>
      </c>
      <c r="F71" s="8" t="s">
        <v>356</v>
      </c>
      <c r="G71" s="106" t="s">
        <v>683</v>
      </c>
      <c r="H71" s="5" t="s">
        <v>669</v>
      </c>
      <c r="I71" s="47" t="s">
        <v>684</v>
      </c>
      <c r="J71" s="42" t="s">
        <v>685</v>
      </c>
      <c r="K71" s="9" t="s">
        <v>686</v>
      </c>
      <c r="L71" s="48">
        <v>43970</v>
      </c>
      <c r="M71" s="48">
        <v>44005</v>
      </c>
      <c r="N71" s="45" t="s">
        <v>241</v>
      </c>
      <c r="O71" s="49">
        <v>0.5</v>
      </c>
      <c r="P71" s="50">
        <v>44018</v>
      </c>
      <c r="Q71" s="45" t="s">
        <v>687</v>
      </c>
      <c r="R71" s="5" t="s">
        <v>316</v>
      </c>
      <c r="S71" s="67">
        <v>44010</v>
      </c>
      <c r="T71" s="67">
        <v>44019</v>
      </c>
      <c r="U71" s="8" t="s">
        <v>495</v>
      </c>
      <c r="V71" s="9" t="s">
        <v>529</v>
      </c>
      <c r="W71" s="67">
        <v>44032</v>
      </c>
      <c r="X71" s="50"/>
      <c r="Y71" s="18"/>
      <c r="Z71" s="17" t="s">
        <v>110</v>
      </c>
    </row>
    <row r="72" s="17" customFormat="1" ht="85.5" spans="1:26">
      <c r="A72" s="8">
        <v>7</v>
      </c>
      <c r="B72" s="50" t="s">
        <v>688</v>
      </c>
      <c r="C72" s="8" t="s">
        <v>689</v>
      </c>
      <c r="D72" s="37" t="s">
        <v>690</v>
      </c>
      <c r="E72" s="7" t="s">
        <v>691</v>
      </c>
      <c r="F72" s="8" t="s">
        <v>692</v>
      </c>
      <c r="G72" s="106" t="s">
        <v>693</v>
      </c>
      <c r="H72" s="5" t="s">
        <v>694</v>
      </c>
      <c r="I72" s="47" t="s">
        <v>695</v>
      </c>
      <c r="J72" s="42" t="s">
        <v>696</v>
      </c>
      <c r="K72" s="9" t="s">
        <v>697</v>
      </c>
      <c r="L72" s="48">
        <v>43972</v>
      </c>
      <c r="M72" s="48">
        <v>44020</v>
      </c>
      <c r="N72" s="45" t="s">
        <v>241</v>
      </c>
      <c r="O72" s="49">
        <v>0.3</v>
      </c>
      <c r="P72" s="50">
        <v>44032</v>
      </c>
      <c r="Q72" s="45" t="s">
        <v>698</v>
      </c>
      <c r="R72" s="5" t="s">
        <v>411</v>
      </c>
      <c r="S72" s="67">
        <v>44027</v>
      </c>
      <c r="T72" s="67">
        <v>44027</v>
      </c>
      <c r="U72" s="8" t="s">
        <v>495</v>
      </c>
      <c r="V72" s="67" t="s">
        <v>699</v>
      </c>
      <c r="W72" s="67">
        <v>44032</v>
      </c>
      <c r="X72" s="50"/>
      <c r="Y72" s="18"/>
      <c r="Z72" s="17" t="s">
        <v>110</v>
      </c>
    </row>
    <row r="73" s="17" customFormat="1" ht="99.75" spans="1:26">
      <c r="A73" s="8">
        <v>8</v>
      </c>
      <c r="B73" s="56" t="s">
        <v>700</v>
      </c>
      <c r="C73" s="32" t="s">
        <v>701</v>
      </c>
      <c r="D73" s="57" t="s">
        <v>702</v>
      </c>
      <c r="E73" s="32" t="s">
        <v>703</v>
      </c>
      <c r="F73" s="32" t="s">
        <v>704</v>
      </c>
      <c r="G73" s="108" t="s">
        <v>705</v>
      </c>
      <c r="H73" s="32" t="s">
        <v>706</v>
      </c>
      <c r="I73" s="43" t="s">
        <v>707</v>
      </c>
      <c r="J73" s="43" t="s">
        <v>708</v>
      </c>
      <c r="K73" s="53" t="s">
        <v>709</v>
      </c>
      <c r="L73" s="64">
        <v>43978</v>
      </c>
      <c r="M73" s="64">
        <v>44014</v>
      </c>
      <c r="N73" s="65" t="s">
        <v>241</v>
      </c>
      <c r="O73" s="66">
        <v>0.3</v>
      </c>
      <c r="P73" s="53"/>
      <c r="Q73" s="65" t="s">
        <v>710</v>
      </c>
      <c r="R73" s="32" t="s">
        <v>290</v>
      </c>
      <c r="S73" s="56" t="s">
        <v>700</v>
      </c>
      <c r="T73" s="56" t="s">
        <v>700</v>
      </c>
      <c r="U73" s="56" t="s">
        <v>700</v>
      </c>
      <c r="V73" s="56" t="s">
        <v>700</v>
      </c>
      <c r="W73" s="68" t="s">
        <v>711</v>
      </c>
      <c r="X73" s="53"/>
      <c r="Y73" s="18"/>
      <c r="Z73" s="17" t="s">
        <v>110</v>
      </c>
    </row>
    <row r="74" s="17" customFormat="1" ht="57" spans="1:26">
      <c r="A74" s="8">
        <v>9</v>
      </c>
      <c r="B74" s="50" t="s">
        <v>712</v>
      </c>
      <c r="C74" s="8" t="str">
        <f t="shared" ref="C74:C76" si="1">_xlfn.CONCAT(E74,H74,"行政处罚案")</f>
        <v>远洋国际建设有限公司未按照规定组织危大工程验收行政处罚案</v>
      </c>
      <c r="D74" s="38" t="s">
        <v>713</v>
      </c>
      <c r="E74" s="8" t="s">
        <v>714</v>
      </c>
      <c r="F74" s="8" t="s">
        <v>256</v>
      </c>
      <c r="G74" s="107" t="s">
        <v>715</v>
      </c>
      <c r="H74" s="8" t="s">
        <v>669</v>
      </c>
      <c r="I74" s="47" t="s">
        <v>716</v>
      </c>
      <c r="J74" s="42" t="s">
        <v>717</v>
      </c>
      <c r="K74" s="5" t="s">
        <v>718</v>
      </c>
      <c r="L74" s="48">
        <v>44026</v>
      </c>
      <c r="M74" s="48">
        <v>44056</v>
      </c>
      <c r="N74" s="45" t="s">
        <v>241</v>
      </c>
      <c r="O74" s="49">
        <v>3</v>
      </c>
      <c r="P74" s="50">
        <v>44085</v>
      </c>
      <c r="Q74" s="109" t="s">
        <v>719</v>
      </c>
      <c r="R74" s="5" t="s">
        <v>316</v>
      </c>
      <c r="S74" s="67">
        <v>44060</v>
      </c>
      <c r="T74" s="67">
        <f t="shared" ref="T74:T76" si="2">+$M74+5</f>
        <v>44061</v>
      </c>
      <c r="U74" s="67" t="s">
        <v>42</v>
      </c>
      <c r="V74" s="67" t="s">
        <v>720</v>
      </c>
      <c r="W74" s="67">
        <v>44062</v>
      </c>
      <c r="X74" s="9"/>
      <c r="Y74" s="18"/>
      <c r="Z74" s="17" t="s">
        <v>110</v>
      </c>
    </row>
    <row r="75" s="17" customFormat="1" ht="57" spans="1:26">
      <c r="A75" s="8">
        <v>10</v>
      </c>
      <c r="B75" s="50" t="s">
        <v>721</v>
      </c>
      <c r="C75" s="8" t="str">
        <f t="shared" si="1"/>
        <v>黄灵俊未按照规定组织危大工程验收行政处罚案</v>
      </c>
      <c r="D75" s="38"/>
      <c r="E75" s="8" t="s">
        <v>722</v>
      </c>
      <c r="F75" s="8" t="s">
        <v>349</v>
      </c>
      <c r="G75" s="107" t="s">
        <v>723</v>
      </c>
      <c r="H75" s="8" t="s">
        <v>669</v>
      </c>
      <c r="I75" s="47" t="s">
        <v>724</v>
      </c>
      <c r="J75" s="42" t="s">
        <v>725</v>
      </c>
      <c r="K75" s="5" t="s">
        <v>726</v>
      </c>
      <c r="L75" s="48">
        <v>44026</v>
      </c>
      <c r="M75" s="48">
        <v>44056</v>
      </c>
      <c r="N75" s="45" t="s">
        <v>241</v>
      </c>
      <c r="O75" s="49">
        <v>0.5</v>
      </c>
      <c r="P75" s="50">
        <v>44085</v>
      </c>
      <c r="Q75" s="109" t="s">
        <v>727</v>
      </c>
      <c r="R75" s="5" t="s">
        <v>316</v>
      </c>
      <c r="S75" s="67">
        <v>44060</v>
      </c>
      <c r="T75" s="67">
        <f t="shared" si="2"/>
        <v>44061</v>
      </c>
      <c r="U75" s="67" t="s">
        <v>42</v>
      </c>
      <c r="V75" s="67" t="s">
        <v>529</v>
      </c>
      <c r="W75" s="67">
        <v>44062</v>
      </c>
      <c r="X75" s="50"/>
      <c r="Y75" s="18"/>
      <c r="Z75" s="17" t="s">
        <v>110</v>
      </c>
    </row>
    <row r="76" s="17" customFormat="1" ht="57" spans="1:26">
      <c r="A76" s="8">
        <v>11</v>
      </c>
      <c r="B76" s="50" t="s">
        <v>728</v>
      </c>
      <c r="C76" s="8" t="str">
        <f t="shared" si="1"/>
        <v>姜海建未按照规定组织危大工程验收行政处罚案</v>
      </c>
      <c r="D76" s="38"/>
      <c r="E76" s="8" t="s">
        <v>729</v>
      </c>
      <c r="F76" s="8" t="s">
        <v>356</v>
      </c>
      <c r="G76" s="107" t="s">
        <v>730</v>
      </c>
      <c r="H76" s="8" t="s">
        <v>669</v>
      </c>
      <c r="I76" s="47" t="s">
        <v>731</v>
      </c>
      <c r="J76" s="42" t="s">
        <v>732</v>
      </c>
      <c r="K76" s="5" t="s">
        <v>733</v>
      </c>
      <c r="L76" s="48">
        <v>44026</v>
      </c>
      <c r="M76" s="48">
        <v>44056</v>
      </c>
      <c r="N76" s="45" t="s">
        <v>241</v>
      </c>
      <c r="O76" s="49">
        <v>0.5</v>
      </c>
      <c r="P76" s="50">
        <v>44085</v>
      </c>
      <c r="Q76" s="109" t="s">
        <v>734</v>
      </c>
      <c r="R76" s="5" t="s">
        <v>316</v>
      </c>
      <c r="S76" s="67">
        <v>44060</v>
      </c>
      <c r="T76" s="67">
        <f t="shared" si="2"/>
        <v>44061</v>
      </c>
      <c r="U76" s="67" t="s">
        <v>42</v>
      </c>
      <c r="V76" s="67" t="s">
        <v>529</v>
      </c>
      <c r="W76" s="67">
        <v>44062</v>
      </c>
      <c r="X76" s="50"/>
      <c r="Y76" s="18"/>
      <c r="Z76" s="17" t="s">
        <v>110</v>
      </c>
    </row>
    <row r="77" s="17" customFormat="1" ht="71.25" spans="1:26">
      <c r="A77" s="8">
        <v>12</v>
      </c>
      <c r="B77" s="8" t="s">
        <v>735</v>
      </c>
      <c r="C77" s="8" t="s">
        <v>736</v>
      </c>
      <c r="D77" s="38" t="s">
        <v>616</v>
      </c>
      <c r="E77" s="8" t="s">
        <v>737</v>
      </c>
      <c r="F77" s="8" t="s">
        <v>692</v>
      </c>
      <c r="G77" s="107" t="s">
        <v>738</v>
      </c>
      <c r="H77" s="8" t="s">
        <v>739</v>
      </c>
      <c r="I77" s="47" t="s">
        <v>740</v>
      </c>
      <c r="J77" s="42" t="s">
        <v>708</v>
      </c>
      <c r="K77" s="5" t="s">
        <v>741</v>
      </c>
      <c r="L77" s="48">
        <v>44048</v>
      </c>
      <c r="M77" s="48">
        <v>44101</v>
      </c>
      <c r="N77" s="45" t="s">
        <v>241</v>
      </c>
      <c r="O77" s="49">
        <v>0.3</v>
      </c>
      <c r="P77" s="50">
        <v>44125</v>
      </c>
      <c r="Q77" s="109" t="s">
        <v>742</v>
      </c>
      <c r="R77" s="5" t="s">
        <v>290</v>
      </c>
      <c r="S77" s="67">
        <v>44103</v>
      </c>
      <c r="T77" s="67">
        <v>44103</v>
      </c>
      <c r="U77" s="67" t="s">
        <v>42</v>
      </c>
      <c r="V77" s="67">
        <v>44103</v>
      </c>
      <c r="W77" s="67">
        <v>44103</v>
      </c>
      <c r="X77" s="50"/>
      <c r="Y77" s="18"/>
      <c r="Z77" s="17" t="s">
        <v>110</v>
      </c>
    </row>
    <row r="78" s="17" customFormat="1" ht="71.25" spans="1:26">
      <c r="A78" s="8">
        <v>13</v>
      </c>
      <c r="B78" s="8" t="s">
        <v>743</v>
      </c>
      <c r="C78" s="8" t="s">
        <v>744</v>
      </c>
      <c r="D78" s="38" t="s">
        <v>745</v>
      </c>
      <c r="E78" s="8" t="s">
        <v>746</v>
      </c>
      <c r="F78" s="8" t="s">
        <v>256</v>
      </c>
      <c r="G78" s="107" t="s">
        <v>747</v>
      </c>
      <c r="H78" s="8" t="s">
        <v>744</v>
      </c>
      <c r="I78" s="47" t="s">
        <v>748</v>
      </c>
      <c r="J78" s="42" t="s">
        <v>749</v>
      </c>
      <c r="K78" s="5" t="s">
        <v>750</v>
      </c>
      <c r="L78" s="44">
        <v>44117</v>
      </c>
      <c r="M78" s="48">
        <v>44144</v>
      </c>
      <c r="N78" s="45" t="s">
        <v>241</v>
      </c>
      <c r="O78" s="49">
        <v>2</v>
      </c>
      <c r="P78" s="53"/>
      <c r="Q78" s="50"/>
      <c r="R78" s="5" t="s">
        <v>411</v>
      </c>
      <c r="S78" s="67">
        <v>44148</v>
      </c>
      <c r="T78" s="67">
        <v>44148</v>
      </c>
      <c r="U78" s="67" t="s">
        <v>42</v>
      </c>
      <c r="V78" s="67">
        <v>44151</v>
      </c>
      <c r="W78" s="67">
        <v>44151</v>
      </c>
      <c r="X78" s="9"/>
      <c r="Y78" s="18"/>
      <c r="Z78" s="17" t="s">
        <v>110</v>
      </c>
    </row>
    <row r="79" s="17" customFormat="1" ht="71.25" spans="1:26">
      <c r="A79" s="8">
        <v>14</v>
      </c>
      <c r="B79" s="8" t="s">
        <v>743</v>
      </c>
      <c r="C79" s="8" t="s">
        <v>751</v>
      </c>
      <c r="D79" s="38"/>
      <c r="E79" s="7" t="s">
        <v>752</v>
      </c>
      <c r="F79" s="8" t="s">
        <v>349</v>
      </c>
      <c r="G79" s="106" t="s">
        <v>753</v>
      </c>
      <c r="H79" s="8" t="s">
        <v>754</v>
      </c>
      <c r="I79" s="47" t="s">
        <v>755</v>
      </c>
      <c r="J79" s="42" t="s">
        <v>756</v>
      </c>
      <c r="K79" s="5" t="s">
        <v>757</v>
      </c>
      <c r="L79" s="44">
        <v>44117</v>
      </c>
      <c r="M79" s="48">
        <v>44144</v>
      </c>
      <c r="N79" s="45" t="s">
        <v>241</v>
      </c>
      <c r="O79" s="49">
        <v>0.3</v>
      </c>
      <c r="P79" s="53"/>
      <c r="Q79" s="50"/>
      <c r="R79" s="5" t="s">
        <v>411</v>
      </c>
      <c r="S79" s="67">
        <v>44148</v>
      </c>
      <c r="T79" s="67">
        <v>44148</v>
      </c>
      <c r="U79" s="67" t="s">
        <v>42</v>
      </c>
      <c r="V79" s="67">
        <v>44151</v>
      </c>
      <c r="W79" s="67">
        <v>44151</v>
      </c>
      <c r="X79" s="9"/>
      <c r="Y79" s="18"/>
      <c r="Z79" s="17" t="s">
        <v>110</v>
      </c>
    </row>
    <row r="80" s="17" customFormat="1" ht="71.25" spans="1:26">
      <c r="A80" s="8">
        <v>15</v>
      </c>
      <c r="B80" s="8" t="s">
        <v>743</v>
      </c>
      <c r="C80" s="8" t="s">
        <v>758</v>
      </c>
      <c r="D80" s="38"/>
      <c r="E80" s="5" t="s">
        <v>759</v>
      </c>
      <c r="F80" s="8" t="s">
        <v>356</v>
      </c>
      <c r="G80" s="107" t="s">
        <v>760</v>
      </c>
      <c r="H80" s="8" t="s">
        <v>761</v>
      </c>
      <c r="I80" s="47" t="s">
        <v>762</v>
      </c>
      <c r="J80" s="42" t="s">
        <v>763</v>
      </c>
      <c r="K80" s="5" t="s">
        <v>764</v>
      </c>
      <c r="L80" s="44">
        <v>44117</v>
      </c>
      <c r="M80" s="48">
        <v>44144</v>
      </c>
      <c r="N80" s="45" t="s">
        <v>241</v>
      </c>
      <c r="O80" s="49">
        <v>0.3</v>
      </c>
      <c r="P80" s="53"/>
      <c r="Q80" s="50"/>
      <c r="R80" s="5" t="s">
        <v>411</v>
      </c>
      <c r="S80" s="67">
        <v>44148</v>
      </c>
      <c r="T80" s="67">
        <v>44148</v>
      </c>
      <c r="U80" s="67" t="s">
        <v>42</v>
      </c>
      <c r="V80" s="67">
        <v>44151</v>
      </c>
      <c r="W80" s="67">
        <v>44151</v>
      </c>
      <c r="X80" s="9"/>
      <c r="Y80" s="18"/>
      <c r="Z80" s="17" t="s">
        <v>110</v>
      </c>
    </row>
    <row r="81" s="18" customFormat="1" ht="57" spans="1:26">
      <c r="A81" s="8" t="s">
        <v>765</v>
      </c>
      <c r="B81" s="58">
        <v>20203000007</v>
      </c>
      <c r="C81" s="8" t="s">
        <v>642</v>
      </c>
      <c r="D81" s="38" t="s">
        <v>766</v>
      </c>
      <c r="E81" s="7" t="s">
        <v>767</v>
      </c>
      <c r="F81" s="8" t="s">
        <v>768</v>
      </c>
      <c r="G81" s="107" t="s">
        <v>769</v>
      </c>
      <c r="H81" s="8" t="s">
        <v>642</v>
      </c>
      <c r="I81" s="42" t="s">
        <v>770</v>
      </c>
      <c r="J81" s="42" t="s">
        <v>771</v>
      </c>
      <c r="K81" s="5" t="s">
        <v>772</v>
      </c>
      <c r="L81" s="44">
        <v>44183</v>
      </c>
      <c r="M81" s="44">
        <v>44257</v>
      </c>
      <c r="N81" s="45" t="s">
        <v>241</v>
      </c>
      <c r="O81" s="49">
        <v>0.4999</v>
      </c>
      <c r="P81" s="9">
        <v>44264</v>
      </c>
      <c r="Q81" s="110" t="s">
        <v>773</v>
      </c>
      <c r="R81" s="5" t="s">
        <v>290</v>
      </c>
      <c r="S81" s="67">
        <v>44259</v>
      </c>
      <c r="T81" s="67">
        <v>44260</v>
      </c>
      <c r="U81" s="67" t="s">
        <v>42</v>
      </c>
      <c r="V81" s="67">
        <v>44259</v>
      </c>
      <c r="W81" s="67">
        <v>44259</v>
      </c>
      <c r="X81" s="9" t="s">
        <v>774</v>
      </c>
      <c r="Z81" s="17" t="s">
        <v>110</v>
      </c>
    </row>
    <row r="82" s="18" customFormat="1" ht="99.75" spans="1:26">
      <c r="A82" s="8" t="s">
        <v>765</v>
      </c>
      <c r="B82" s="58">
        <v>20203000009</v>
      </c>
      <c r="C82" s="8" t="s">
        <v>736</v>
      </c>
      <c r="D82" s="37" t="s">
        <v>775</v>
      </c>
      <c r="E82" s="7" t="s">
        <v>776</v>
      </c>
      <c r="F82" s="8" t="s">
        <v>692</v>
      </c>
      <c r="G82" s="106" t="s">
        <v>777</v>
      </c>
      <c r="H82" s="5" t="s">
        <v>736</v>
      </c>
      <c r="I82" s="42" t="s">
        <v>778</v>
      </c>
      <c r="J82" s="42" t="s">
        <v>779</v>
      </c>
      <c r="K82" s="5" t="s">
        <v>780</v>
      </c>
      <c r="L82" s="44">
        <v>44190</v>
      </c>
      <c r="M82" s="44">
        <v>44257</v>
      </c>
      <c r="N82" s="45" t="s">
        <v>241</v>
      </c>
      <c r="O82" s="49">
        <v>0.3</v>
      </c>
      <c r="P82" s="9">
        <v>44264</v>
      </c>
      <c r="Q82" s="50"/>
      <c r="R82" s="5" t="s">
        <v>290</v>
      </c>
      <c r="S82" s="67">
        <v>44259</v>
      </c>
      <c r="T82" s="67">
        <v>44260</v>
      </c>
      <c r="U82" s="67" t="s">
        <v>42</v>
      </c>
      <c r="V82" s="67">
        <v>44259</v>
      </c>
      <c r="W82" s="67">
        <v>44259</v>
      </c>
      <c r="X82" s="9" t="s">
        <v>774</v>
      </c>
      <c r="Z82" s="17" t="s">
        <v>110</v>
      </c>
    </row>
    <row r="83" s="18" customFormat="1" ht="99.75" spans="1:26">
      <c r="A83" s="8">
        <v>1</v>
      </c>
      <c r="B83" s="58">
        <v>20213000011</v>
      </c>
      <c r="C83" s="8" t="s">
        <v>781</v>
      </c>
      <c r="D83" s="37" t="s">
        <v>782</v>
      </c>
      <c r="E83" s="7" t="s">
        <v>783</v>
      </c>
      <c r="F83" s="5" t="s">
        <v>248</v>
      </c>
      <c r="G83" s="106" t="s">
        <v>784</v>
      </c>
      <c r="H83" s="5" t="s">
        <v>534</v>
      </c>
      <c r="I83" s="42" t="s">
        <v>785</v>
      </c>
      <c r="J83" s="42" t="s">
        <v>786</v>
      </c>
      <c r="K83" s="5" t="s">
        <v>787</v>
      </c>
      <c r="L83" s="44">
        <v>44277</v>
      </c>
      <c r="M83" s="44">
        <v>44328</v>
      </c>
      <c r="N83" s="45" t="s">
        <v>241</v>
      </c>
      <c r="O83" s="49">
        <v>1.5</v>
      </c>
      <c r="P83" s="9">
        <v>44340</v>
      </c>
      <c r="Q83" s="50"/>
      <c r="R83" s="5" t="s">
        <v>411</v>
      </c>
      <c r="S83" s="67">
        <v>44329</v>
      </c>
      <c r="T83" s="67">
        <v>44330</v>
      </c>
      <c r="U83" s="67" t="s">
        <v>42</v>
      </c>
      <c r="V83" s="67">
        <v>44336</v>
      </c>
      <c r="W83" s="67">
        <v>44330</v>
      </c>
      <c r="X83" s="9" t="s">
        <v>788</v>
      </c>
      <c r="Z83" s="17" t="s">
        <v>110</v>
      </c>
    </row>
    <row r="84" s="18" customFormat="1" ht="114" spans="1:26">
      <c r="A84" s="8">
        <v>2</v>
      </c>
      <c r="B84" s="58">
        <v>20213000012</v>
      </c>
      <c r="C84" s="8" t="s">
        <v>781</v>
      </c>
      <c r="D84" s="37"/>
      <c r="E84" s="7" t="s">
        <v>789</v>
      </c>
      <c r="F84" s="8" t="s">
        <v>591</v>
      </c>
      <c r="G84" s="106" t="s">
        <v>790</v>
      </c>
      <c r="H84" s="5" t="s">
        <v>534</v>
      </c>
      <c r="I84" s="42" t="s">
        <v>791</v>
      </c>
      <c r="J84" s="42" t="s">
        <v>792</v>
      </c>
      <c r="K84" s="5" t="s">
        <v>793</v>
      </c>
      <c r="L84" s="44">
        <v>44277</v>
      </c>
      <c r="M84" s="44">
        <v>44328</v>
      </c>
      <c r="N84" s="45" t="s">
        <v>241</v>
      </c>
      <c r="O84" s="49">
        <v>0.25</v>
      </c>
      <c r="P84" s="9">
        <v>44340</v>
      </c>
      <c r="Q84" s="50"/>
      <c r="R84" s="5" t="s">
        <v>411</v>
      </c>
      <c r="S84" s="67">
        <v>44329</v>
      </c>
      <c r="T84" s="67">
        <v>44330</v>
      </c>
      <c r="U84" s="67" t="s">
        <v>42</v>
      </c>
      <c r="V84" s="67">
        <v>44336</v>
      </c>
      <c r="W84" s="67">
        <v>44330</v>
      </c>
      <c r="X84" s="9" t="s">
        <v>794</v>
      </c>
      <c r="Z84" s="17" t="s">
        <v>110</v>
      </c>
    </row>
    <row r="85" s="18" customFormat="1" ht="114" spans="1:26">
      <c r="A85" s="8">
        <v>3</v>
      </c>
      <c r="B85" s="58">
        <v>20213000013</v>
      </c>
      <c r="C85" s="8" t="str">
        <f>_xlfn.CONCAT(E85,H85,"行政处罚案")</f>
        <v>黄国林未按规定建立危大工程安全管理档案行政处罚案</v>
      </c>
      <c r="D85" s="37"/>
      <c r="E85" s="7" t="s">
        <v>795</v>
      </c>
      <c r="F85" s="8" t="s">
        <v>599</v>
      </c>
      <c r="G85" s="106" t="s">
        <v>796</v>
      </c>
      <c r="H85" s="5" t="s">
        <v>534</v>
      </c>
      <c r="I85" s="63" t="s">
        <v>797</v>
      </c>
      <c r="J85" s="42" t="s">
        <v>798</v>
      </c>
      <c r="K85" s="5" t="s">
        <v>799</v>
      </c>
      <c r="L85" s="44">
        <v>44277</v>
      </c>
      <c r="M85" s="44">
        <v>44328</v>
      </c>
      <c r="N85" s="45" t="s">
        <v>241</v>
      </c>
      <c r="O85" s="49">
        <v>0.25</v>
      </c>
      <c r="P85" s="9">
        <v>44340</v>
      </c>
      <c r="Q85" s="50"/>
      <c r="R85" s="5" t="s">
        <v>411</v>
      </c>
      <c r="S85" s="67">
        <v>44329</v>
      </c>
      <c r="T85" s="67">
        <v>44330</v>
      </c>
      <c r="U85" s="67" t="s">
        <v>42</v>
      </c>
      <c r="V85" s="67">
        <v>44336</v>
      </c>
      <c r="W85" s="67">
        <v>44330</v>
      </c>
      <c r="X85" s="9" t="s">
        <v>794</v>
      </c>
      <c r="Z85" s="17" t="s">
        <v>110</v>
      </c>
    </row>
    <row r="86" s="18" customFormat="1" ht="57" spans="1:26">
      <c r="A86" s="8">
        <v>4</v>
      </c>
      <c r="B86" s="58">
        <v>20213000055</v>
      </c>
      <c r="C86" s="8" t="s">
        <v>800</v>
      </c>
      <c r="D86" s="37" t="s">
        <v>801</v>
      </c>
      <c r="E86" s="7" t="s">
        <v>198</v>
      </c>
      <c r="F86" s="5" t="s">
        <v>256</v>
      </c>
      <c r="G86" s="106" t="s">
        <v>802</v>
      </c>
      <c r="H86" s="5" t="s">
        <v>803</v>
      </c>
      <c r="I86" s="46" t="s">
        <v>804</v>
      </c>
      <c r="J86" s="42" t="s">
        <v>805</v>
      </c>
      <c r="K86" s="9" t="s">
        <v>806</v>
      </c>
      <c r="L86" s="44">
        <v>44322</v>
      </c>
      <c r="M86" s="44">
        <v>44376</v>
      </c>
      <c r="N86" s="45" t="s">
        <v>241</v>
      </c>
      <c r="O86" s="49">
        <v>2.5</v>
      </c>
      <c r="P86" s="9">
        <v>44382</v>
      </c>
      <c r="Q86" s="50"/>
      <c r="R86" s="5" t="s">
        <v>290</v>
      </c>
      <c r="S86" s="69">
        <v>44382</v>
      </c>
      <c r="T86" s="69">
        <v>44382</v>
      </c>
      <c r="U86" s="67" t="s">
        <v>42</v>
      </c>
      <c r="V86" s="67">
        <v>44378</v>
      </c>
      <c r="W86" s="67">
        <v>44378</v>
      </c>
      <c r="X86" s="9" t="s">
        <v>807</v>
      </c>
      <c r="Z86" s="17" t="s">
        <v>110</v>
      </c>
    </row>
    <row r="87" s="18" customFormat="1" ht="99.75" spans="1:26">
      <c r="A87" s="8">
        <v>5</v>
      </c>
      <c r="B87" s="58">
        <v>20213000064</v>
      </c>
      <c r="C87" s="8" t="s">
        <v>808</v>
      </c>
      <c r="D87" s="37" t="s">
        <v>809</v>
      </c>
      <c r="E87" s="7" t="s">
        <v>810</v>
      </c>
      <c r="F87" s="5" t="s">
        <v>256</v>
      </c>
      <c r="G87" s="106" t="s">
        <v>811</v>
      </c>
      <c r="H87" s="5" t="s">
        <v>669</v>
      </c>
      <c r="I87" s="42" t="s">
        <v>812</v>
      </c>
      <c r="J87" s="42" t="s">
        <v>813</v>
      </c>
      <c r="K87" s="9" t="s">
        <v>814</v>
      </c>
      <c r="L87" s="44">
        <v>44326</v>
      </c>
      <c r="M87" s="44">
        <v>44376</v>
      </c>
      <c r="N87" s="45" t="s">
        <v>241</v>
      </c>
      <c r="O87" s="49">
        <v>1.6</v>
      </c>
      <c r="P87" s="9">
        <v>44396</v>
      </c>
      <c r="Q87" s="9"/>
      <c r="R87" s="5" t="s">
        <v>316</v>
      </c>
      <c r="S87" s="69">
        <v>44382</v>
      </c>
      <c r="T87" s="69">
        <v>44382</v>
      </c>
      <c r="U87" s="67" t="s">
        <v>42</v>
      </c>
      <c r="V87" s="67">
        <v>44378</v>
      </c>
      <c r="W87" s="67">
        <v>44378</v>
      </c>
      <c r="X87" s="9"/>
      <c r="Y87" s="18" t="s">
        <v>815</v>
      </c>
      <c r="Z87" s="17" t="s">
        <v>110</v>
      </c>
    </row>
    <row r="88" s="18" customFormat="1" ht="99.75" spans="1:26">
      <c r="A88" s="8">
        <v>6</v>
      </c>
      <c r="B88" s="58">
        <v>20213000067</v>
      </c>
      <c r="C88" s="8" t="s">
        <v>816</v>
      </c>
      <c r="D88" s="37"/>
      <c r="E88" s="7" t="s">
        <v>817</v>
      </c>
      <c r="F88" s="5" t="s">
        <v>349</v>
      </c>
      <c r="G88" s="106" t="s">
        <v>818</v>
      </c>
      <c r="H88" s="5" t="s">
        <v>669</v>
      </c>
      <c r="I88" s="42" t="s">
        <v>819</v>
      </c>
      <c r="J88" s="42" t="s">
        <v>820</v>
      </c>
      <c r="K88" s="9" t="s">
        <v>821</v>
      </c>
      <c r="L88" s="44">
        <v>44326</v>
      </c>
      <c r="M88" s="44">
        <v>44376</v>
      </c>
      <c r="N88" s="45" t="s">
        <v>241</v>
      </c>
      <c r="O88" s="49">
        <v>0.25</v>
      </c>
      <c r="P88" s="9">
        <v>44396</v>
      </c>
      <c r="Q88" s="9"/>
      <c r="R88" s="5" t="s">
        <v>316</v>
      </c>
      <c r="S88" s="69">
        <v>44382</v>
      </c>
      <c r="T88" s="69">
        <v>44382</v>
      </c>
      <c r="U88" s="67" t="s">
        <v>42</v>
      </c>
      <c r="V88" s="67">
        <v>44378</v>
      </c>
      <c r="W88" s="67">
        <v>44378</v>
      </c>
      <c r="X88" s="9"/>
      <c r="Y88" s="18" t="s">
        <v>815</v>
      </c>
      <c r="Z88" s="17" t="s">
        <v>110</v>
      </c>
    </row>
    <row r="89" s="18" customFormat="1" ht="99.75" spans="1:26">
      <c r="A89" s="8">
        <v>7</v>
      </c>
      <c r="B89" s="58">
        <v>20213000067</v>
      </c>
      <c r="C89" s="8" t="s">
        <v>822</v>
      </c>
      <c r="D89" s="37"/>
      <c r="E89" s="7" t="s">
        <v>823</v>
      </c>
      <c r="F89" s="5" t="s">
        <v>356</v>
      </c>
      <c r="G89" s="106" t="s">
        <v>824</v>
      </c>
      <c r="H89" s="5" t="s">
        <v>669</v>
      </c>
      <c r="I89" s="42" t="s">
        <v>825</v>
      </c>
      <c r="J89" s="42" t="s">
        <v>826</v>
      </c>
      <c r="K89" s="9" t="s">
        <v>827</v>
      </c>
      <c r="L89" s="44">
        <v>44326</v>
      </c>
      <c r="M89" s="44">
        <v>44376</v>
      </c>
      <c r="N89" s="45" t="s">
        <v>241</v>
      </c>
      <c r="O89" s="49">
        <v>0.25</v>
      </c>
      <c r="P89" s="9">
        <v>44396</v>
      </c>
      <c r="Q89" s="9"/>
      <c r="R89" s="5" t="s">
        <v>316</v>
      </c>
      <c r="S89" s="69">
        <v>44382</v>
      </c>
      <c r="T89" s="69">
        <v>44382</v>
      </c>
      <c r="U89" s="67" t="s">
        <v>42</v>
      </c>
      <c r="V89" s="67">
        <v>44378</v>
      </c>
      <c r="W89" s="67">
        <v>44378</v>
      </c>
      <c r="X89" s="9" t="s">
        <v>828</v>
      </c>
      <c r="Y89" s="18" t="s">
        <v>815</v>
      </c>
      <c r="Z89" s="17" t="s">
        <v>110</v>
      </c>
    </row>
    <row r="90" ht="71.25" spans="1:26">
      <c r="A90" s="8">
        <v>8</v>
      </c>
      <c r="B90" s="58" t="s">
        <v>829</v>
      </c>
      <c r="C90" s="8" t="s">
        <v>830</v>
      </c>
      <c r="D90" s="37" t="s">
        <v>831</v>
      </c>
      <c r="E90" s="7" t="s">
        <v>832</v>
      </c>
      <c r="F90" s="5" t="s">
        <v>256</v>
      </c>
      <c r="G90" s="106" t="s">
        <v>833</v>
      </c>
      <c r="H90" s="5" t="s">
        <v>524</v>
      </c>
      <c r="I90" s="46" t="s">
        <v>834</v>
      </c>
      <c r="J90" s="42" t="s">
        <v>835</v>
      </c>
      <c r="K90" s="9" t="s">
        <v>836</v>
      </c>
      <c r="L90" s="44">
        <v>44350</v>
      </c>
      <c r="M90" s="44">
        <v>44389</v>
      </c>
      <c r="N90" s="45" t="s">
        <v>241</v>
      </c>
      <c r="O90" s="49">
        <v>3</v>
      </c>
      <c r="P90" s="9">
        <v>44400</v>
      </c>
      <c r="Q90" s="9"/>
      <c r="R90" s="5" t="s">
        <v>316</v>
      </c>
      <c r="S90" s="69">
        <v>44391</v>
      </c>
      <c r="T90" s="67">
        <v>44392</v>
      </c>
      <c r="U90" s="67" t="s">
        <v>42</v>
      </c>
      <c r="V90" s="67">
        <v>44391</v>
      </c>
      <c r="W90" s="67">
        <v>44392</v>
      </c>
      <c r="X90" s="9" t="s">
        <v>807</v>
      </c>
      <c r="Z90" s="17" t="s">
        <v>110</v>
      </c>
    </row>
    <row r="91" ht="85.5" spans="1:26">
      <c r="A91" s="8">
        <v>9</v>
      </c>
      <c r="B91" s="58" t="s">
        <v>837</v>
      </c>
      <c r="C91" s="8" t="s">
        <v>838</v>
      </c>
      <c r="D91" s="37" t="s">
        <v>839</v>
      </c>
      <c r="E91" s="7" t="s">
        <v>840</v>
      </c>
      <c r="F91" s="5" t="s">
        <v>256</v>
      </c>
      <c r="G91" s="106" t="s">
        <v>841</v>
      </c>
      <c r="H91" s="5" t="s">
        <v>803</v>
      </c>
      <c r="I91" s="46" t="s">
        <v>842</v>
      </c>
      <c r="J91" s="42" t="s">
        <v>843</v>
      </c>
      <c r="K91" s="9" t="s">
        <v>844</v>
      </c>
      <c r="L91" s="44">
        <v>44367</v>
      </c>
      <c r="M91" s="44">
        <v>44390</v>
      </c>
      <c r="N91" s="45" t="s">
        <v>241</v>
      </c>
      <c r="O91" s="49">
        <v>2.5</v>
      </c>
      <c r="P91" s="9">
        <v>44404</v>
      </c>
      <c r="Q91" s="9"/>
      <c r="R91" s="5" t="s">
        <v>411</v>
      </c>
      <c r="S91" s="69">
        <v>44390</v>
      </c>
      <c r="T91" s="67">
        <v>44392</v>
      </c>
      <c r="U91" s="67" t="s">
        <v>42</v>
      </c>
      <c r="V91" s="67">
        <v>44391</v>
      </c>
      <c r="W91" s="67">
        <v>44391</v>
      </c>
      <c r="X91" s="9" t="s">
        <v>807</v>
      </c>
      <c r="Y91" s="20" t="s">
        <v>815</v>
      </c>
      <c r="Z91" s="17" t="s">
        <v>110</v>
      </c>
    </row>
    <row r="92" ht="71.25" spans="1:26">
      <c r="A92" s="8">
        <v>10</v>
      </c>
      <c r="B92" s="58" t="s">
        <v>845</v>
      </c>
      <c r="C92" s="8" t="s">
        <v>846</v>
      </c>
      <c r="D92" s="37" t="s">
        <v>847</v>
      </c>
      <c r="E92" s="7" t="s">
        <v>848</v>
      </c>
      <c r="F92" s="5" t="s">
        <v>256</v>
      </c>
      <c r="G92" s="106" t="s">
        <v>849</v>
      </c>
      <c r="H92" s="5" t="s">
        <v>524</v>
      </c>
      <c r="I92" s="46" t="s">
        <v>850</v>
      </c>
      <c r="J92" s="42" t="s">
        <v>851</v>
      </c>
      <c r="K92" s="9" t="s">
        <v>852</v>
      </c>
      <c r="L92" s="44">
        <v>44367</v>
      </c>
      <c r="M92" s="44">
        <v>44389</v>
      </c>
      <c r="N92" s="45" t="s">
        <v>241</v>
      </c>
      <c r="O92" s="49">
        <v>2.5</v>
      </c>
      <c r="P92" s="9">
        <v>44400</v>
      </c>
      <c r="Q92" s="9"/>
      <c r="R92" s="5" t="s">
        <v>316</v>
      </c>
      <c r="S92" s="69">
        <v>44391</v>
      </c>
      <c r="T92" s="67">
        <v>44392</v>
      </c>
      <c r="U92" s="67" t="s">
        <v>42</v>
      </c>
      <c r="V92" s="67">
        <v>44391</v>
      </c>
      <c r="W92" s="67">
        <v>44392</v>
      </c>
      <c r="X92" s="9"/>
      <c r="Z92" s="17" t="s">
        <v>110</v>
      </c>
    </row>
    <row r="93" ht="85.5" spans="1:26">
      <c r="A93" s="8">
        <v>11</v>
      </c>
      <c r="B93" s="58" t="s">
        <v>853</v>
      </c>
      <c r="C93" s="8" t="s">
        <v>800</v>
      </c>
      <c r="D93" s="37" t="s">
        <v>854</v>
      </c>
      <c r="E93" s="7" t="s">
        <v>855</v>
      </c>
      <c r="F93" s="5" t="s">
        <v>256</v>
      </c>
      <c r="G93" s="106" t="s">
        <v>856</v>
      </c>
      <c r="H93" s="5" t="s">
        <v>803</v>
      </c>
      <c r="I93" s="46" t="s">
        <v>857</v>
      </c>
      <c r="J93" s="42" t="s">
        <v>858</v>
      </c>
      <c r="K93" s="9" t="s">
        <v>859</v>
      </c>
      <c r="L93" s="44">
        <v>44367</v>
      </c>
      <c r="M93" s="44">
        <v>44391</v>
      </c>
      <c r="N93" s="45" t="s">
        <v>241</v>
      </c>
      <c r="O93" s="49">
        <v>2.5</v>
      </c>
      <c r="P93" s="9">
        <v>44396</v>
      </c>
      <c r="Q93" s="9"/>
      <c r="R93" s="5" t="s">
        <v>290</v>
      </c>
      <c r="S93" s="69">
        <v>44393</v>
      </c>
      <c r="T93" s="67">
        <v>44393</v>
      </c>
      <c r="U93" s="67" t="s">
        <v>42</v>
      </c>
      <c r="V93" s="67">
        <v>44393</v>
      </c>
      <c r="W93" s="67">
        <v>44393</v>
      </c>
      <c r="X93" s="9"/>
      <c r="Z93" s="17" t="s">
        <v>110</v>
      </c>
    </row>
    <row r="94" ht="71.25" spans="1:26">
      <c r="A94" s="8">
        <v>12</v>
      </c>
      <c r="B94" s="58" t="s">
        <v>860</v>
      </c>
      <c r="C94" s="8" t="s">
        <v>861</v>
      </c>
      <c r="D94" s="37" t="s">
        <v>862</v>
      </c>
      <c r="E94" s="7" t="s">
        <v>863</v>
      </c>
      <c r="F94" s="5" t="s">
        <v>256</v>
      </c>
      <c r="G94" s="106" t="s">
        <v>864</v>
      </c>
      <c r="H94" s="5" t="s">
        <v>803</v>
      </c>
      <c r="I94" s="46" t="s">
        <v>865</v>
      </c>
      <c r="J94" s="42" t="s">
        <v>866</v>
      </c>
      <c r="K94" s="9" t="s">
        <v>867</v>
      </c>
      <c r="L94" s="44">
        <v>44427</v>
      </c>
      <c r="M94" s="44">
        <v>44466</v>
      </c>
      <c r="N94" s="45" t="s">
        <v>241</v>
      </c>
      <c r="O94" s="49">
        <v>5.5</v>
      </c>
      <c r="P94" s="9">
        <v>44488</v>
      </c>
      <c r="Q94" s="9"/>
      <c r="R94" s="5" t="s">
        <v>290</v>
      </c>
      <c r="S94" s="69">
        <v>44467</v>
      </c>
      <c r="T94" s="67">
        <v>44467</v>
      </c>
      <c r="U94" s="67" t="s">
        <v>42</v>
      </c>
      <c r="V94" s="67">
        <v>44467</v>
      </c>
      <c r="W94" s="67">
        <v>44467</v>
      </c>
      <c r="X94" s="9"/>
      <c r="Z94" s="17" t="s">
        <v>110</v>
      </c>
    </row>
    <row r="95" ht="85.5" customHeight="1" spans="1:26">
      <c r="A95" s="8">
        <v>13</v>
      </c>
      <c r="B95" s="58" t="s">
        <v>868</v>
      </c>
      <c r="C95" s="5" t="s">
        <v>642</v>
      </c>
      <c r="D95" s="37" t="s">
        <v>869</v>
      </c>
      <c r="E95" s="7" t="s">
        <v>870</v>
      </c>
      <c r="F95" s="5" t="s">
        <v>692</v>
      </c>
      <c r="G95" s="106" t="s">
        <v>871</v>
      </c>
      <c r="H95" s="5" t="s">
        <v>642</v>
      </c>
      <c r="I95" s="42" t="s">
        <v>872</v>
      </c>
      <c r="J95" s="42" t="s">
        <v>873</v>
      </c>
      <c r="K95" s="9" t="s">
        <v>874</v>
      </c>
      <c r="L95" s="44">
        <v>44504</v>
      </c>
      <c r="M95" s="44">
        <v>44529</v>
      </c>
      <c r="N95" s="45" t="s">
        <v>241</v>
      </c>
      <c r="O95" s="49">
        <v>0.3</v>
      </c>
      <c r="P95" s="9">
        <v>44546</v>
      </c>
      <c r="Q95" s="9"/>
      <c r="R95" s="5" t="s">
        <v>411</v>
      </c>
      <c r="S95" s="69">
        <v>44530</v>
      </c>
      <c r="T95" s="69">
        <v>44530</v>
      </c>
      <c r="U95" s="67" t="s">
        <v>42</v>
      </c>
      <c r="V95" s="69">
        <v>44530</v>
      </c>
      <c r="W95" s="69">
        <v>44530</v>
      </c>
      <c r="X95" s="9"/>
      <c r="Z95" s="17" t="s">
        <v>110</v>
      </c>
    </row>
    <row r="96" ht="85.5" spans="1:26">
      <c r="A96" s="8">
        <v>14</v>
      </c>
      <c r="B96" s="58" t="s">
        <v>875</v>
      </c>
      <c r="C96" s="8" t="s">
        <v>876</v>
      </c>
      <c r="D96" s="37" t="s">
        <v>877</v>
      </c>
      <c r="E96" s="7" t="s">
        <v>878</v>
      </c>
      <c r="F96" s="5" t="s">
        <v>256</v>
      </c>
      <c r="G96" s="106" t="s">
        <v>879</v>
      </c>
      <c r="H96" s="5" t="s">
        <v>524</v>
      </c>
      <c r="I96" s="46" t="s">
        <v>880</v>
      </c>
      <c r="J96" s="42" t="s">
        <v>881</v>
      </c>
      <c r="K96" s="9" t="s">
        <v>882</v>
      </c>
      <c r="L96" s="44">
        <v>44539</v>
      </c>
      <c r="M96" s="44">
        <v>44578</v>
      </c>
      <c r="N96" s="45" t="s">
        <v>241</v>
      </c>
      <c r="O96" s="49">
        <v>5.5</v>
      </c>
      <c r="P96" s="9">
        <v>44586</v>
      </c>
      <c r="Q96" s="9"/>
      <c r="R96" s="5" t="s">
        <v>316</v>
      </c>
      <c r="S96" s="69">
        <v>44580</v>
      </c>
      <c r="T96" s="69">
        <v>44580</v>
      </c>
      <c r="U96" s="67" t="s">
        <v>42</v>
      </c>
      <c r="V96" s="67">
        <v>44579</v>
      </c>
      <c r="W96" s="67">
        <v>44579</v>
      </c>
      <c r="X96" s="9" t="s">
        <v>883</v>
      </c>
      <c r="Z96" s="17" t="s">
        <v>110</v>
      </c>
    </row>
    <row r="97" ht="114" spans="1:26">
      <c r="A97" s="8">
        <v>15</v>
      </c>
      <c r="B97" s="58" t="s">
        <v>884</v>
      </c>
      <c r="C97" s="8" t="s">
        <v>736</v>
      </c>
      <c r="D97" s="37" t="s">
        <v>885</v>
      </c>
      <c r="E97" s="7" t="s">
        <v>886</v>
      </c>
      <c r="F97" s="5" t="s">
        <v>692</v>
      </c>
      <c r="G97" s="106" t="s">
        <v>887</v>
      </c>
      <c r="H97" s="5" t="s">
        <v>736</v>
      </c>
      <c r="I97" s="42" t="s">
        <v>888</v>
      </c>
      <c r="J97" s="42" t="s">
        <v>889</v>
      </c>
      <c r="K97" s="9" t="s">
        <v>890</v>
      </c>
      <c r="L97" s="44">
        <v>44532</v>
      </c>
      <c r="M97" s="44">
        <v>44558</v>
      </c>
      <c r="N97" s="45" t="s">
        <v>241</v>
      </c>
      <c r="O97" s="49">
        <v>0.3</v>
      </c>
      <c r="P97" s="9">
        <v>44559</v>
      </c>
      <c r="Q97" s="9"/>
      <c r="R97" s="5" t="s">
        <v>290</v>
      </c>
      <c r="S97" s="69">
        <v>44559</v>
      </c>
      <c r="T97" s="69">
        <v>44559</v>
      </c>
      <c r="U97" s="67" t="s">
        <v>42</v>
      </c>
      <c r="V97" s="67">
        <v>44559</v>
      </c>
      <c r="W97" s="67">
        <v>44559</v>
      </c>
      <c r="X97" s="9"/>
      <c r="Z97" s="17" t="s">
        <v>110</v>
      </c>
    </row>
    <row r="98" ht="82.5" customHeight="1" spans="1:26">
      <c r="A98" s="8">
        <v>16</v>
      </c>
      <c r="B98" s="58" t="s">
        <v>891</v>
      </c>
      <c r="C98" s="8" t="s">
        <v>892</v>
      </c>
      <c r="D98" s="59" t="s">
        <v>893</v>
      </c>
      <c r="E98" s="7" t="s">
        <v>894</v>
      </c>
      <c r="F98" s="5" t="s">
        <v>248</v>
      </c>
      <c r="G98" s="106" t="s">
        <v>895</v>
      </c>
      <c r="H98" s="5" t="s">
        <v>892</v>
      </c>
      <c r="I98" s="42" t="s">
        <v>896</v>
      </c>
      <c r="J98" s="42" t="s">
        <v>897</v>
      </c>
      <c r="K98" s="9" t="s">
        <v>898</v>
      </c>
      <c r="L98" s="44">
        <v>44543</v>
      </c>
      <c r="M98" s="44">
        <v>44574</v>
      </c>
      <c r="N98" s="45" t="s">
        <v>241</v>
      </c>
      <c r="O98" s="49">
        <v>1.2</v>
      </c>
      <c r="P98" s="9">
        <v>44585</v>
      </c>
      <c r="Q98" s="9"/>
      <c r="R98" s="5" t="s">
        <v>290</v>
      </c>
      <c r="S98" s="69">
        <v>44575</v>
      </c>
      <c r="T98" s="69">
        <v>44575</v>
      </c>
      <c r="U98" s="67" t="s">
        <v>42</v>
      </c>
      <c r="V98" s="67">
        <v>44575</v>
      </c>
      <c r="W98" s="67">
        <v>44575</v>
      </c>
      <c r="X98" s="9" t="s">
        <v>883</v>
      </c>
      <c r="Z98" s="17" t="s">
        <v>110</v>
      </c>
    </row>
    <row r="99" ht="71.25" spans="1:26">
      <c r="A99" s="8">
        <v>17</v>
      </c>
      <c r="B99" s="58" t="s">
        <v>899</v>
      </c>
      <c r="C99" s="8" t="s">
        <v>892</v>
      </c>
      <c r="D99" s="60"/>
      <c r="E99" s="7" t="s">
        <v>900</v>
      </c>
      <c r="F99" s="5" t="s">
        <v>591</v>
      </c>
      <c r="G99" s="106" t="s">
        <v>901</v>
      </c>
      <c r="H99" s="5" t="s">
        <v>892</v>
      </c>
      <c r="I99" s="42" t="s">
        <v>902</v>
      </c>
      <c r="J99" s="42" t="s">
        <v>903</v>
      </c>
      <c r="K99" s="9" t="s">
        <v>904</v>
      </c>
      <c r="L99" s="44">
        <v>44543</v>
      </c>
      <c r="M99" s="44">
        <v>44574</v>
      </c>
      <c r="N99" s="45" t="s">
        <v>241</v>
      </c>
      <c r="O99" s="49">
        <v>0.2</v>
      </c>
      <c r="P99" s="9">
        <v>44585</v>
      </c>
      <c r="Q99" s="9"/>
      <c r="R99" s="5" t="s">
        <v>290</v>
      </c>
      <c r="S99" s="69">
        <v>44575</v>
      </c>
      <c r="T99" s="69">
        <v>44575</v>
      </c>
      <c r="U99" s="67" t="s">
        <v>42</v>
      </c>
      <c r="V99" s="67">
        <v>44575</v>
      </c>
      <c r="W99" s="67">
        <v>44575</v>
      </c>
      <c r="X99" s="9" t="s">
        <v>883</v>
      </c>
      <c r="Z99" s="17" t="s">
        <v>110</v>
      </c>
    </row>
    <row r="100" ht="85.5" spans="1:26">
      <c r="A100" s="8">
        <v>18</v>
      </c>
      <c r="B100" s="58" t="s">
        <v>905</v>
      </c>
      <c r="C100" s="8" t="s">
        <v>906</v>
      </c>
      <c r="D100" s="37" t="s">
        <v>907</v>
      </c>
      <c r="E100" s="7" t="s">
        <v>908</v>
      </c>
      <c r="F100" s="5" t="s">
        <v>256</v>
      </c>
      <c r="G100" s="106" t="s">
        <v>909</v>
      </c>
      <c r="H100" s="5" t="s">
        <v>524</v>
      </c>
      <c r="I100" s="46" t="s">
        <v>910</v>
      </c>
      <c r="J100" s="42" t="s">
        <v>911</v>
      </c>
      <c r="K100" s="9" t="s">
        <v>912</v>
      </c>
      <c r="L100" s="44">
        <v>44543</v>
      </c>
      <c r="M100" s="44">
        <v>44579</v>
      </c>
      <c r="N100" s="45" t="s">
        <v>241</v>
      </c>
      <c r="O100" s="49">
        <v>9.25</v>
      </c>
      <c r="P100" s="9">
        <v>44586</v>
      </c>
      <c r="Q100" s="9"/>
      <c r="R100" s="5" t="s">
        <v>411</v>
      </c>
      <c r="S100" s="69">
        <v>44580</v>
      </c>
      <c r="T100" s="69">
        <v>44580</v>
      </c>
      <c r="U100" s="67" t="s">
        <v>42</v>
      </c>
      <c r="V100" s="67">
        <v>44579</v>
      </c>
      <c r="W100" s="67">
        <v>44579</v>
      </c>
      <c r="X100" s="9" t="s">
        <v>883</v>
      </c>
      <c r="Z100" s="17" t="s">
        <v>110</v>
      </c>
    </row>
    <row r="101" ht="57" spans="1:26">
      <c r="A101" s="8">
        <v>1</v>
      </c>
      <c r="B101" s="58" t="s">
        <v>913</v>
      </c>
      <c r="C101" s="8" t="s">
        <v>914</v>
      </c>
      <c r="D101" s="59" t="s">
        <v>915</v>
      </c>
      <c r="E101" s="7" t="s">
        <v>192</v>
      </c>
      <c r="F101" s="5" t="s">
        <v>256</v>
      </c>
      <c r="G101" s="106" t="s">
        <v>372</v>
      </c>
      <c r="H101" s="5" t="s">
        <v>534</v>
      </c>
      <c r="I101" s="42" t="s">
        <v>916</v>
      </c>
      <c r="J101" s="42" t="s">
        <v>917</v>
      </c>
      <c r="K101" s="9" t="s">
        <v>918</v>
      </c>
      <c r="L101" s="44">
        <v>44578</v>
      </c>
      <c r="M101" s="44">
        <v>44631</v>
      </c>
      <c r="N101" s="45" t="s">
        <v>241</v>
      </c>
      <c r="O101" s="49">
        <v>1.2</v>
      </c>
      <c r="P101" s="9">
        <v>44642</v>
      </c>
      <c r="Q101" s="9"/>
      <c r="R101" s="5" t="s">
        <v>411</v>
      </c>
      <c r="S101" s="69">
        <v>44634</v>
      </c>
      <c r="T101" s="69">
        <v>44637</v>
      </c>
      <c r="U101" s="67" t="s">
        <v>42</v>
      </c>
      <c r="V101" s="67">
        <v>44637</v>
      </c>
      <c r="W101" s="67">
        <v>44637</v>
      </c>
      <c r="X101" s="9" t="s">
        <v>919</v>
      </c>
      <c r="Z101" s="17" t="s">
        <v>110</v>
      </c>
    </row>
    <row r="102" ht="71.25" spans="1:26">
      <c r="A102" s="8">
        <v>2</v>
      </c>
      <c r="B102" s="58" t="s">
        <v>920</v>
      </c>
      <c r="C102" s="8" t="s">
        <v>914</v>
      </c>
      <c r="D102" s="61"/>
      <c r="E102" s="7" t="s">
        <v>921</v>
      </c>
      <c r="F102" s="5" t="s">
        <v>349</v>
      </c>
      <c r="G102" s="106" t="s">
        <v>922</v>
      </c>
      <c r="H102" s="5" t="s">
        <v>534</v>
      </c>
      <c r="I102" s="42" t="s">
        <v>923</v>
      </c>
      <c r="J102" s="42" t="s">
        <v>924</v>
      </c>
      <c r="K102" s="9" t="s">
        <v>925</v>
      </c>
      <c r="L102" s="44">
        <v>44578</v>
      </c>
      <c r="M102" s="44">
        <v>44631</v>
      </c>
      <c r="N102" s="45" t="s">
        <v>241</v>
      </c>
      <c r="O102" s="49">
        <v>0.2</v>
      </c>
      <c r="P102" s="9">
        <v>44642</v>
      </c>
      <c r="Q102" s="9"/>
      <c r="R102" s="5" t="s">
        <v>411</v>
      </c>
      <c r="S102" s="69">
        <v>44634</v>
      </c>
      <c r="T102" s="69">
        <v>44637</v>
      </c>
      <c r="U102" s="67" t="s">
        <v>42</v>
      </c>
      <c r="V102" s="67">
        <v>44637</v>
      </c>
      <c r="W102" s="67">
        <v>44637</v>
      </c>
      <c r="X102" s="9" t="s">
        <v>919</v>
      </c>
      <c r="Z102" s="17" t="s">
        <v>110</v>
      </c>
    </row>
    <row r="103" ht="85.5" spans="1:26">
      <c r="A103" s="8">
        <v>3</v>
      </c>
      <c r="B103" s="58" t="s">
        <v>926</v>
      </c>
      <c r="C103" s="8" t="s">
        <v>914</v>
      </c>
      <c r="D103" s="60"/>
      <c r="E103" s="7" t="s">
        <v>927</v>
      </c>
      <c r="F103" s="5" t="s">
        <v>356</v>
      </c>
      <c r="G103" s="106" t="s">
        <v>928</v>
      </c>
      <c r="H103" s="5" t="s">
        <v>534</v>
      </c>
      <c r="I103" s="42" t="s">
        <v>929</v>
      </c>
      <c r="J103" s="42" t="s">
        <v>930</v>
      </c>
      <c r="K103" s="9" t="s">
        <v>931</v>
      </c>
      <c r="L103" s="44">
        <v>44578</v>
      </c>
      <c r="M103" s="44">
        <v>44631</v>
      </c>
      <c r="N103" s="45" t="s">
        <v>241</v>
      </c>
      <c r="O103" s="49">
        <v>0.2</v>
      </c>
      <c r="P103" s="9">
        <v>44642</v>
      </c>
      <c r="Q103" s="9"/>
      <c r="R103" s="5" t="s">
        <v>411</v>
      </c>
      <c r="S103" s="69">
        <v>44634</v>
      </c>
      <c r="T103" s="69">
        <v>44637</v>
      </c>
      <c r="U103" s="67" t="s">
        <v>42</v>
      </c>
      <c r="V103" s="67">
        <v>44637</v>
      </c>
      <c r="W103" s="67">
        <v>44637</v>
      </c>
      <c r="X103" s="9" t="s">
        <v>932</v>
      </c>
      <c r="Z103" s="17" t="s">
        <v>110</v>
      </c>
    </row>
    <row r="104" s="19" customFormat="1" ht="71.25" spans="1:26">
      <c r="A104" s="5">
        <v>4</v>
      </c>
      <c r="B104" s="7" t="s">
        <v>933</v>
      </c>
      <c r="C104" s="5" t="s">
        <v>934</v>
      </c>
      <c r="D104" s="37" t="s">
        <v>935</v>
      </c>
      <c r="E104" s="7" t="s">
        <v>936</v>
      </c>
      <c r="F104" s="5" t="s">
        <v>256</v>
      </c>
      <c r="G104" s="106" t="s">
        <v>937</v>
      </c>
      <c r="H104" s="5" t="s">
        <v>938</v>
      </c>
      <c r="I104" s="42" t="s">
        <v>939</v>
      </c>
      <c r="J104" s="42" t="s">
        <v>940</v>
      </c>
      <c r="K104" s="9" t="s">
        <v>941</v>
      </c>
      <c r="L104" s="44">
        <v>44578</v>
      </c>
      <c r="M104" s="44">
        <v>44648</v>
      </c>
      <c r="N104" s="10" t="s">
        <v>474</v>
      </c>
      <c r="O104" s="13">
        <v>1</v>
      </c>
      <c r="P104" s="9">
        <v>44654</v>
      </c>
      <c r="Q104" s="9"/>
      <c r="R104" s="5" t="s">
        <v>316</v>
      </c>
      <c r="S104" s="69">
        <v>44650</v>
      </c>
      <c r="T104" s="69">
        <v>44650</v>
      </c>
      <c r="U104" s="69" t="s">
        <v>42</v>
      </c>
      <c r="V104" s="69">
        <v>44651</v>
      </c>
      <c r="W104" s="69">
        <v>44651</v>
      </c>
      <c r="X104" s="9" t="s">
        <v>942</v>
      </c>
      <c r="Z104" s="17" t="s">
        <v>110</v>
      </c>
    </row>
    <row r="105" ht="71.25" spans="1:28">
      <c r="A105" s="8">
        <v>5</v>
      </c>
      <c r="B105" s="58" t="s">
        <v>943</v>
      </c>
      <c r="C105" s="8" t="s">
        <v>944</v>
      </c>
      <c r="D105" s="37" t="s">
        <v>945</v>
      </c>
      <c r="E105" s="7" t="s">
        <v>946</v>
      </c>
      <c r="F105" s="5" t="s">
        <v>256</v>
      </c>
      <c r="G105" s="106" t="s">
        <v>947</v>
      </c>
      <c r="H105" s="5" t="s">
        <v>948</v>
      </c>
      <c r="I105" s="42" t="s">
        <v>949</v>
      </c>
      <c r="J105" s="42" t="s">
        <v>950</v>
      </c>
      <c r="K105" s="9" t="s">
        <v>951</v>
      </c>
      <c r="L105" s="44">
        <v>44719</v>
      </c>
      <c r="M105" s="44">
        <v>44767</v>
      </c>
      <c r="N105" s="45" t="s">
        <v>241</v>
      </c>
      <c r="O105" s="49">
        <v>5</v>
      </c>
      <c r="P105" s="9">
        <v>44852</v>
      </c>
      <c r="Q105" s="9"/>
      <c r="R105" s="5" t="s">
        <v>316</v>
      </c>
      <c r="S105" s="69">
        <v>44768</v>
      </c>
      <c r="T105" s="69">
        <v>44768</v>
      </c>
      <c r="U105" s="67" t="s">
        <v>42</v>
      </c>
      <c r="V105" s="67">
        <v>44768</v>
      </c>
      <c r="W105" s="67">
        <v>44768</v>
      </c>
      <c r="X105" s="9" t="s">
        <v>952</v>
      </c>
      <c r="Z105" s="17" t="s">
        <v>110</v>
      </c>
      <c r="AB105" s="19"/>
    </row>
    <row r="106" ht="71.25" spans="1:28">
      <c r="A106" s="8">
        <v>6</v>
      </c>
      <c r="B106" s="58" t="s">
        <v>953</v>
      </c>
      <c r="C106" s="8" t="s">
        <v>954</v>
      </c>
      <c r="D106" s="59" t="s">
        <v>955</v>
      </c>
      <c r="E106" s="7" t="s">
        <v>936</v>
      </c>
      <c r="F106" s="5" t="s">
        <v>256</v>
      </c>
      <c r="G106" s="106" t="s">
        <v>937</v>
      </c>
      <c r="H106" s="5" t="s">
        <v>954</v>
      </c>
      <c r="I106" s="42" t="s">
        <v>956</v>
      </c>
      <c r="J106" s="42" t="s">
        <v>957</v>
      </c>
      <c r="K106" s="9" t="s">
        <v>958</v>
      </c>
      <c r="L106" s="44">
        <v>44728</v>
      </c>
      <c r="M106" s="44">
        <v>44757</v>
      </c>
      <c r="N106" s="45" t="s">
        <v>241</v>
      </c>
      <c r="O106" s="49">
        <v>5</v>
      </c>
      <c r="P106" s="9">
        <v>44845</v>
      </c>
      <c r="Q106" s="9"/>
      <c r="R106" s="5" t="s">
        <v>290</v>
      </c>
      <c r="S106" s="67">
        <v>44760</v>
      </c>
      <c r="T106" s="67">
        <v>44760</v>
      </c>
      <c r="U106" s="67" t="s">
        <v>42</v>
      </c>
      <c r="V106" s="67">
        <v>44760</v>
      </c>
      <c r="W106" s="67">
        <v>44760</v>
      </c>
      <c r="X106" s="9" t="s">
        <v>952</v>
      </c>
      <c r="Z106" s="17" t="s">
        <v>110</v>
      </c>
      <c r="AB106" s="19"/>
    </row>
    <row r="107" ht="71.25" spans="1:28">
      <c r="A107" s="8">
        <v>7</v>
      </c>
      <c r="B107" s="58" t="s">
        <v>959</v>
      </c>
      <c r="C107" s="8" t="s">
        <v>960</v>
      </c>
      <c r="D107" s="60"/>
      <c r="E107" s="7" t="s">
        <v>961</v>
      </c>
      <c r="F107" s="5" t="s">
        <v>248</v>
      </c>
      <c r="G107" s="106" t="s">
        <v>962</v>
      </c>
      <c r="H107" s="5" t="s">
        <v>960</v>
      </c>
      <c r="I107" s="42" t="s">
        <v>963</v>
      </c>
      <c r="J107" s="42" t="s">
        <v>964</v>
      </c>
      <c r="K107" s="9" t="s">
        <v>965</v>
      </c>
      <c r="L107" s="44">
        <v>44728</v>
      </c>
      <c r="M107" s="44">
        <v>44757</v>
      </c>
      <c r="N107" s="45" t="s">
        <v>241</v>
      </c>
      <c r="O107" s="49">
        <v>5</v>
      </c>
      <c r="P107" s="9">
        <v>44845</v>
      </c>
      <c r="Q107" s="9"/>
      <c r="R107" s="5" t="s">
        <v>290</v>
      </c>
      <c r="S107" s="67">
        <v>44760</v>
      </c>
      <c r="T107" s="67">
        <v>44760</v>
      </c>
      <c r="U107" s="67" t="s">
        <v>42</v>
      </c>
      <c r="V107" s="67">
        <v>44760</v>
      </c>
      <c r="W107" s="67">
        <v>44760</v>
      </c>
      <c r="X107" s="9" t="s">
        <v>952</v>
      </c>
      <c r="Z107" s="17" t="s">
        <v>110</v>
      </c>
      <c r="AB107" s="19"/>
    </row>
    <row r="108" s="19" customFormat="1" ht="114" spans="1:26">
      <c r="A108" s="8">
        <v>8</v>
      </c>
      <c r="B108" s="7" t="s">
        <v>966</v>
      </c>
      <c r="C108" s="5" t="s">
        <v>967</v>
      </c>
      <c r="D108" s="59" t="s">
        <v>968</v>
      </c>
      <c r="E108" s="7" t="s">
        <v>969</v>
      </c>
      <c r="F108" s="5" t="s">
        <v>256</v>
      </c>
      <c r="G108" s="5" t="s">
        <v>970</v>
      </c>
      <c r="H108" s="5" t="s">
        <v>971</v>
      </c>
      <c r="I108" s="42" t="s">
        <v>972</v>
      </c>
      <c r="J108" s="42" t="s">
        <v>973</v>
      </c>
      <c r="K108" s="9" t="s">
        <v>974</v>
      </c>
      <c r="L108" s="44">
        <v>44735</v>
      </c>
      <c r="M108" s="44">
        <v>44812</v>
      </c>
      <c r="N108" s="45" t="s">
        <v>241</v>
      </c>
      <c r="O108" s="13">
        <v>2.5</v>
      </c>
      <c r="P108" s="9">
        <v>44852</v>
      </c>
      <c r="Q108" s="9"/>
      <c r="R108" s="5" t="s">
        <v>316</v>
      </c>
      <c r="S108" s="69">
        <v>44813</v>
      </c>
      <c r="T108" s="69">
        <v>44813</v>
      </c>
      <c r="U108" s="67" t="s">
        <v>42</v>
      </c>
      <c r="V108" s="69">
        <v>44813</v>
      </c>
      <c r="W108" s="69">
        <v>44813</v>
      </c>
      <c r="X108" s="9" t="s">
        <v>975</v>
      </c>
      <c r="Z108" s="17" t="s">
        <v>110</v>
      </c>
    </row>
    <row r="109" s="19" customFormat="1" ht="128.25" spans="1:26">
      <c r="A109" s="8">
        <v>9</v>
      </c>
      <c r="B109" s="7" t="s">
        <v>976</v>
      </c>
      <c r="C109" s="5" t="s">
        <v>977</v>
      </c>
      <c r="D109" s="61"/>
      <c r="E109" s="7" t="s">
        <v>978</v>
      </c>
      <c r="F109" s="5" t="s">
        <v>349</v>
      </c>
      <c r="G109" s="106" t="s">
        <v>979</v>
      </c>
      <c r="H109" s="5" t="s">
        <v>971</v>
      </c>
      <c r="I109" s="42" t="s">
        <v>980</v>
      </c>
      <c r="J109" s="42" t="s">
        <v>981</v>
      </c>
      <c r="K109" s="9" t="s">
        <v>982</v>
      </c>
      <c r="L109" s="44">
        <v>44735</v>
      </c>
      <c r="M109" s="44">
        <v>44812</v>
      </c>
      <c r="N109" s="45" t="s">
        <v>241</v>
      </c>
      <c r="O109" s="13">
        <v>0.5</v>
      </c>
      <c r="P109" s="9">
        <v>44852</v>
      </c>
      <c r="Q109" s="9"/>
      <c r="R109" s="5" t="s">
        <v>316</v>
      </c>
      <c r="S109" s="69">
        <v>44813</v>
      </c>
      <c r="T109" s="69">
        <v>44813</v>
      </c>
      <c r="U109" s="67" t="s">
        <v>42</v>
      </c>
      <c r="V109" s="69">
        <v>44813</v>
      </c>
      <c r="W109" s="69">
        <v>44813</v>
      </c>
      <c r="X109" s="9" t="s">
        <v>149</v>
      </c>
      <c r="Z109" s="17" t="s">
        <v>110</v>
      </c>
    </row>
    <row r="110" s="19" customFormat="1" ht="114" spans="1:26">
      <c r="A110" s="8">
        <v>10</v>
      </c>
      <c r="B110" s="7" t="s">
        <v>983</v>
      </c>
      <c r="C110" s="5" t="s">
        <v>984</v>
      </c>
      <c r="D110" s="61"/>
      <c r="E110" s="7" t="s">
        <v>985</v>
      </c>
      <c r="F110" s="5" t="s">
        <v>248</v>
      </c>
      <c r="G110" s="5" t="s">
        <v>986</v>
      </c>
      <c r="H110" s="5" t="s">
        <v>971</v>
      </c>
      <c r="I110" s="42" t="s">
        <v>987</v>
      </c>
      <c r="J110" s="42" t="s">
        <v>988</v>
      </c>
      <c r="K110" s="9" t="s">
        <v>989</v>
      </c>
      <c r="L110" s="44">
        <v>44735</v>
      </c>
      <c r="M110" s="44">
        <v>44812</v>
      </c>
      <c r="N110" s="45" t="s">
        <v>241</v>
      </c>
      <c r="O110" s="13">
        <v>2.5</v>
      </c>
      <c r="P110" s="9">
        <v>44852</v>
      </c>
      <c r="Q110" s="9"/>
      <c r="R110" s="5" t="s">
        <v>316</v>
      </c>
      <c r="S110" s="69">
        <v>44813</v>
      </c>
      <c r="T110" s="69">
        <v>44813</v>
      </c>
      <c r="U110" s="67" t="s">
        <v>42</v>
      </c>
      <c r="V110" s="69">
        <v>44813</v>
      </c>
      <c r="W110" s="69">
        <v>44813</v>
      </c>
      <c r="X110" s="9" t="s">
        <v>149</v>
      </c>
      <c r="Z110" s="17" t="s">
        <v>110</v>
      </c>
    </row>
    <row r="111" s="19" customFormat="1" ht="142.5" spans="1:26">
      <c r="A111" s="8">
        <v>11</v>
      </c>
      <c r="B111" s="7" t="s">
        <v>990</v>
      </c>
      <c r="C111" s="5" t="s">
        <v>991</v>
      </c>
      <c r="D111" s="60"/>
      <c r="E111" s="7" t="s">
        <v>992</v>
      </c>
      <c r="F111" s="5" t="s">
        <v>993</v>
      </c>
      <c r="G111" s="106" t="s">
        <v>994</v>
      </c>
      <c r="H111" s="5" t="s">
        <v>971</v>
      </c>
      <c r="I111" s="42" t="s">
        <v>995</v>
      </c>
      <c r="J111" s="42" t="s">
        <v>996</v>
      </c>
      <c r="K111" s="9" t="s">
        <v>997</v>
      </c>
      <c r="L111" s="44">
        <v>44735</v>
      </c>
      <c r="M111" s="44">
        <v>44812</v>
      </c>
      <c r="N111" s="45" t="s">
        <v>241</v>
      </c>
      <c r="O111" s="13">
        <v>0.5</v>
      </c>
      <c r="P111" s="9">
        <v>44852</v>
      </c>
      <c r="Q111" s="9"/>
      <c r="R111" s="5" t="s">
        <v>316</v>
      </c>
      <c r="S111" s="69">
        <v>44813</v>
      </c>
      <c r="T111" s="69">
        <v>44813</v>
      </c>
      <c r="U111" s="67" t="s">
        <v>42</v>
      </c>
      <c r="V111" s="69">
        <v>44813</v>
      </c>
      <c r="W111" s="69">
        <v>44813</v>
      </c>
      <c r="X111" s="9"/>
      <c r="Z111" s="17" t="s">
        <v>110</v>
      </c>
    </row>
    <row r="112" ht="85.5" spans="1:28">
      <c r="A112" s="8">
        <v>12</v>
      </c>
      <c r="B112" s="7" t="s">
        <v>998</v>
      </c>
      <c r="C112" s="8" t="s">
        <v>861</v>
      </c>
      <c r="D112" s="37" t="s">
        <v>999</v>
      </c>
      <c r="E112" s="7" t="s">
        <v>1000</v>
      </c>
      <c r="F112" s="5" t="s">
        <v>248</v>
      </c>
      <c r="G112" s="5" t="s">
        <v>1001</v>
      </c>
      <c r="H112" s="5" t="s">
        <v>861</v>
      </c>
      <c r="I112" s="46" t="s">
        <v>1002</v>
      </c>
      <c r="J112" s="42" t="s">
        <v>1003</v>
      </c>
      <c r="K112" s="9" t="s">
        <v>1004</v>
      </c>
      <c r="L112" s="44">
        <v>44742</v>
      </c>
      <c r="M112" s="44">
        <v>44809</v>
      </c>
      <c r="N112" s="10" t="s">
        <v>241</v>
      </c>
      <c r="O112" s="13">
        <v>5.5</v>
      </c>
      <c r="P112" s="9">
        <v>44939</v>
      </c>
      <c r="Q112" s="9"/>
      <c r="R112" s="5" t="s">
        <v>1005</v>
      </c>
      <c r="S112" s="69">
        <v>44813</v>
      </c>
      <c r="T112" s="69">
        <v>44813</v>
      </c>
      <c r="U112" s="67" t="s">
        <v>42</v>
      </c>
      <c r="V112" s="69">
        <v>44813</v>
      </c>
      <c r="W112" s="69">
        <v>44813</v>
      </c>
      <c r="X112" s="9" t="s">
        <v>1006</v>
      </c>
      <c r="Z112" s="17" t="s">
        <v>110</v>
      </c>
      <c r="AB112" s="19"/>
    </row>
    <row r="113" ht="99.75" spans="1:28">
      <c r="A113" s="8">
        <v>13</v>
      </c>
      <c r="B113" s="58" t="s">
        <v>1007</v>
      </c>
      <c r="C113" s="8" t="s">
        <v>954</v>
      </c>
      <c r="D113" s="62" t="s">
        <v>1008</v>
      </c>
      <c r="E113" s="7" t="s">
        <v>1009</v>
      </c>
      <c r="F113" s="5" t="s">
        <v>248</v>
      </c>
      <c r="G113" s="5" t="s">
        <v>1010</v>
      </c>
      <c r="H113" s="5" t="s">
        <v>954</v>
      </c>
      <c r="I113" s="42" t="s">
        <v>1011</v>
      </c>
      <c r="J113" s="42" t="s">
        <v>1012</v>
      </c>
      <c r="K113" s="9" t="s">
        <v>1013</v>
      </c>
      <c r="L113" s="44">
        <v>44817</v>
      </c>
      <c r="M113" s="44">
        <v>44873</v>
      </c>
      <c r="N113" s="10" t="s">
        <v>241</v>
      </c>
      <c r="O113" s="49">
        <v>5</v>
      </c>
      <c r="P113" s="9">
        <v>44883</v>
      </c>
      <c r="Q113" s="9"/>
      <c r="R113" s="5" t="s">
        <v>290</v>
      </c>
      <c r="S113" s="69">
        <v>44875</v>
      </c>
      <c r="T113" s="69">
        <v>44875</v>
      </c>
      <c r="U113" s="67" t="s">
        <v>42</v>
      </c>
      <c r="V113" s="67">
        <v>44874</v>
      </c>
      <c r="W113" s="67">
        <v>44874</v>
      </c>
      <c r="X113" s="9" t="s">
        <v>1014</v>
      </c>
      <c r="Z113" s="17" t="s">
        <v>110</v>
      </c>
      <c r="AB113" s="19"/>
    </row>
    <row r="114" ht="99.75" spans="1:28">
      <c r="A114" s="8">
        <v>14</v>
      </c>
      <c r="B114" s="58" t="s">
        <v>1015</v>
      </c>
      <c r="C114" s="8" t="s">
        <v>1016</v>
      </c>
      <c r="D114" s="37" t="s">
        <v>1017</v>
      </c>
      <c r="E114" s="7" t="s">
        <v>1018</v>
      </c>
      <c r="F114" s="5" t="s">
        <v>248</v>
      </c>
      <c r="G114" s="5" t="s">
        <v>1019</v>
      </c>
      <c r="H114" s="5" t="s">
        <v>1020</v>
      </c>
      <c r="I114" s="42" t="s">
        <v>1021</v>
      </c>
      <c r="J114" s="42" t="s">
        <v>1022</v>
      </c>
      <c r="K114" s="9" t="s">
        <v>1023</v>
      </c>
      <c r="L114" s="44">
        <v>44817</v>
      </c>
      <c r="M114" s="44">
        <v>44893</v>
      </c>
      <c r="N114" s="10" t="s">
        <v>241</v>
      </c>
      <c r="O114" s="13">
        <v>10</v>
      </c>
      <c r="P114" s="9">
        <v>44942</v>
      </c>
      <c r="Q114" s="9"/>
      <c r="R114" s="5" t="s">
        <v>1005</v>
      </c>
      <c r="S114" s="69">
        <v>44897</v>
      </c>
      <c r="T114" s="69">
        <v>44897</v>
      </c>
      <c r="U114" s="69" t="s">
        <v>42</v>
      </c>
      <c r="V114" s="69">
        <v>44896</v>
      </c>
      <c r="W114" s="69">
        <v>44895</v>
      </c>
      <c r="X114" s="9" t="s">
        <v>1024</v>
      </c>
      <c r="Z114" s="17" t="s">
        <v>110</v>
      </c>
      <c r="AB114" s="19"/>
    </row>
    <row r="115" ht="99.75" spans="1:28">
      <c r="A115" s="8">
        <v>15</v>
      </c>
      <c r="B115" s="58" t="s">
        <v>1025</v>
      </c>
      <c r="C115" s="8" t="s">
        <v>1026</v>
      </c>
      <c r="D115" s="37" t="s">
        <v>1027</v>
      </c>
      <c r="E115" s="7" t="s">
        <v>96</v>
      </c>
      <c r="F115" s="5" t="s">
        <v>256</v>
      </c>
      <c r="G115" s="5" t="s">
        <v>97</v>
      </c>
      <c r="H115" s="5" t="s">
        <v>1028</v>
      </c>
      <c r="I115" s="42" t="s">
        <v>1029</v>
      </c>
      <c r="J115" s="42" t="s">
        <v>1030</v>
      </c>
      <c r="K115" s="9" t="s">
        <v>1031</v>
      </c>
      <c r="L115" s="44">
        <v>44826</v>
      </c>
      <c r="M115" s="44">
        <v>44888</v>
      </c>
      <c r="N115" s="10" t="s">
        <v>241</v>
      </c>
      <c r="O115" s="49">
        <v>5</v>
      </c>
      <c r="P115" s="9">
        <v>44922</v>
      </c>
      <c r="Q115" s="9"/>
      <c r="R115" s="5" t="s">
        <v>316</v>
      </c>
      <c r="S115" s="69">
        <v>44890</v>
      </c>
      <c r="T115" s="69">
        <v>44890</v>
      </c>
      <c r="U115" s="69" t="s">
        <v>42</v>
      </c>
      <c r="V115" s="69">
        <v>44890</v>
      </c>
      <c r="W115" s="67">
        <v>44890</v>
      </c>
      <c r="X115" s="9" t="s">
        <v>1032</v>
      </c>
      <c r="Z115" s="17" t="s">
        <v>110</v>
      </c>
      <c r="AB115" s="19"/>
    </row>
    <row r="116" ht="85.5" spans="1:28">
      <c r="A116" s="8">
        <v>16</v>
      </c>
      <c r="B116" s="58" t="s">
        <v>1033</v>
      </c>
      <c r="C116" s="8" t="s">
        <v>1034</v>
      </c>
      <c r="D116" s="37" t="s">
        <v>1035</v>
      </c>
      <c r="E116" s="7" t="s">
        <v>1036</v>
      </c>
      <c r="F116" s="5" t="s">
        <v>248</v>
      </c>
      <c r="G116" s="5" t="s">
        <v>1037</v>
      </c>
      <c r="H116" s="5" t="s">
        <v>1020</v>
      </c>
      <c r="I116" s="42" t="s">
        <v>1038</v>
      </c>
      <c r="J116" s="42" t="s">
        <v>1039</v>
      </c>
      <c r="K116" s="9" t="s">
        <v>1040</v>
      </c>
      <c r="L116" s="44">
        <v>44823</v>
      </c>
      <c r="M116" s="44">
        <v>44893</v>
      </c>
      <c r="N116" s="10" t="s">
        <v>241</v>
      </c>
      <c r="O116" s="13">
        <v>10</v>
      </c>
      <c r="P116" s="9">
        <v>44942</v>
      </c>
      <c r="Q116" s="9"/>
      <c r="R116" s="5" t="s">
        <v>290</v>
      </c>
      <c r="S116" s="69">
        <v>44897</v>
      </c>
      <c r="T116" s="69">
        <v>44897</v>
      </c>
      <c r="U116" s="69" t="s">
        <v>42</v>
      </c>
      <c r="V116" s="69">
        <v>44896</v>
      </c>
      <c r="W116" s="69">
        <v>44895</v>
      </c>
      <c r="X116" s="9" t="s">
        <v>1024</v>
      </c>
      <c r="Z116" s="17" t="s">
        <v>110</v>
      </c>
      <c r="AB116" s="19"/>
    </row>
    <row r="117" ht="85.5" spans="1:28">
      <c r="A117" s="8">
        <v>17</v>
      </c>
      <c r="B117" s="58" t="s">
        <v>1041</v>
      </c>
      <c r="C117" s="8" t="s">
        <v>1042</v>
      </c>
      <c r="D117" s="37" t="s">
        <v>1043</v>
      </c>
      <c r="E117" s="7" t="s">
        <v>1044</v>
      </c>
      <c r="F117" s="5" t="s">
        <v>248</v>
      </c>
      <c r="G117" s="106" t="s">
        <v>1045</v>
      </c>
      <c r="H117" s="5" t="s">
        <v>1028</v>
      </c>
      <c r="I117" s="42" t="s">
        <v>1046</v>
      </c>
      <c r="J117" s="42" t="s">
        <v>1047</v>
      </c>
      <c r="K117" s="9" t="s">
        <v>1048</v>
      </c>
      <c r="L117" s="44">
        <v>44813</v>
      </c>
      <c r="M117" s="44">
        <v>44883</v>
      </c>
      <c r="N117" s="10" t="s">
        <v>241</v>
      </c>
      <c r="O117" s="49">
        <v>5</v>
      </c>
      <c r="P117" s="9">
        <v>44904</v>
      </c>
      <c r="Q117" s="9"/>
      <c r="R117" s="5" t="s">
        <v>1049</v>
      </c>
      <c r="S117" s="69">
        <v>44886</v>
      </c>
      <c r="T117" s="69">
        <v>44886</v>
      </c>
      <c r="U117" s="67" t="s">
        <v>42</v>
      </c>
      <c r="V117" s="67">
        <v>44886</v>
      </c>
      <c r="W117" s="67">
        <v>44886</v>
      </c>
      <c r="X117" s="9" t="s">
        <v>1032</v>
      </c>
      <c r="Z117" s="17" t="s">
        <v>110</v>
      </c>
      <c r="AB117" s="19"/>
    </row>
    <row r="118" ht="85.5" spans="1:28">
      <c r="A118" s="8">
        <v>18</v>
      </c>
      <c r="B118" s="58" t="s">
        <v>1050</v>
      </c>
      <c r="C118" s="8" t="s">
        <v>1051</v>
      </c>
      <c r="D118" s="37" t="s">
        <v>1052</v>
      </c>
      <c r="E118" s="7" t="s">
        <v>1053</v>
      </c>
      <c r="F118" s="5" t="s">
        <v>256</v>
      </c>
      <c r="G118" s="5" t="s">
        <v>1054</v>
      </c>
      <c r="H118" s="5" t="s">
        <v>1055</v>
      </c>
      <c r="I118" s="42" t="s">
        <v>1056</v>
      </c>
      <c r="J118" s="42" t="s">
        <v>1057</v>
      </c>
      <c r="K118" s="9" t="s">
        <v>1058</v>
      </c>
      <c r="L118" s="44">
        <v>44843</v>
      </c>
      <c r="M118" s="44">
        <v>44901</v>
      </c>
      <c r="N118" s="10" t="s">
        <v>241</v>
      </c>
      <c r="O118" s="13">
        <v>5</v>
      </c>
      <c r="P118" s="9">
        <v>44922</v>
      </c>
      <c r="Q118" s="9"/>
      <c r="R118" s="5" t="s">
        <v>316</v>
      </c>
      <c r="S118" s="69">
        <v>44901</v>
      </c>
      <c r="T118" s="69">
        <v>44901</v>
      </c>
      <c r="U118" s="69" t="s">
        <v>42</v>
      </c>
      <c r="V118" s="69">
        <v>44902</v>
      </c>
      <c r="W118" s="69">
        <v>44902</v>
      </c>
      <c r="X118" s="9" t="s">
        <v>149</v>
      </c>
      <c r="Z118" s="17" t="s">
        <v>110</v>
      </c>
      <c r="AB118" s="19"/>
    </row>
    <row r="119" ht="90" customHeight="1" spans="1:28">
      <c r="A119" s="8">
        <v>19</v>
      </c>
      <c r="B119" s="58" t="s">
        <v>1059</v>
      </c>
      <c r="C119" s="8" t="s">
        <v>1060</v>
      </c>
      <c r="D119" s="59" t="s">
        <v>1061</v>
      </c>
      <c r="E119" s="7" t="s">
        <v>1062</v>
      </c>
      <c r="F119" s="5" t="s">
        <v>248</v>
      </c>
      <c r="G119" s="5" t="s">
        <v>1063</v>
      </c>
      <c r="H119" s="5" t="s">
        <v>1064</v>
      </c>
      <c r="I119" s="42" t="s">
        <v>1065</v>
      </c>
      <c r="J119" s="42" t="s">
        <v>1066</v>
      </c>
      <c r="K119" s="9" t="s">
        <v>1067</v>
      </c>
      <c r="L119" s="44">
        <v>44831</v>
      </c>
      <c r="M119" s="44">
        <v>44893</v>
      </c>
      <c r="N119" s="10" t="s">
        <v>241</v>
      </c>
      <c r="O119" s="13">
        <v>1.2</v>
      </c>
      <c r="P119" s="9">
        <v>44939</v>
      </c>
      <c r="Q119" s="9"/>
      <c r="R119" s="5" t="s">
        <v>290</v>
      </c>
      <c r="S119" s="69">
        <v>44897</v>
      </c>
      <c r="T119" s="69">
        <v>44897</v>
      </c>
      <c r="U119" s="69" t="s">
        <v>42</v>
      </c>
      <c r="V119" s="69">
        <v>44896</v>
      </c>
      <c r="W119" s="69">
        <v>44896</v>
      </c>
      <c r="X119" s="9" t="s">
        <v>1068</v>
      </c>
      <c r="Z119" s="17" t="s">
        <v>110</v>
      </c>
      <c r="AB119" s="19"/>
    </row>
    <row r="120" ht="90" customHeight="1" spans="1:28">
      <c r="A120" s="8">
        <v>20</v>
      </c>
      <c r="B120" s="58" t="s">
        <v>1069</v>
      </c>
      <c r="C120" s="8" t="s">
        <v>1070</v>
      </c>
      <c r="D120" s="60"/>
      <c r="E120" s="7" t="s">
        <v>1071</v>
      </c>
      <c r="F120" s="5" t="s">
        <v>1072</v>
      </c>
      <c r="G120" s="106" t="s">
        <v>1073</v>
      </c>
      <c r="H120" s="5" t="s">
        <v>1074</v>
      </c>
      <c r="I120" s="42" t="s">
        <v>1075</v>
      </c>
      <c r="J120" s="42" t="s">
        <v>1076</v>
      </c>
      <c r="K120" s="9" t="s">
        <v>1077</v>
      </c>
      <c r="L120" s="44">
        <v>44831</v>
      </c>
      <c r="M120" s="44">
        <v>44893</v>
      </c>
      <c r="N120" s="10" t="s">
        <v>241</v>
      </c>
      <c r="O120" s="13">
        <v>0.2</v>
      </c>
      <c r="P120" s="9">
        <v>44939</v>
      </c>
      <c r="Q120" s="9"/>
      <c r="R120" s="5" t="s">
        <v>290</v>
      </c>
      <c r="S120" s="69">
        <v>44897</v>
      </c>
      <c r="T120" s="69">
        <v>44897</v>
      </c>
      <c r="U120" s="69" t="s">
        <v>42</v>
      </c>
      <c r="V120" s="69">
        <v>44896</v>
      </c>
      <c r="W120" s="69">
        <v>44896</v>
      </c>
      <c r="X120" s="9" t="s">
        <v>1068</v>
      </c>
      <c r="Z120" s="17" t="s">
        <v>110</v>
      </c>
      <c r="AB120" s="19"/>
    </row>
    <row r="121" ht="90" customHeight="1" spans="1:24">
      <c r="A121" s="8">
        <v>1</v>
      </c>
      <c r="B121" s="58" t="s">
        <v>1078</v>
      </c>
      <c r="C121" s="8" t="s">
        <v>954</v>
      </c>
      <c r="D121" s="60" t="s">
        <v>1079</v>
      </c>
      <c r="E121" s="7" t="s">
        <v>1080</v>
      </c>
      <c r="F121" s="5" t="s">
        <v>256</v>
      </c>
      <c r="G121" s="106" t="s">
        <v>1081</v>
      </c>
      <c r="H121" s="8" t="s">
        <v>954</v>
      </c>
      <c r="I121" s="42" t="s">
        <v>1082</v>
      </c>
      <c r="J121" s="5" t="s">
        <v>1083</v>
      </c>
      <c r="K121" s="9" t="s">
        <v>1084</v>
      </c>
      <c r="L121" s="44">
        <v>44981</v>
      </c>
      <c r="M121" s="44">
        <v>45030</v>
      </c>
      <c r="N121" s="10" t="s">
        <v>241</v>
      </c>
      <c r="O121" s="13">
        <v>5</v>
      </c>
      <c r="P121" s="9">
        <v>45054</v>
      </c>
      <c r="Q121" s="9"/>
      <c r="R121" s="5" t="s">
        <v>290</v>
      </c>
      <c r="S121" s="69">
        <v>45034</v>
      </c>
      <c r="T121" s="69">
        <v>45034</v>
      </c>
      <c r="U121" s="69" t="s">
        <v>42</v>
      </c>
      <c r="V121" s="69">
        <v>45034</v>
      </c>
      <c r="W121" s="69">
        <v>45034</v>
      </c>
      <c r="X121" s="9" t="s">
        <v>1085</v>
      </c>
    </row>
    <row r="122" ht="90" customHeight="1" spans="1:24">
      <c r="A122" s="8">
        <v>2</v>
      </c>
      <c r="B122" s="58" t="s">
        <v>1086</v>
      </c>
      <c r="C122" s="8" t="s">
        <v>1087</v>
      </c>
      <c r="D122" s="37" t="s">
        <v>1088</v>
      </c>
      <c r="E122" s="7" t="s">
        <v>1089</v>
      </c>
      <c r="F122" s="5" t="s">
        <v>349</v>
      </c>
      <c r="G122" s="106" t="s">
        <v>1090</v>
      </c>
      <c r="H122" s="5" t="s">
        <v>534</v>
      </c>
      <c r="I122" s="42" t="s">
        <v>1091</v>
      </c>
      <c r="J122" s="5" t="s">
        <v>1092</v>
      </c>
      <c r="K122" s="9" t="s">
        <v>1093</v>
      </c>
      <c r="L122" s="44">
        <v>44994</v>
      </c>
      <c r="M122" s="44">
        <v>45054</v>
      </c>
      <c r="N122" s="10" t="s">
        <v>241</v>
      </c>
      <c r="O122" s="13">
        <v>0.2</v>
      </c>
      <c r="P122" s="9">
        <v>45070</v>
      </c>
      <c r="Q122" s="9"/>
      <c r="R122" s="5" t="s">
        <v>411</v>
      </c>
      <c r="S122" s="69">
        <v>45056</v>
      </c>
      <c r="T122" s="69">
        <v>45056</v>
      </c>
      <c r="U122" s="69" t="s">
        <v>42</v>
      </c>
      <c r="V122" s="69">
        <v>45055</v>
      </c>
      <c r="W122" s="69">
        <v>45055</v>
      </c>
      <c r="X122" s="9" t="s">
        <v>1085</v>
      </c>
    </row>
    <row r="123" ht="90" customHeight="1" spans="1:24">
      <c r="A123" s="8">
        <v>3</v>
      </c>
      <c r="B123" s="58" t="s">
        <v>1094</v>
      </c>
      <c r="C123" s="8" t="s">
        <v>1087</v>
      </c>
      <c r="D123" s="37"/>
      <c r="E123" s="7" t="s">
        <v>1095</v>
      </c>
      <c r="F123" s="5" t="s">
        <v>356</v>
      </c>
      <c r="G123" s="106" t="s">
        <v>1096</v>
      </c>
      <c r="H123" s="5" t="s">
        <v>534</v>
      </c>
      <c r="I123" s="42" t="s">
        <v>1097</v>
      </c>
      <c r="J123" s="5" t="s">
        <v>1098</v>
      </c>
      <c r="K123" s="9" t="s">
        <v>1099</v>
      </c>
      <c r="L123" s="44">
        <v>44994</v>
      </c>
      <c r="M123" s="44">
        <v>45054</v>
      </c>
      <c r="N123" s="10" t="s">
        <v>241</v>
      </c>
      <c r="O123" s="13">
        <v>0.2</v>
      </c>
      <c r="P123" s="9">
        <v>45070</v>
      </c>
      <c r="Q123" s="9"/>
      <c r="R123" s="5" t="s">
        <v>411</v>
      </c>
      <c r="S123" s="69">
        <v>45056</v>
      </c>
      <c r="T123" s="69">
        <v>45056</v>
      </c>
      <c r="U123" s="69" t="s">
        <v>42</v>
      </c>
      <c r="V123" s="69">
        <v>45055</v>
      </c>
      <c r="W123" s="69">
        <v>45055</v>
      </c>
      <c r="X123" s="9" t="s">
        <v>1085</v>
      </c>
    </row>
    <row r="124" ht="90" customHeight="1" spans="1:24">
      <c r="A124" s="8">
        <v>4</v>
      </c>
      <c r="B124" s="58" t="s">
        <v>1100</v>
      </c>
      <c r="C124" s="8" t="s">
        <v>1087</v>
      </c>
      <c r="D124" s="37"/>
      <c r="E124" s="7" t="s">
        <v>1101</v>
      </c>
      <c r="F124" s="5" t="s">
        <v>256</v>
      </c>
      <c r="G124" s="106" t="s">
        <v>1102</v>
      </c>
      <c r="H124" s="5" t="s">
        <v>534</v>
      </c>
      <c r="I124" s="42" t="s">
        <v>1103</v>
      </c>
      <c r="J124" s="5" t="s">
        <v>1104</v>
      </c>
      <c r="K124" s="9" t="s">
        <v>1105</v>
      </c>
      <c r="L124" s="44">
        <v>44994</v>
      </c>
      <c r="M124" s="44">
        <v>45054</v>
      </c>
      <c r="N124" s="10" t="s">
        <v>241</v>
      </c>
      <c r="O124" s="13">
        <v>1.2</v>
      </c>
      <c r="P124" s="9">
        <v>45076</v>
      </c>
      <c r="Q124" s="9"/>
      <c r="R124" s="5" t="s">
        <v>411</v>
      </c>
      <c r="S124" s="69">
        <v>45056</v>
      </c>
      <c r="T124" s="69">
        <v>45056</v>
      </c>
      <c r="U124" s="69" t="s">
        <v>42</v>
      </c>
      <c r="V124" s="69">
        <v>45055</v>
      </c>
      <c r="W124" s="69">
        <v>45055</v>
      </c>
      <c r="X124" s="9" t="s">
        <v>1085</v>
      </c>
    </row>
    <row r="125" ht="90" customHeight="1" spans="1:24">
      <c r="A125" s="8">
        <v>5</v>
      </c>
      <c r="B125" s="58" t="s">
        <v>1106</v>
      </c>
      <c r="C125" s="8" t="s">
        <v>1107</v>
      </c>
      <c r="D125" s="61" t="s">
        <v>1108</v>
      </c>
      <c r="E125" s="7" t="s">
        <v>212</v>
      </c>
      <c r="F125" s="5" t="s">
        <v>256</v>
      </c>
      <c r="G125" s="106" t="s">
        <v>1109</v>
      </c>
      <c r="H125" s="5" t="s">
        <v>558</v>
      </c>
      <c r="I125" s="42" t="s">
        <v>1110</v>
      </c>
      <c r="J125" s="5" t="s">
        <v>1111</v>
      </c>
      <c r="K125" s="9" t="s">
        <v>1112</v>
      </c>
      <c r="L125" s="44">
        <v>45001</v>
      </c>
      <c r="M125" s="44">
        <v>45062</v>
      </c>
      <c r="N125" s="10" t="s">
        <v>241</v>
      </c>
      <c r="O125" s="13">
        <v>1.2</v>
      </c>
      <c r="P125" s="9">
        <v>45076</v>
      </c>
      <c r="Q125" s="9"/>
      <c r="R125" s="5" t="s">
        <v>316</v>
      </c>
      <c r="S125" s="69">
        <v>45064</v>
      </c>
      <c r="T125" s="69">
        <v>45064</v>
      </c>
      <c r="U125" s="69" t="s">
        <v>42</v>
      </c>
      <c r="V125" s="69">
        <v>45064</v>
      </c>
      <c r="W125" s="69">
        <v>45064</v>
      </c>
      <c r="X125" s="9" t="s">
        <v>1085</v>
      </c>
    </row>
    <row r="126" ht="90" customHeight="1" spans="1:24">
      <c r="A126" s="8">
        <v>6</v>
      </c>
      <c r="B126" s="58" t="s">
        <v>1113</v>
      </c>
      <c r="C126" s="8" t="s">
        <v>1114</v>
      </c>
      <c r="D126" s="61"/>
      <c r="E126" s="7" t="s">
        <v>1115</v>
      </c>
      <c r="F126" s="5" t="s">
        <v>349</v>
      </c>
      <c r="G126" s="106" t="s">
        <v>1116</v>
      </c>
      <c r="H126" s="5" t="s">
        <v>1117</v>
      </c>
      <c r="I126" s="42" t="s">
        <v>1118</v>
      </c>
      <c r="J126" s="5" t="s">
        <v>1119</v>
      </c>
      <c r="K126" s="9" t="s">
        <v>1120</v>
      </c>
      <c r="L126" s="44">
        <v>45001</v>
      </c>
      <c r="M126" s="44">
        <v>45062</v>
      </c>
      <c r="N126" s="10" t="s">
        <v>241</v>
      </c>
      <c r="O126" s="13">
        <v>0.2</v>
      </c>
      <c r="P126" s="9">
        <v>45076</v>
      </c>
      <c r="Q126" s="9"/>
      <c r="R126" s="5" t="s">
        <v>316</v>
      </c>
      <c r="S126" s="69">
        <v>45064</v>
      </c>
      <c r="T126" s="69">
        <v>45064</v>
      </c>
      <c r="U126" s="69" t="s">
        <v>42</v>
      </c>
      <c r="V126" s="69">
        <v>45064</v>
      </c>
      <c r="W126" s="69">
        <v>45064</v>
      </c>
      <c r="X126" s="9" t="s">
        <v>1085</v>
      </c>
    </row>
    <row r="127" ht="90" customHeight="1" spans="1:24">
      <c r="A127" s="8">
        <v>7</v>
      </c>
      <c r="B127" s="58" t="s">
        <v>1121</v>
      </c>
      <c r="C127" s="8" t="s">
        <v>1122</v>
      </c>
      <c r="D127" s="60"/>
      <c r="E127" s="7" t="s">
        <v>1123</v>
      </c>
      <c r="F127" s="5" t="s">
        <v>356</v>
      </c>
      <c r="G127" s="106" t="s">
        <v>1124</v>
      </c>
      <c r="H127" s="5" t="s">
        <v>1125</v>
      </c>
      <c r="I127" s="42" t="s">
        <v>1126</v>
      </c>
      <c r="J127" s="5" t="s">
        <v>1127</v>
      </c>
      <c r="K127" s="9" t="s">
        <v>1128</v>
      </c>
      <c r="L127" s="44">
        <v>45001</v>
      </c>
      <c r="M127" s="44">
        <v>45062</v>
      </c>
      <c r="N127" s="10" t="s">
        <v>241</v>
      </c>
      <c r="O127" s="13">
        <v>0.2</v>
      </c>
      <c r="P127" s="9">
        <v>45076</v>
      </c>
      <c r="Q127" s="9"/>
      <c r="R127" s="5" t="s">
        <v>316</v>
      </c>
      <c r="S127" s="69">
        <v>45064</v>
      </c>
      <c r="T127" s="69">
        <v>45064</v>
      </c>
      <c r="U127" s="69" t="s">
        <v>42</v>
      </c>
      <c r="V127" s="69">
        <v>45064</v>
      </c>
      <c r="W127" s="69">
        <v>45064</v>
      </c>
      <c r="X127" s="9" t="s">
        <v>1085</v>
      </c>
    </row>
    <row r="128" ht="90" customHeight="1" spans="1:24">
      <c r="A128" s="8">
        <v>8</v>
      </c>
      <c r="B128" s="58" t="s">
        <v>1129</v>
      </c>
      <c r="C128" s="8" t="s">
        <v>1130</v>
      </c>
      <c r="D128" s="60" t="s">
        <v>1131</v>
      </c>
      <c r="E128" s="7" t="s">
        <v>936</v>
      </c>
      <c r="F128" s="5" t="s">
        <v>256</v>
      </c>
      <c r="G128" s="106" t="s">
        <v>937</v>
      </c>
      <c r="H128" s="5" t="s">
        <v>1020</v>
      </c>
      <c r="I128" s="42" t="s">
        <v>1132</v>
      </c>
      <c r="J128" s="5" t="s">
        <v>1133</v>
      </c>
      <c r="K128" s="9" t="s">
        <v>1134</v>
      </c>
      <c r="L128" s="44">
        <v>45009</v>
      </c>
      <c r="M128" s="44">
        <v>45092</v>
      </c>
      <c r="N128" s="10" t="s">
        <v>241</v>
      </c>
      <c r="O128" s="13">
        <v>10</v>
      </c>
      <c r="P128" s="9">
        <v>45111</v>
      </c>
      <c r="Q128" s="9"/>
      <c r="R128" s="5" t="s">
        <v>411</v>
      </c>
      <c r="S128" s="69">
        <v>45093</v>
      </c>
      <c r="T128" s="69">
        <v>45093</v>
      </c>
      <c r="U128" s="69" t="s">
        <v>42</v>
      </c>
      <c r="V128" s="69">
        <v>45093</v>
      </c>
      <c r="W128" s="69">
        <v>45093</v>
      </c>
      <c r="X128" s="9"/>
    </row>
    <row r="129" ht="90" customHeight="1" spans="1:24">
      <c r="A129" s="8">
        <v>9</v>
      </c>
      <c r="B129" s="58" t="s">
        <v>1135</v>
      </c>
      <c r="C129" s="8" t="s">
        <v>1136</v>
      </c>
      <c r="D129" s="61" t="s">
        <v>999</v>
      </c>
      <c r="E129" s="7" t="s">
        <v>1137</v>
      </c>
      <c r="F129" s="5" t="s">
        <v>256</v>
      </c>
      <c r="G129" s="106" t="s">
        <v>1138</v>
      </c>
      <c r="H129" s="5" t="s">
        <v>1020</v>
      </c>
      <c r="I129" s="42" t="s">
        <v>1139</v>
      </c>
      <c r="J129" s="5" t="s">
        <v>1140</v>
      </c>
      <c r="K129" s="9" t="s">
        <v>1141</v>
      </c>
      <c r="L129" s="44">
        <v>45013</v>
      </c>
      <c r="M129" s="44">
        <v>45092</v>
      </c>
      <c r="N129" s="10" t="s">
        <v>241</v>
      </c>
      <c r="O129" s="13">
        <v>10</v>
      </c>
      <c r="P129" s="9">
        <v>45103</v>
      </c>
      <c r="Q129" s="9"/>
      <c r="R129" s="5" t="s">
        <v>411</v>
      </c>
      <c r="S129" s="69">
        <v>45093</v>
      </c>
      <c r="T129" s="69">
        <v>45093</v>
      </c>
      <c r="U129" s="69" t="s">
        <v>42</v>
      </c>
      <c r="V129" s="69">
        <v>45093</v>
      </c>
      <c r="W129" s="69">
        <v>45093</v>
      </c>
      <c r="X129" s="9" t="s">
        <v>1085</v>
      </c>
    </row>
    <row r="130" ht="90" customHeight="1" spans="1:24">
      <c r="A130" s="8">
        <v>10</v>
      </c>
      <c r="B130" s="58" t="s">
        <v>1142</v>
      </c>
      <c r="C130" s="8" t="s">
        <v>1143</v>
      </c>
      <c r="D130" s="60"/>
      <c r="E130" s="7" t="s">
        <v>1144</v>
      </c>
      <c r="F130" s="5" t="s">
        <v>248</v>
      </c>
      <c r="G130" s="106" t="s">
        <v>1145</v>
      </c>
      <c r="H130" s="5" t="s">
        <v>1020</v>
      </c>
      <c r="I130" s="42" t="s">
        <v>1146</v>
      </c>
      <c r="J130" s="5" t="s">
        <v>1147</v>
      </c>
      <c r="K130" s="9" t="s">
        <v>1148</v>
      </c>
      <c r="L130" s="44">
        <v>45013</v>
      </c>
      <c r="M130" s="44">
        <v>45092</v>
      </c>
      <c r="N130" s="10" t="s">
        <v>241</v>
      </c>
      <c r="O130" s="13">
        <v>10</v>
      </c>
      <c r="P130" s="9">
        <v>45111</v>
      </c>
      <c r="Q130" s="9"/>
      <c r="R130" s="5" t="s">
        <v>411</v>
      </c>
      <c r="S130" s="69">
        <v>45093</v>
      </c>
      <c r="T130" s="69">
        <v>45093</v>
      </c>
      <c r="U130" s="69" t="s">
        <v>42</v>
      </c>
      <c r="V130" s="69">
        <v>45093</v>
      </c>
      <c r="W130" s="69">
        <v>45093</v>
      </c>
      <c r="X130" s="9"/>
    </row>
    <row r="131" ht="90" customHeight="1" spans="1:24">
      <c r="A131" s="8">
        <v>11</v>
      </c>
      <c r="B131" s="58" t="s">
        <v>1149</v>
      </c>
      <c r="C131" s="8" t="s">
        <v>1150</v>
      </c>
      <c r="D131" s="37" t="s">
        <v>1151</v>
      </c>
      <c r="E131" s="7" t="s">
        <v>1152</v>
      </c>
      <c r="F131" s="5" t="s">
        <v>248</v>
      </c>
      <c r="G131" s="106" t="s">
        <v>1153</v>
      </c>
      <c r="H131" s="5" t="s">
        <v>954</v>
      </c>
      <c r="I131" s="42" t="s">
        <v>1154</v>
      </c>
      <c r="J131" s="5" t="s">
        <v>1155</v>
      </c>
      <c r="K131" s="9" t="s">
        <v>1156</v>
      </c>
      <c r="L131" s="44">
        <v>45014</v>
      </c>
      <c r="M131" s="44">
        <v>45077</v>
      </c>
      <c r="N131" s="10" t="s">
        <v>241</v>
      </c>
      <c r="O131" s="13">
        <v>5</v>
      </c>
      <c r="P131" s="9">
        <v>45086</v>
      </c>
      <c r="Q131" s="9"/>
      <c r="R131" s="5" t="s">
        <v>290</v>
      </c>
      <c r="S131" s="69">
        <v>45079</v>
      </c>
      <c r="T131" s="69">
        <v>45079</v>
      </c>
      <c r="U131" s="69" t="s">
        <v>42</v>
      </c>
      <c r="V131" s="69">
        <v>45078</v>
      </c>
      <c r="W131" s="69">
        <v>45077</v>
      </c>
      <c r="X131" s="9" t="s">
        <v>1085</v>
      </c>
    </row>
    <row r="132" ht="90" customHeight="1" spans="1:24">
      <c r="A132" s="8">
        <v>12</v>
      </c>
      <c r="B132" s="58" t="s">
        <v>1157</v>
      </c>
      <c r="C132" s="8" t="s">
        <v>1158</v>
      </c>
      <c r="D132" s="59" t="s">
        <v>1159</v>
      </c>
      <c r="E132" s="7" t="s">
        <v>1160</v>
      </c>
      <c r="F132" s="5" t="s">
        <v>248</v>
      </c>
      <c r="G132" s="106" t="s">
        <v>1161</v>
      </c>
      <c r="H132" s="5" t="s">
        <v>1162</v>
      </c>
      <c r="I132" s="42" t="s">
        <v>1163</v>
      </c>
      <c r="J132" s="5" t="s">
        <v>1164</v>
      </c>
      <c r="K132" s="9" t="s">
        <v>1165</v>
      </c>
      <c r="L132" s="44">
        <v>45033</v>
      </c>
      <c r="M132" s="44">
        <v>45112</v>
      </c>
      <c r="N132" s="45" t="s">
        <v>241</v>
      </c>
      <c r="O132" s="13">
        <v>1.2</v>
      </c>
      <c r="P132" s="9">
        <v>45138</v>
      </c>
      <c r="Q132" s="9"/>
      <c r="R132" s="5" t="s">
        <v>290</v>
      </c>
      <c r="S132" s="69">
        <v>45114</v>
      </c>
      <c r="T132" s="69">
        <v>45114</v>
      </c>
      <c r="U132" s="69" t="s">
        <v>42</v>
      </c>
      <c r="V132" s="69">
        <v>45117</v>
      </c>
      <c r="W132" s="69">
        <v>45113</v>
      </c>
      <c r="X132" s="9"/>
    </row>
    <row r="133" ht="90" customHeight="1" spans="1:24">
      <c r="A133" s="8">
        <v>13</v>
      </c>
      <c r="B133" s="58" t="s">
        <v>1166</v>
      </c>
      <c r="C133" s="8" t="s">
        <v>1167</v>
      </c>
      <c r="D133" s="60"/>
      <c r="E133" s="7" t="s">
        <v>1168</v>
      </c>
      <c r="F133" s="5" t="s">
        <v>1169</v>
      </c>
      <c r="G133" s="106" t="s">
        <v>1170</v>
      </c>
      <c r="H133" s="5" t="s">
        <v>1171</v>
      </c>
      <c r="I133" s="42" t="s">
        <v>1172</v>
      </c>
      <c r="J133" s="5" t="s">
        <v>1173</v>
      </c>
      <c r="K133" s="9" t="s">
        <v>1174</v>
      </c>
      <c r="L133" s="44">
        <v>45033</v>
      </c>
      <c r="M133" s="44">
        <v>45112</v>
      </c>
      <c r="N133" s="45" t="s">
        <v>241</v>
      </c>
      <c r="O133" s="13">
        <v>0.2</v>
      </c>
      <c r="P133" s="9">
        <v>45138</v>
      </c>
      <c r="Q133" s="9"/>
      <c r="R133" s="5" t="s">
        <v>290</v>
      </c>
      <c r="S133" s="69">
        <v>45114</v>
      </c>
      <c r="T133" s="69">
        <v>45114</v>
      </c>
      <c r="U133" s="69" t="s">
        <v>42</v>
      </c>
      <c r="V133" s="69">
        <v>45117</v>
      </c>
      <c r="W133" s="69">
        <v>45113</v>
      </c>
      <c r="X133" s="9"/>
    </row>
    <row r="134" ht="90" customHeight="1" spans="1:24">
      <c r="A134" s="8">
        <v>14</v>
      </c>
      <c r="B134" s="58" t="s">
        <v>1175</v>
      </c>
      <c r="C134" s="8" t="s">
        <v>1176</v>
      </c>
      <c r="D134" s="37" t="s">
        <v>1177</v>
      </c>
      <c r="E134" s="7" t="s">
        <v>1178</v>
      </c>
      <c r="F134" s="5" t="s">
        <v>248</v>
      </c>
      <c r="G134" s="106" t="s">
        <v>1179</v>
      </c>
      <c r="H134" s="5" t="s">
        <v>558</v>
      </c>
      <c r="I134" s="42" t="s">
        <v>1180</v>
      </c>
      <c r="J134" s="5" t="s">
        <v>1181</v>
      </c>
      <c r="K134" s="9" t="s">
        <v>1182</v>
      </c>
      <c r="L134" s="44">
        <v>45039</v>
      </c>
      <c r="M134" s="44">
        <v>45105</v>
      </c>
      <c r="N134" s="10" t="s">
        <v>241</v>
      </c>
      <c r="O134" s="13">
        <v>1.2</v>
      </c>
      <c r="P134" s="9">
        <v>45124</v>
      </c>
      <c r="Q134" s="9"/>
      <c r="R134" s="5" t="s">
        <v>316</v>
      </c>
      <c r="S134" s="69">
        <v>45107</v>
      </c>
      <c r="T134" s="69">
        <v>45113</v>
      </c>
      <c r="U134" s="69" t="s">
        <v>42</v>
      </c>
      <c r="V134" s="69">
        <v>45106</v>
      </c>
      <c r="W134" s="69">
        <v>45106</v>
      </c>
      <c r="X134" s="9"/>
    </row>
    <row r="135" ht="90" customHeight="1" spans="1:24">
      <c r="A135" s="8">
        <v>15</v>
      </c>
      <c r="B135" s="58" t="s">
        <v>1183</v>
      </c>
      <c r="C135" s="8" t="s">
        <v>1184</v>
      </c>
      <c r="D135" s="37"/>
      <c r="E135" s="7" t="s">
        <v>1185</v>
      </c>
      <c r="F135" s="5" t="s">
        <v>591</v>
      </c>
      <c r="G135" s="106" t="s">
        <v>1186</v>
      </c>
      <c r="H135" s="5" t="s">
        <v>1117</v>
      </c>
      <c r="I135" s="42" t="s">
        <v>1187</v>
      </c>
      <c r="J135" s="5" t="s">
        <v>1188</v>
      </c>
      <c r="K135" s="9" t="s">
        <v>1189</v>
      </c>
      <c r="L135" s="44">
        <v>45039</v>
      </c>
      <c r="M135" s="44">
        <v>45105</v>
      </c>
      <c r="N135" s="10" t="s">
        <v>241</v>
      </c>
      <c r="O135" s="13">
        <v>0.2</v>
      </c>
      <c r="P135" s="9">
        <v>45124</v>
      </c>
      <c r="Q135" s="9"/>
      <c r="R135" s="5" t="s">
        <v>316</v>
      </c>
      <c r="S135" s="69">
        <v>45107</v>
      </c>
      <c r="T135" s="69">
        <v>45113</v>
      </c>
      <c r="U135" s="69" t="s">
        <v>42</v>
      </c>
      <c r="V135" s="69">
        <v>45106</v>
      </c>
      <c r="W135" s="69">
        <v>45106</v>
      </c>
      <c r="X135" s="9"/>
    </row>
    <row r="136" ht="90" customHeight="1" spans="1:24">
      <c r="A136" s="8">
        <v>16</v>
      </c>
      <c r="B136" s="58" t="s">
        <v>1190</v>
      </c>
      <c r="C136" s="8" t="s">
        <v>1191</v>
      </c>
      <c r="D136" s="37"/>
      <c r="E136" s="7" t="s">
        <v>1192</v>
      </c>
      <c r="F136" s="5" t="s">
        <v>599</v>
      </c>
      <c r="G136" s="106" t="s">
        <v>1193</v>
      </c>
      <c r="H136" s="5" t="s">
        <v>1125</v>
      </c>
      <c r="I136" s="42" t="s">
        <v>1194</v>
      </c>
      <c r="J136" s="5" t="s">
        <v>1195</v>
      </c>
      <c r="K136" s="9" t="s">
        <v>1196</v>
      </c>
      <c r="L136" s="44">
        <v>45039</v>
      </c>
      <c r="M136" s="44">
        <v>45105</v>
      </c>
      <c r="N136" s="10" t="s">
        <v>241</v>
      </c>
      <c r="O136" s="13">
        <v>0.2</v>
      </c>
      <c r="P136" s="9">
        <v>45124</v>
      </c>
      <c r="Q136" s="9"/>
      <c r="R136" s="5" t="s">
        <v>316</v>
      </c>
      <c r="S136" s="69">
        <v>45107</v>
      </c>
      <c r="T136" s="69">
        <v>45113</v>
      </c>
      <c r="U136" s="69" t="s">
        <v>42</v>
      </c>
      <c r="V136" s="69">
        <v>45106</v>
      </c>
      <c r="W136" s="69">
        <v>45106</v>
      </c>
      <c r="X136" s="9"/>
    </row>
    <row r="137" ht="90" customHeight="1" spans="1:24">
      <c r="A137" s="8">
        <v>17</v>
      </c>
      <c r="B137" s="58" t="s">
        <v>1197</v>
      </c>
      <c r="C137" s="8" t="s">
        <v>1198</v>
      </c>
      <c r="D137" s="37" t="s">
        <v>1199</v>
      </c>
      <c r="E137" s="7" t="s">
        <v>255</v>
      </c>
      <c r="F137" s="5" t="s">
        <v>256</v>
      </c>
      <c r="G137" s="106" t="s">
        <v>1200</v>
      </c>
      <c r="H137" s="5" t="s">
        <v>1028</v>
      </c>
      <c r="I137" s="42" t="s">
        <v>1201</v>
      </c>
      <c r="J137" s="5" t="s">
        <v>1202</v>
      </c>
      <c r="K137" s="9" t="s">
        <v>1203</v>
      </c>
      <c r="L137" s="44">
        <v>45054</v>
      </c>
      <c r="M137" s="44">
        <v>45105</v>
      </c>
      <c r="N137" s="10" t="s">
        <v>241</v>
      </c>
      <c r="O137" s="13">
        <v>5</v>
      </c>
      <c r="P137" s="9">
        <v>45124</v>
      </c>
      <c r="Q137" s="9"/>
      <c r="R137" s="5" t="s">
        <v>316</v>
      </c>
      <c r="S137" s="69">
        <v>45107</v>
      </c>
      <c r="T137" s="69">
        <v>45113</v>
      </c>
      <c r="U137" s="69" t="s">
        <v>42</v>
      </c>
      <c r="V137" s="69">
        <v>45106</v>
      </c>
      <c r="W137" s="69">
        <v>45106</v>
      </c>
      <c r="X137" s="9"/>
    </row>
    <row r="138" ht="90" customHeight="1" spans="1:24">
      <c r="A138" s="8">
        <v>18</v>
      </c>
      <c r="B138" s="58" t="s">
        <v>1204</v>
      </c>
      <c r="C138" s="5" t="s">
        <v>1205</v>
      </c>
      <c r="D138" s="37" t="s">
        <v>1206</v>
      </c>
      <c r="E138" s="7" t="s">
        <v>1207</v>
      </c>
      <c r="F138" s="5" t="s">
        <v>256</v>
      </c>
      <c r="G138" s="106" t="s">
        <v>1208</v>
      </c>
      <c r="H138" s="5" t="s">
        <v>1209</v>
      </c>
      <c r="I138" s="42" t="s">
        <v>1210</v>
      </c>
      <c r="J138" s="5" t="s">
        <v>1211</v>
      </c>
      <c r="K138" s="9" t="s">
        <v>1212</v>
      </c>
      <c r="L138" s="44">
        <v>45077</v>
      </c>
      <c r="M138" s="44">
        <v>45153</v>
      </c>
      <c r="N138" s="10" t="s">
        <v>241</v>
      </c>
      <c r="O138" s="13">
        <v>10</v>
      </c>
      <c r="P138" s="9">
        <v>45159</v>
      </c>
      <c r="Q138" s="9"/>
      <c r="R138" s="5" t="s">
        <v>290</v>
      </c>
      <c r="S138" s="69">
        <v>45159</v>
      </c>
      <c r="T138" s="69">
        <v>45159</v>
      </c>
      <c r="U138" s="69" t="s">
        <v>42</v>
      </c>
      <c r="V138" s="69">
        <v>45154</v>
      </c>
      <c r="W138" s="69">
        <v>45154</v>
      </c>
      <c r="X138" s="9"/>
    </row>
    <row r="139" ht="90" customHeight="1" spans="1:24">
      <c r="A139" s="8">
        <v>19</v>
      </c>
      <c r="B139" s="58" t="s">
        <v>1213</v>
      </c>
      <c r="C139" s="8" t="s">
        <v>1214</v>
      </c>
      <c r="D139" s="37" t="s">
        <v>1215</v>
      </c>
      <c r="E139" s="7" t="s">
        <v>1216</v>
      </c>
      <c r="F139" s="5" t="s">
        <v>256</v>
      </c>
      <c r="G139" s="106" t="s">
        <v>1217</v>
      </c>
      <c r="H139" s="5" t="s">
        <v>1218</v>
      </c>
      <c r="I139" s="42" t="s">
        <v>1219</v>
      </c>
      <c r="J139" s="5" t="s">
        <v>1220</v>
      </c>
      <c r="K139" s="9" t="s">
        <v>1221</v>
      </c>
      <c r="L139" s="44">
        <v>45085</v>
      </c>
      <c r="M139" s="44">
        <v>45154</v>
      </c>
      <c r="N139" s="10" t="s">
        <v>241</v>
      </c>
      <c r="O139" s="13">
        <v>5</v>
      </c>
      <c r="P139" s="9">
        <v>45163</v>
      </c>
      <c r="Q139" s="9"/>
      <c r="R139" s="5" t="s">
        <v>316</v>
      </c>
      <c r="S139" s="69">
        <v>45156</v>
      </c>
      <c r="T139" s="69">
        <v>45159</v>
      </c>
      <c r="U139" s="69" t="s">
        <v>42</v>
      </c>
      <c r="V139" s="69">
        <v>45156</v>
      </c>
      <c r="W139" s="69">
        <v>45156</v>
      </c>
      <c r="X139" s="9"/>
    </row>
    <row r="140" ht="90" customHeight="1" spans="1:24">
      <c r="A140" s="8">
        <v>20</v>
      </c>
      <c r="B140" s="58" t="s">
        <v>1222</v>
      </c>
      <c r="C140" s="8" t="s">
        <v>1162</v>
      </c>
      <c r="D140" s="59" t="s">
        <v>1223</v>
      </c>
      <c r="E140" s="7" t="s">
        <v>1224</v>
      </c>
      <c r="F140" s="5" t="s">
        <v>248</v>
      </c>
      <c r="G140" s="106" t="s">
        <v>1225</v>
      </c>
      <c r="H140" s="5" t="s">
        <v>1162</v>
      </c>
      <c r="I140" s="42" t="s">
        <v>1226</v>
      </c>
      <c r="J140" s="5" t="s">
        <v>1227</v>
      </c>
      <c r="K140" s="9" t="s">
        <v>1228</v>
      </c>
      <c r="L140" s="44">
        <v>45092</v>
      </c>
      <c r="M140" s="44">
        <v>45180</v>
      </c>
      <c r="N140" s="45" t="s">
        <v>241</v>
      </c>
      <c r="O140" s="13">
        <v>1.2</v>
      </c>
      <c r="P140" s="9"/>
      <c r="Q140" s="9"/>
      <c r="R140" s="5" t="s">
        <v>290</v>
      </c>
      <c r="S140" s="69">
        <v>45180</v>
      </c>
      <c r="T140" s="69">
        <v>45181</v>
      </c>
      <c r="U140" s="69" t="s">
        <v>42</v>
      </c>
      <c r="V140" s="69">
        <v>45180</v>
      </c>
      <c r="W140" s="69">
        <v>45180</v>
      </c>
      <c r="X140" s="9"/>
    </row>
    <row r="141" ht="90" customHeight="1" spans="1:24">
      <c r="A141" s="8">
        <v>21</v>
      </c>
      <c r="B141" s="58" t="s">
        <v>1229</v>
      </c>
      <c r="C141" s="8" t="s">
        <v>1162</v>
      </c>
      <c r="D141" s="60"/>
      <c r="E141" s="7" t="s">
        <v>1230</v>
      </c>
      <c r="F141" s="5" t="s">
        <v>591</v>
      </c>
      <c r="G141" s="106" t="s">
        <v>1231</v>
      </c>
      <c r="H141" s="5" t="s">
        <v>1162</v>
      </c>
      <c r="I141" s="42" t="s">
        <v>1232</v>
      </c>
      <c r="J141" s="5" t="s">
        <v>1233</v>
      </c>
      <c r="K141" s="9" t="s">
        <v>1234</v>
      </c>
      <c r="L141" s="44">
        <v>45092</v>
      </c>
      <c r="M141" s="44">
        <v>45180</v>
      </c>
      <c r="N141" s="45" t="s">
        <v>241</v>
      </c>
      <c r="O141" s="13">
        <v>0.2</v>
      </c>
      <c r="P141" s="9"/>
      <c r="Q141" s="9"/>
      <c r="R141" s="5" t="s">
        <v>290</v>
      </c>
      <c r="S141" s="69">
        <v>45180</v>
      </c>
      <c r="T141" s="69">
        <v>45181</v>
      </c>
      <c r="U141" s="69" t="s">
        <v>42</v>
      </c>
      <c r="V141" s="69">
        <v>45180</v>
      </c>
      <c r="W141" s="69">
        <v>45180</v>
      </c>
      <c r="X141" s="9"/>
    </row>
    <row r="142" ht="90" customHeight="1" spans="1:24">
      <c r="A142" s="8">
        <v>22</v>
      </c>
      <c r="B142" s="58" t="s">
        <v>1235</v>
      </c>
      <c r="C142" s="5" t="s">
        <v>1236</v>
      </c>
      <c r="D142" s="60" t="s">
        <v>1237</v>
      </c>
      <c r="E142" s="7" t="s">
        <v>1224</v>
      </c>
      <c r="F142" s="5" t="s">
        <v>248</v>
      </c>
      <c r="G142" s="106" t="s">
        <v>1225</v>
      </c>
      <c r="H142" s="5" t="s">
        <v>1150</v>
      </c>
      <c r="I142" s="42" t="s">
        <v>1238</v>
      </c>
      <c r="J142" s="5" t="s">
        <v>1239</v>
      </c>
      <c r="K142" s="9"/>
      <c r="L142" s="44">
        <v>45126</v>
      </c>
      <c r="M142" s="44"/>
      <c r="N142" s="45" t="s">
        <v>241</v>
      </c>
      <c r="O142" s="66" t="s">
        <v>1240</v>
      </c>
      <c r="P142" s="9"/>
      <c r="Q142" s="9"/>
      <c r="R142" s="5" t="s">
        <v>316</v>
      </c>
      <c r="S142" s="69"/>
      <c r="T142" s="69"/>
      <c r="U142" s="69" t="s">
        <v>42</v>
      </c>
      <c r="V142" s="69"/>
      <c r="W142" s="69"/>
      <c r="X142" s="9"/>
    </row>
    <row r="143" ht="90" customHeight="1" spans="1:24">
      <c r="A143" s="8">
        <v>23</v>
      </c>
      <c r="B143" s="58" t="s">
        <v>1241</v>
      </c>
      <c r="C143" s="8" t="s">
        <v>1242</v>
      </c>
      <c r="D143" s="60" t="s">
        <v>1243</v>
      </c>
      <c r="E143" s="7" t="s">
        <v>1244</v>
      </c>
      <c r="F143" s="5" t="s">
        <v>256</v>
      </c>
      <c r="G143" s="106" t="s">
        <v>1245</v>
      </c>
      <c r="H143" s="5" t="s">
        <v>1020</v>
      </c>
      <c r="I143" s="42" t="s">
        <v>1246</v>
      </c>
      <c r="J143" s="5" t="s">
        <v>1247</v>
      </c>
      <c r="K143" s="9"/>
      <c r="L143" s="44">
        <v>45131</v>
      </c>
      <c r="M143" s="44"/>
      <c r="N143" s="45" t="s">
        <v>241</v>
      </c>
      <c r="O143" s="66" t="s">
        <v>1248</v>
      </c>
      <c r="P143" s="9"/>
      <c r="Q143" s="9"/>
      <c r="R143" s="5" t="s">
        <v>290</v>
      </c>
      <c r="S143" s="69"/>
      <c r="T143" s="69"/>
      <c r="U143" s="69" t="s">
        <v>42</v>
      </c>
      <c r="V143" s="69"/>
      <c r="W143" s="69"/>
      <c r="X143" s="9"/>
    </row>
    <row r="144" ht="90" customHeight="1" spans="1:24">
      <c r="A144" s="8">
        <v>24</v>
      </c>
      <c r="B144" s="58" t="s">
        <v>1249</v>
      </c>
      <c r="C144" s="5" t="s">
        <v>500</v>
      </c>
      <c r="D144" s="61" t="s">
        <v>1250</v>
      </c>
      <c r="E144" s="7" t="s">
        <v>1251</v>
      </c>
      <c r="F144" s="5" t="s">
        <v>256</v>
      </c>
      <c r="G144" s="106" t="s">
        <v>1252</v>
      </c>
      <c r="H144" s="5" t="s">
        <v>500</v>
      </c>
      <c r="I144" s="42" t="s">
        <v>1253</v>
      </c>
      <c r="J144" s="5" t="s">
        <v>1254</v>
      </c>
      <c r="K144" s="9"/>
      <c r="L144" s="44">
        <v>45135</v>
      </c>
      <c r="M144" s="44"/>
      <c r="N144" s="45" t="s">
        <v>241</v>
      </c>
      <c r="O144" s="66" t="s">
        <v>1255</v>
      </c>
      <c r="P144" s="9"/>
      <c r="Q144" s="9"/>
      <c r="R144" s="5" t="s">
        <v>290</v>
      </c>
      <c r="S144" s="69"/>
      <c r="T144" s="69"/>
      <c r="U144" s="69" t="s">
        <v>42</v>
      </c>
      <c r="V144" s="69"/>
      <c r="W144" s="69"/>
      <c r="X144" s="9"/>
    </row>
    <row r="145" ht="90" customHeight="1" spans="1:24">
      <c r="A145" s="8">
        <v>25</v>
      </c>
      <c r="B145" s="58" t="s">
        <v>1256</v>
      </c>
      <c r="C145" s="5" t="s">
        <v>1257</v>
      </c>
      <c r="D145" s="61"/>
      <c r="E145" s="7" t="s">
        <v>1258</v>
      </c>
      <c r="F145" s="5" t="s">
        <v>349</v>
      </c>
      <c r="G145" s="106" t="s">
        <v>1259</v>
      </c>
      <c r="H145" s="5" t="s">
        <v>1257</v>
      </c>
      <c r="I145" s="42" t="s">
        <v>1260</v>
      </c>
      <c r="J145" s="5" t="s">
        <v>1261</v>
      </c>
      <c r="K145" s="9"/>
      <c r="L145" s="44">
        <v>45135</v>
      </c>
      <c r="M145" s="44"/>
      <c r="N145" s="45" t="s">
        <v>241</v>
      </c>
      <c r="O145" s="66" t="s">
        <v>1262</v>
      </c>
      <c r="P145" s="9"/>
      <c r="Q145" s="9"/>
      <c r="R145" s="5" t="s">
        <v>290</v>
      </c>
      <c r="S145" s="69"/>
      <c r="T145" s="69"/>
      <c r="U145" s="69" t="s">
        <v>42</v>
      </c>
      <c r="V145" s="69"/>
      <c r="W145" s="69"/>
      <c r="X145" s="9"/>
    </row>
    <row r="146" ht="90" customHeight="1" spans="1:24">
      <c r="A146" s="8">
        <v>26</v>
      </c>
      <c r="B146" s="58" t="s">
        <v>1263</v>
      </c>
      <c r="C146" s="5" t="s">
        <v>1264</v>
      </c>
      <c r="D146" s="60"/>
      <c r="E146" s="7" t="s">
        <v>1265</v>
      </c>
      <c r="F146" s="5" t="s">
        <v>356</v>
      </c>
      <c r="G146" s="106" t="s">
        <v>1266</v>
      </c>
      <c r="H146" s="5" t="s">
        <v>1264</v>
      </c>
      <c r="I146" s="42" t="s">
        <v>1267</v>
      </c>
      <c r="J146" s="5" t="s">
        <v>1268</v>
      </c>
      <c r="K146" s="9"/>
      <c r="L146" s="44">
        <v>45135</v>
      </c>
      <c r="M146" s="44"/>
      <c r="N146" s="45" t="s">
        <v>241</v>
      </c>
      <c r="O146" s="66" t="s">
        <v>1262</v>
      </c>
      <c r="P146" s="9"/>
      <c r="Q146" s="9"/>
      <c r="R146" s="5" t="s">
        <v>290</v>
      </c>
      <c r="S146" s="69"/>
      <c r="T146" s="69"/>
      <c r="U146" s="69" t="s">
        <v>42</v>
      </c>
      <c r="V146" s="69"/>
      <c r="W146" s="69"/>
      <c r="X146" s="9"/>
    </row>
    <row r="147" spans="1:24">
      <c r="A147" s="8"/>
      <c r="B147" s="58"/>
      <c r="C147" s="8" t="str">
        <f>_xlfn.CONCAT(E147,H147,"行政处罚案")</f>
        <v>行政处罚案</v>
      </c>
      <c r="D147" s="37"/>
      <c r="E147" s="7"/>
      <c r="F147" s="5"/>
      <c r="G147" s="5"/>
      <c r="H147" s="5"/>
      <c r="I147" s="42"/>
      <c r="J147" s="5"/>
      <c r="K147" s="9"/>
      <c r="L147" s="44"/>
      <c r="M147" s="44"/>
      <c r="N147" s="10"/>
      <c r="O147" s="49"/>
      <c r="P147" s="9"/>
      <c r="Q147" s="9"/>
      <c r="R147" s="5"/>
      <c r="S147" s="69"/>
      <c r="T147" s="5"/>
      <c r="U147" s="5"/>
      <c r="V147" s="5"/>
      <c r="W147" s="67"/>
      <c r="X147" s="9"/>
    </row>
    <row r="148" ht="30" customHeight="1" spans="1:24">
      <c r="A148" s="18"/>
      <c r="B148" s="70"/>
      <c r="C148" s="71"/>
      <c r="D148" s="71"/>
      <c r="E148" s="18"/>
      <c r="F148" s="18"/>
      <c r="G148" s="18"/>
      <c r="H148" s="18"/>
      <c r="I148" s="72"/>
      <c r="J148" s="72"/>
      <c r="K148" s="16"/>
      <c r="L148" s="73" t="s">
        <v>1269</v>
      </c>
      <c r="M148" s="74" t="s">
        <v>1270</v>
      </c>
      <c r="N148" s="75"/>
      <c r="O148" s="76" t="s">
        <v>1271</v>
      </c>
      <c r="P148" s="73" t="s">
        <v>1272</v>
      </c>
      <c r="Q148" s="73"/>
      <c r="R148" s="18"/>
      <c r="S148" s="81"/>
      <c r="T148" s="18"/>
      <c r="U148" s="18"/>
      <c r="V148" s="18"/>
      <c r="W148" s="18"/>
      <c r="X148" s="73"/>
    </row>
    <row r="149" ht="30" customHeight="1" spans="1:24">
      <c r="A149" s="18"/>
      <c r="B149" s="70"/>
      <c r="C149" s="71"/>
      <c r="D149" s="71"/>
      <c r="E149" s="18"/>
      <c r="F149" s="18"/>
      <c r="G149" s="18"/>
      <c r="H149" s="18"/>
      <c r="I149" s="72"/>
      <c r="J149" s="72"/>
      <c r="K149" s="77" t="s">
        <v>1273</v>
      </c>
      <c r="L149" s="78">
        <v>0</v>
      </c>
      <c r="M149" s="78">
        <v>0</v>
      </c>
      <c r="N149" s="79"/>
      <c r="O149" s="80">
        <v>0</v>
      </c>
      <c r="P149" s="78">
        <v>0</v>
      </c>
      <c r="Q149" s="73"/>
      <c r="R149" s="18"/>
      <c r="S149" s="81"/>
      <c r="T149" s="18"/>
      <c r="U149" s="18"/>
      <c r="V149" s="18"/>
      <c r="W149" s="18"/>
      <c r="X149" s="73"/>
    </row>
    <row r="150" ht="30" customHeight="1" spans="1:24">
      <c r="A150" s="18"/>
      <c r="B150" s="70"/>
      <c r="C150" s="71"/>
      <c r="D150" s="71"/>
      <c r="E150" s="18"/>
      <c r="F150" s="18"/>
      <c r="G150" s="18"/>
      <c r="H150" s="18"/>
      <c r="I150" s="72"/>
      <c r="J150" s="72"/>
      <c r="K150" s="77" t="s">
        <v>1274</v>
      </c>
      <c r="L150" s="78">
        <f>COUNTA(L121:L147)</f>
        <v>26</v>
      </c>
      <c r="M150" s="78">
        <f>COUNTA(M121:M147)</f>
        <v>21</v>
      </c>
      <c r="N150" s="79"/>
      <c r="O150" s="80">
        <f>SUM(O121:O147)</f>
        <v>67.6</v>
      </c>
      <c r="P150" s="78">
        <f>COUNTA(P121:P147)</f>
        <v>19</v>
      </c>
      <c r="Q150" s="73"/>
      <c r="R150" s="18"/>
      <c r="S150" s="81"/>
      <c r="T150" s="18"/>
      <c r="U150" s="18"/>
      <c r="V150" s="18"/>
      <c r="W150" s="18"/>
      <c r="X150" s="73"/>
    </row>
    <row r="151" ht="30" customHeight="1" spans="1:24">
      <c r="A151" s="18"/>
      <c r="B151" s="70"/>
      <c r="C151" s="71"/>
      <c r="D151" s="71"/>
      <c r="E151" s="18"/>
      <c r="F151" s="18"/>
      <c r="G151" s="18"/>
      <c r="H151" s="18"/>
      <c r="I151" s="72"/>
      <c r="J151" s="72"/>
      <c r="K151" s="77" t="s">
        <v>215</v>
      </c>
      <c r="L151" s="78">
        <f t="shared" ref="L151:P151" si="3">SUM(L149:L150)</f>
        <v>26</v>
      </c>
      <c r="M151" s="78">
        <f t="shared" si="3"/>
        <v>21</v>
      </c>
      <c r="N151" s="79"/>
      <c r="O151" s="80">
        <f t="shared" si="3"/>
        <v>67.6</v>
      </c>
      <c r="P151" s="78">
        <f t="shared" si="3"/>
        <v>19</v>
      </c>
      <c r="Q151" s="73"/>
      <c r="R151" s="18"/>
      <c r="S151" s="81"/>
      <c r="T151" s="18"/>
      <c r="U151" s="18"/>
      <c r="V151" s="18"/>
      <c r="W151" s="18"/>
      <c r="X151" s="73"/>
    </row>
  </sheetData>
  <autoFilter ref="A2:Z151">
    <extLst/>
  </autoFilter>
  <mergeCells count="32">
    <mergeCell ref="A1:P1"/>
    <mergeCell ref="D5:D7"/>
    <mergeCell ref="D8:D11"/>
    <mergeCell ref="D16:D18"/>
    <mergeCell ref="D19:D21"/>
    <mergeCell ref="D22:D24"/>
    <mergeCell ref="D26:D28"/>
    <mergeCell ref="D31:D34"/>
    <mergeCell ref="D36:D39"/>
    <mergeCell ref="D40:D44"/>
    <mergeCell ref="D49:D51"/>
    <mergeCell ref="D53:D55"/>
    <mergeCell ref="D56:D58"/>
    <mergeCell ref="D59:D61"/>
    <mergeCell ref="D63:D64"/>
    <mergeCell ref="D69:D71"/>
    <mergeCell ref="D74:D76"/>
    <mergeCell ref="D78:D80"/>
    <mergeCell ref="D83:D85"/>
    <mergeCell ref="D87:D89"/>
    <mergeCell ref="D98:D99"/>
    <mergeCell ref="D101:D103"/>
    <mergeCell ref="D106:D107"/>
    <mergeCell ref="D108:D111"/>
    <mergeCell ref="D119:D120"/>
    <mergeCell ref="D122:D124"/>
    <mergeCell ref="D125:D127"/>
    <mergeCell ref="D129:D130"/>
    <mergeCell ref="D132:D133"/>
    <mergeCell ref="D134:D136"/>
    <mergeCell ref="D140:D141"/>
    <mergeCell ref="D144:D146"/>
  </mergeCells>
  <conditionalFormatting sqref="B73">
    <cfRule type="timePeriod" dxfId="0" priority="56" timePeriod="tomorrow">
      <formula>FLOOR(B73,1)=TODAY()+1</formula>
    </cfRule>
  </conditionalFormatting>
  <conditionalFormatting sqref="W77">
    <cfRule type="timePeriod" dxfId="0" priority="57" timePeriod="tomorrow">
      <formula>FLOOR(W77,1)=TODAY()+1</formula>
    </cfRule>
  </conditionalFormatting>
  <conditionalFormatting sqref="V95">
    <cfRule type="timePeriod" dxfId="0" priority="49" timePeriod="tomorrow">
      <formula>FLOOR(V95,1)=TODAY()+1</formula>
    </cfRule>
  </conditionalFormatting>
  <conditionalFormatting sqref="V105">
    <cfRule type="timePeriod" dxfId="0" priority="44" timePeriod="tomorrow">
      <formula>FLOOR(V105,1)=TODAY()+1</formula>
    </cfRule>
  </conditionalFormatting>
  <conditionalFormatting sqref="S113">
    <cfRule type="timePeriod" dxfId="0" priority="37" timePeriod="tomorrow">
      <formula>FLOOR(S113,1)=TODAY()+1</formula>
    </cfRule>
  </conditionalFormatting>
  <conditionalFormatting sqref="T113">
    <cfRule type="timePeriod" dxfId="0" priority="36" timePeriod="tomorrow">
      <formula>FLOOR(T113,1)=TODAY()+1</formula>
    </cfRule>
  </conditionalFormatting>
  <conditionalFormatting sqref="T114">
    <cfRule type="timePeriod" dxfId="0" priority="27" timePeriod="tomorrow">
      <formula>FLOOR(T114,1)=TODAY()+1</formula>
    </cfRule>
  </conditionalFormatting>
  <conditionalFormatting sqref="S116">
    <cfRule type="timePeriod" dxfId="0" priority="28" timePeriod="tomorrow">
      <formula>FLOOR(S116,1)=TODAY()+1</formula>
    </cfRule>
  </conditionalFormatting>
  <conditionalFormatting sqref="T116">
    <cfRule type="timePeriod" dxfId="0" priority="26" timePeriod="tomorrow">
      <formula>FLOOR(T116,1)=TODAY()+1</formula>
    </cfRule>
  </conditionalFormatting>
  <conditionalFormatting sqref="V116">
    <cfRule type="timePeriod" dxfId="0" priority="39" timePeriod="tomorrow">
      <formula>FLOOR(V116,1)=TODAY()+1</formula>
    </cfRule>
  </conditionalFormatting>
  <conditionalFormatting sqref="W116">
    <cfRule type="timePeriod" dxfId="0" priority="42" timePeriod="tomorrow">
      <formula>FLOOR(W116,1)=TODAY()+1</formula>
    </cfRule>
  </conditionalFormatting>
  <conditionalFormatting sqref="S118">
    <cfRule type="timePeriod" dxfId="0" priority="35" timePeriod="tomorrow">
      <formula>FLOOR(S118,1)=TODAY()+1</formula>
    </cfRule>
  </conditionalFormatting>
  <conditionalFormatting sqref="T118">
    <cfRule type="timePeriod" dxfId="0" priority="23" timePeriod="tomorrow">
      <formula>FLOOR(T118,1)=TODAY()+1</formula>
    </cfRule>
  </conditionalFormatting>
  <conditionalFormatting sqref="U118">
    <cfRule type="timePeriod" dxfId="0" priority="32" timePeriod="tomorrow">
      <formula>FLOOR(U118,1)=TODAY()+1</formula>
    </cfRule>
    <cfRule type="timePeriod" dxfId="0" priority="33" timePeriod="tomorrow">
      <formula>FLOOR(U118,1)=TODAY()+1</formula>
    </cfRule>
  </conditionalFormatting>
  <conditionalFormatting sqref="V118">
    <cfRule type="timePeriod" dxfId="0" priority="22" timePeriod="tomorrow">
      <formula>FLOOR(V118,1)=TODAY()+1</formula>
    </cfRule>
  </conditionalFormatting>
  <conditionalFormatting sqref="W118">
    <cfRule type="timePeriod" dxfId="0" priority="34" timePeriod="tomorrow">
      <formula>FLOOR(W118,1)=TODAY()+1</formula>
    </cfRule>
  </conditionalFormatting>
  <conditionalFormatting sqref="T119">
    <cfRule type="timePeriod" dxfId="0" priority="25" timePeriod="tomorrow">
      <formula>FLOOR(T119,1)=TODAY()+1</formula>
    </cfRule>
  </conditionalFormatting>
  <conditionalFormatting sqref="T128">
    <cfRule type="timePeriod" dxfId="0" priority="15" timePeriod="tomorrow">
      <formula>FLOOR(T128,1)=TODAY()+1</formula>
    </cfRule>
  </conditionalFormatting>
  <conditionalFormatting sqref="V128">
    <cfRule type="timePeriod" dxfId="0" priority="13" timePeriod="tomorrow">
      <formula>FLOOR(V128,1)=TODAY()+1</formula>
    </cfRule>
  </conditionalFormatting>
  <conditionalFormatting sqref="T132">
    <cfRule type="timePeriod" dxfId="0" priority="4" timePeriod="tomorrow">
      <formula>FLOOR(T132,1)=TODAY()+1</formula>
    </cfRule>
  </conditionalFormatting>
  <conditionalFormatting sqref="S133:T133">
    <cfRule type="timePeriod" dxfId="0" priority="3" timePeriod="tomorrow">
      <formula>FLOOR(S133,1)=TODAY()+1</formula>
    </cfRule>
  </conditionalFormatting>
  <conditionalFormatting sqref="S135">
    <cfRule type="timePeriod" dxfId="0" priority="10" timePeriod="tomorrow">
      <formula>FLOOR(S135,1)=TODAY()+1</formula>
    </cfRule>
  </conditionalFormatting>
  <conditionalFormatting sqref="T135">
    <cfRule type="timePeriod" dxfId="0" priority="7" timePeriod="tomorrow">
      <formula>FLOOR(T135,1)=TODAY()+1</formula>
    </cfRule>
  </conditionalFormatting>
  <conditionalFormatting sqref="S136">
    <cfRule type="timePeriod" dxfId="0" priority="9" timePeriod="tomorrow">
      <formula>FLOOR(S136,1)=TODAY()+1</formula>
    </cfRule>
  </conditionalFormatting>
  <conditionalFormatting sqref="T136">
    <cfRule type="timePeriod" dxfId="0" priority="6" timePeriod="tomorrow">
      <formula>FLOOR(T136,1)=TODAY()+1</formula>
    </cfRule>
  </conditionalFormatting>
  <conditionalFormatting sqref="S137">
    <cfRule type="timePeriod" dxfId="0" priority="8" timePeriod="tomorrow">
      <formula>FLOOR(S137,1)=TODAY()+1</formula>
    </cfRule>
  </conditionalFormatting>
  <conditionalFormatting sqref="T137">
    <cfRule type="timePeriod" dxfId="0" priority="5" timePeriod="tomorrow">
      <formula>FLOOR(T137,1)=TODAY()+1</formula>
    </cfRule>
  </conditionalFormatting>
  <conditionalFormatting sqref="S81:S82">
    <cfRule type="timePeriod" dxfId="0" priority="72" timePeriod="tomorrow">
      <formula>FLOOR(S81,1)=TODAY()+1</formula>
    </cfRule>
  </conditionalFormatting>
  <conditionalFormatting sqref="S86:S89">
    <cfRule type="timePeriod" dxfId="0" priority="66" timePeriod="tomorrow">
      <formula>FLOOR(S86,1)=TODAY()+1</formula>
    </cfRule>
  </conditionalFormatting>
  <conditionalFormatting sqref="S129:S130">
    <cfRule type="timePeriod" dxfId="0" priority="16" timePeriod="tomorrow">
      <formula>FLOOR(S129,1)=TODAY()+1</formula>
    </cfRule>
  </conditionalFormatting>
  <conditionalFormatting sqref="S140:S141">
    <cfRule type="timePeriod" dxfId="0" priority="1" timePeriod="tomorrow">
      <formula>FLOOR(S140,1)=TODAY()+1</formula>
    </cfRule>
  </conditionalFormatting>
  <conditionalFormatting sqref="T86:T89">
    <cfRule type="timePeriod" dxfId="0" priority="63" timePeriod="tomorrow">
      <formula>FLOOR(T86,1)=TODAY()+1</formula>
    </cfRule>
  </conditionalFormatting>
  <conditionalFormatting sqref="T122:T124">
    <cfRule type="timePeriod" dxfId="0" priority="20" timePeriod="tomorrow">
      <formula>FLOOR(T122,1)=TODAY()+1</formula>
    </cfRule>
  </conditionalFormatting>
  <conditionalFormatting sqref="T125:T127">
    <cfRule type="timePeriod" dxfId="0" priority="19" timePeriod="tomorrow">
      <formula>FLOOR(T125,1)=TODAY()+1</formula>
    </cfRule>
  </conditionalFormatting>
  <conditionalFormatting sqref="T129:T130">
    <cfRule type="timePeriod" dxfId="0" priority="14" timePeriod="tomorrow">
      <formula>FLOOR(T129,1)=TODAY()+1</formula>
    </cfRule>
  </conditionalFormatting>
  <conditionalFormatting sqref="U74:U80">
    <cfRule type="timePeriod" dxfId="0" priority="62" timePeriod="tomorrow">
      <formula>FLOOR(U74,1)=TODAY()+1</formula>
    </cfRule>
  </conditionalFormatting>
  <conditionalFormatting sqref="V78:V80">
    <cfRule type="timePeriod" dxfId="0" priority="54" timePeriod="tomorrow">
      <formula>FLOOR(V78,1)=TODAY()+1</formula>
    </cfRule>
  </conditionalFormatting>
  <conditionalFormatting sqref="V86:V89">
    <cfRule type="timePeriod" dxfId="0" priority="64" timePeriod="tomorrow">
      <formula>FLOOR(V86,1)=TODAY()+1</formula>
    </cfRule>
  </conditionalFormatting>
  <conditionalFormatting sqref="V101:V103">
    <cfRule type="timePeriod" dxfId="0" priority="47" timePeriod="tomorrow">
      <formula>FLOOR(V101,1)=TODAY()+1</formula>
    </cfRule>
  </conditionalFormatting>
  <conditionalFormatting sqref="V106:V107">
    <cfRule type="timePeriod" dxfId="0" priority="46" timePeriod="tomorrow">
      <formula>FLOOR(V106,1)=TODAY()+1</formula>
    </cfRule>
  </conditionalFormatting>
  <conditionalFormatting sqref="V122:V124">
    <cfRule type="timePeriod" dxfId="0" priority="21" timePeriod="tomorrow">
      <formula>FLOOR(V122,1)=TODAY()+1</formula>
    </cfRule>
  </conditionalFormatting>
  <conditionalFormatting sqref="V125:V127">
    <cfRule type="timePeriod" dxfId="0" priority="17" timePeriod="tomorrow">
      <formula>FLOOR(V125,1)=TODAY()+1</formula>
    </cfRule>
  </conditionalFormatting>
  <conditionalFormatting sqref="V129:V130">
    <cfRule type="timePeriod" dxfId="0" priority="12" timePeriod="tomorrow">
      <formula>FLOOR(V129,1)=TODAY()+1</formula>
    </cfRule>
  </conditionalFormatting>
  <conditionalFormatting sqref="V134:V137">
    <cfRule type="timePeriod" dxfId="0" priority="11" timePeriod="tomorrow">
      <formula>FLOOR(V134,1)=TODAY()+1</formula>
    </cfRule>
  </conditionalFormatting>
  <conditionalFormatting sqref="V140:V141">
    <cfRule type="timePeriod" dxfId="0" priority="2" timePeriod="tomorrow">
      <formula>FLOOR(V140,1)=TODAY()+1</formula>
    </cfRule>
  </conditionalFormatting>
  <conditionalFormatting sqref="W66:W68">
    <cfRule type="timePeriod" dxfId="0" priority="59" timePeriod="tomorrow">
      <formula>FLOOR(W66,1)=TODAY()+1</formula>
    </cfRule>
  </conditionalFormatting>
  <conditionalFormatting sqref="W69:W73">
    <cfRule type="timePeriod" dxfId="0" priority="60" timePeriod="tomorrow">
      <formula>FLOOR(W69,1)=TODAY()+1</formula>
    </cfRule>
  </conditionalFormatting>
  <conditionalFormatting sqref="W74:W76">
    <cfRule type="timePeriod" dxfId="0" priority="58" timePeriod="tomorrow">
      <formula>FLOOR(W74,1)=TODAY()+1</formula>
    </cfRule>
  </conditionalFormatting>
  <conditionalFormatting sqref="W78:W80">
    <cfRule type="timePeriod" dxfId="0" priority="55" timePeriod="tomorrow">
      <formula>FLOOR(W78,1)=TODAY()+1</formula>
    </cfRule>
  </conditionalFormatting>
  <conditionalFormatting sqref="W81:W82">
    <cfRule type="timePeriod" dxfId="0" priority="69" timePeriod="tomorrow">
      <formula>FLOOR(W81,1)=TODAY()+1</formula>
    </cfRule>
  </conditionalFormatting>
  <conditionalFormatting sqref="W86:W89">
    <cfRule type="timePeriod" dxfId="0" priority="65" timePeriod="tomorrow">
      <formula>FLOOR(W86,1)=TODAY()+1</formula>
    </cfRule>
  </conditionalFormatting>
  <conditionalFormatting sqref="W125:W127">
    <cfRule type="timePeriod" dxfId="0" priority="18" timePeriod="tomorrow">
      <formula>FLOOR(W125,1)=TODAY()+1</formula>
    </cfRule>
  </conditionalFormatting>
  <conditionalFormatting sqref="S1:V2 S83:S85 S90:S105 S108:S112 S114:S115 S117 S119:S128 S131:S132 S134 S142:S146 S138:S139 S147:V1048576">
    <cfRule type="timePeriod" dxfId="0" priority="74" timePeriod="tomorrow">
      <formula>FLOOR(S1,1)=TODAY()+1</formula>
    </cfRule>
  </conditionalFormatting>
  <conditionalFormatting sqref="S66:U71 S72:V77 S78:U80">
    <cfRule type="timePeriod" dxfId="0" priority="61" timePeriod="tomorrow">
      <formula>FLOOR(S66,1)=TODAY()+1</formula>
    </cfRule>
  </conditionalFormatting>
  <conditionalFormatting sqref="T81:T85 T90:T95">
    <cfRule type="timePeriod" dxfId="0" priority="67" timePeriod="tomorrow">
      <formula>FLOOR(T81,1)=TODAY()+1</formula>
    </cfRule>
  </conditionalFormatting>
  <conditionalFormatting sqref="U81:U117 U119:U146">
    <cfRule type="timePeriod" dxfId="0" priority="70" timePeriod="tomorrow">
      <formula>FLOOR(U81,1)=TODAY()+1</formula>
    </cfRule>
    <cfRule type="timePeriod" dxfId="0" priority="71" timePeriod="tomorrow">
      <formula>FLOOR(U81,1)=TODAY()+1</formula>
    </cfRule>
  </conditionalFormatting>
  <conditionalFormatting sqref="V81:V85 V90:V94 V96:V100 V104 V108:V115 V117">
    <cfRule type="timePeriod" dxfId="0" priority="68" timePeriod="tomorrow">
      <formula>FLOOR(V81,1)=TODAY()+1</formula>
    </cfRule>
  </conditionalFormatting>
  <conditionalFormatting sqref="W83:W85 W90:W115 W117 W119:W124 W128:W147">
    <cfRule type="timePeriod" dxfId="0" priority="73" timePeriod="tomorrow">
      <formula>FLOOR(W83,1)=TODAY()+1</formula>
    </cfRule>
  </conditionalFormatting>
  <conditionalFormatting sqref="T96:T105 T108:T112 T115 T117">
    <cfRule type="timePeriod" dxfId="0" priority="48" timePeriod="tomorrow">
      <formula>FLOOR(T96,1)=TODAY()+1</formula>
    </cfRule>
  </conditionalFormatting>
  <conditionalFormatting sqref="S106:T107">
    <cfRule type="timePeriod" dxfId="0" priority="45" timePeriod="tomorrow">
      <formula>FLOOR(S106,1)=TODAY()+1</formula>
    </cfRule>
  </conditionalFormatting>
  <conditionalFormatting sqref="V119:V121 V131:V133 V142:V146 V138:V139">
    <cfRule type="timePeriod" dxfId="0" priority="29" timePeriod="tomorrow">
      <formula>FLOOR(V119,1)=TODAY()+1</formula>
    </cfRule>
  </conditionalFormatting>
  <conditionalFormatting sqref="T120:T121 T131 T134 T138:T146">
    <cfRule type="timePeriod" dxfId="0" priority="24" timePeriod="tomorrow">
      <formula>FLOOR(T120,1)=TODAY()+1</formula>
    </cfRule>
  </conditionalFormatting>
  <printOptions horizontalCentered="1"/>
  <pageMargins left="0.751388888888889" right="0.751388888888889" top="0.802777777777778" bottom="0.802777777777778" header="0.511805555555556" footer="0.511805555555556"/>
  <pageSetup paperSize="9" scale="32" fitToHeight="0" orientation="landscape" horizontalDpi="600"/>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
    <pageSetUpPr fitToPage="1"/>
  </sheetPr>
  <dimension ref="A1:K10"/>
  <sheetViews>
    <sheetView workbookViewId="0">
      <selection activeCell="L5" sqref="L5"/>
    </sheetView>
  </sheetViews>
  <sheetFormatPr defaultColWidth="9" defaultRowHeight="14.25"/>
  <cols>
    <col min="1" max="1" width="9.00833333333333" customWidth="1"/>
    <col min="2" max="3" width="15.625" customWidth="1"/>
    <col min="4" max="4" width="10.625" customWidth="1"/>
    <col min="5" max="5" width="30.625" customWidth="1"/>
    <col min="6" max="6" width="15.625" customWidth="1"/>
    <col min="7" max="7" width="12.625" customWidth="1"/>
    <col min="9" max="9" width="15.625" customWidth="1"/>
    <col min="11" max="11" width="12.625" customWidth="1"/>
  </cols>
  <sheetData>
    <row r="1" ht="28.5" spans="1:11">
      <c r="A1" s="1" t="s">
        <v>1</v>
      </c>
      <c r="B1" s="1" t="s">
        <v>4</v>
      </c>
      <c r="C1" s="1" t="s">
        <v>219</v>
      </c>
      <c r="D1" s="1" t="s">
        <v>220</v>
      </c>
      <c r="E1" s="1" t="s">
        <v>222</v>
      </c>
      <c r="F1" s="2" t="s">
        <v>225</v>
      </c>
      <c r="G1" s="3" t="s">
        <v>227</v>
      </c>
      <c r="H1" s="4" t="s">
        <v>17</v>
      </c>
      <c r="I1" s="12" t="s">
        <v>228</v>
      </c>
      <c r="J1" s="1" t="s">
        <v>231</v>
      </c>
      <c r="K1" s="3" t="s">
        <v>27</v>
      </c>
    </row>
    <row r="2" ht="57" customHeight="1" spans="1:11">
      <c r="A2" s="5">
        <v>1</v>
      </c>
      <c r="B2" s="6" t="s">
        <v>1079</v>
      </c>
      <c r="C2" s="7" t="s">
        <v>1080</v>
      </c>
      <c r="D2" s="5" t="s">
        <v>256</v>
      </c>
      <c r="E2" s="8" t="s">
        <v>954</v>
      </c>
      <c r="F2" s="9" t="s">
        <v>1084</v>
      </c>
      <c r="G2" s="9">
        <v>45030</v>
      </c>
      <c r="H2" s="10" t="s">
        <v>241</v>
      </c>
      <c r="I2" s="13">
        <v>5</v>
      </c>
      <c r="J2" s="5" t="s">
        <v>290</v>
      </c>
      <c r="K2" s="9" t="s">
        <v>1085</v>
      </c>
    </row>
    <row r="3" ht="57" customHeight="1" spans="1:11">
      <c r="A3" s="5">
        <v>2</v>
      </c>
      <c r="B3" s="7" t="s">
        <v>1088</v>
      </c>
      <c r="C3" s="7" t="s">
        <v>1089</v>
      </c>
      <c r="D3" s="5" t="s">
        <v>349</v>
      </c>
      <c r="E3" s="5" t="s">
        <v>534</v>
      </c>
      <c r="F3" s="9" t="s">
        <v>1093</v>
      </c>
      <c r="G3" s="9">
        <v>45054</v>
      </c>
      <c r="H3" s="10" t="s">
        <v>241</v>
      </c>
      <c r="I3" s="13">
        <v>0.2</v>
      </c>
      <c r="J3" s="5" t="s">
        <v>411</v>
      </c>
      <c r="K3" s="9" t="s">
        <v>1085</v>
      </c>
    </row>
    <row r="4" ht="57" customHeight="1" spans="1:11">
      <c r="A4" s="5">
        <v>3</v>
      </c>
      <c r="B4" s="7"/>
      <c r="C4" s="7" t="s">
        <v>1095</v>
      </c>
      <c r="D4" s="5" t="s">
        <v>356</v>
      </c>
      <c r="E4" s="5" t="s">
        <v>534</v>
      </c>
      <c r="F4" s="9" t="s">
        <v>1099</v>
      </c>
      <c r="G4" s="9">
        <v>45054</v>
      </c>
      <c r="H4" s="10" t="s">
        <v>241</v>
      </c>
      <c r="I4" s="13">
        <v>0.2</v>
      </c>
      <c r="J4" s="5" t="s">
        <v>411</v>
      </c>
      <c r="K4" s="9" t="s">
        <v>1085</v>
      </c>
    </row>
    <row r="5" ht="57" customHeight="1" spans="1:11">
      <c r="A5" s="5">
        <v>4</v>
      </c>
      <c r="B5" s="7"/>
      <c r="C5" s="7" t="s">
        <v>1101</v>
      </c>
      <c r="D5" s="5" t="s">
        <v>256</v>
      </c>
      <c r="E5" s="5" t="s">
        <v>534</v>
      </c>
      <c r="F5" s="9" t="s">
        <v>1105</v>
      </c>
      <c r="G5" s="9">
        <v>45054</v>
      </c>
      <c r="H5" s="10" t="s">
        <v>241</v>
      </c>
      <c r="I5" s="13">
        <v>1.2</v>
      </c>
      <c r="J5" s="5" t="s">
        <v>411</v>
      </c>
      <c r="K5" s="9" t="s">
        <v>1085</v>
      </c>
    </row>
    <row r="6" ht="57" customHeight="1" spans="1:11">
      <c r="A6" s="5">
        <v>5</v>
      </c>
      <c r="B6" s="11" t="s">
        <v>1108</v>
      </c>
      <c r="C6" s="7" t="s">
        <v>212</v>
      </c>
      <c r="D6" s="5" t="s">
        <v>256</v>
      </c>
      <c r="E6" s="5" t="s">
        <v>558</v>
      </c>
      <c r="F6" s="9" t="s">
        <v>1112</v>
      </c>
      <c r="G6" s="9">
        <v>45062</v>
      </c>
      <c r="H6" s="10" t="s">
        <v>241</v>
      </c>
      <c r="I6" s="13">
        <v>1.2</v>
      </c>
      <c r="J6" s="5" t="s">
        <v>316</v>
      </c>
      <c r="K6" s="9" t="s">
        <v>1085</v>
      </c>
    </row>
    <row r="7" ht="57" customHeight="1" spans="1:11">
      <c r="A7" s="5">
        <v>6</v>
      </c>
      <c r="B7" s="11"/>
      <c r="C7" s="7" t="s">
        <v>1115</v>
      </c>
      <c r="D7" s="5" t="s">
        <v>349</v>
      </c>
      <c r="E7" s="5" t="s">
        <v>1117</v>
      </c>
      <c r="F7" s="9" t="s">
        <v>1120</v>
      </c>
      <c r="G7" s="9">
        <v>45062</v>
      </c>
      <c r="H7" s="10" t="s">
        <v>241</v>
      </c>
      <c r="I7" s="13">
        <v>0.2</v>
      </c>
      <c r="J7" s="5" t="s">
        <v>316</v>
      </c>
      <c r="K7" s="9" t="s">
        <v>1085</v>
      </c>
    </row>
    <row r="8" ht="57" customHeight="1" spans="1:11">
      <c r="A8" s="5">
        <v>7</v>
      </c>
      <c r="B8" s="6"/>
      <c r="C8" s="7" t="s">
        <v>1123</v>
      </c>
      <c r="D8" s="5" t="s">
        <v>356</v>
      </c>
      <c r="E8" s="5" t="s">
        <v>1125</v>
      </c>
      <c r="F8" s="9" t="s">
        <v>1128</v>
      </c>
      <c r="G8" s="9">
        <v>45062</v>
      </c>
      <c r="H8" s="10" t="s">
        <v>241</v>
      </c>
      <c r="I8" s="13">
        <v>0.2</v>
      </c>
      <c r="J8" s="5" t="s">
        <v>316</v>
      </c>
      <c r="K8" s="9" t="s">
        <v>1085</v>
      </c>
    </row>
    <row r="9" ht="57" customHeight="1" spans="1:11">
      <c r="A9" s="5">
        <v>8</v>
      </c>
      <c r="B9" s="11" t="s">
        <v>1275</v>
      </c>
      <c r="C9" s="7" t="s">
        <v>1137</v>
      </c>
      <c r="D9" s="5" t="s">
        <v>256</v>
      </c>
      <c r="E9" s="5" t="s">
        <v>1020</v>
      </c>
      <c r="F9" s="9" t="s">
        <v>1141</v>
      </c>
      <c r="G9" s="9">
        <v>45092</v>
      </c>
      <c r="H9" s="10" t="s">
        <v>241</v>
      </c>
      <c r="I9" s="13">
        <v>10</v>
      </c>
      <c r="J9" s="5" t="s">
        <v>411</v>
      </c>
      <c r="K9" s="9" t="s">
        <v>1085</v>
      </c>
    </row>
    <row r="10" ht="57" customHeight="1" spans="1:11">
      <c r="A10" s="5">
        <v>9</v>
      </c>
      <c r="B10" s="7" t="s">
        <v>1151</v>
      </c>
      <c r="C10" s="7" t="s">
        <v>1152</v>
      </c>
      <c r="D10" s="5" t="s">
        <v>248</v>
      </c>
      <c r="E10" s="5" t="s">
        <v>954</v>
      </c>
      <c r="F10" s="9" t="s">
        <v>1156</v>
      </c>
      <c r="G10" s="9">
        <v>45077</v>
      </c>
      <c r="H10" s="10" t="s">
        <v>241</v>
      </c>
      <c r="I10" s="13">
        <v>5</v>
      </c>
      <c r="J10" s="5" t="s">
        <v>290</v>
      </c>
      <c r="K10" s="9" t="s">
        <v>1085</v>
      </c>
    </row>
  </sheetData>
  <mergeCells count="2">
    <mergeCell ref="B3:B5"/>
    <mergeCell ref="B6:B8"/>
  </mergeCells>
  <pageMargins left="0.75" right="0.75" top="1" bottom="1" header="0.5" footer="0.5"/>
  <pageSetup paperSize="9" scale="78" fitToHeight="0" orientation="landscape"/>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行政检查</vt:lpstr>
      <vt:lpstr>行政处罚</vt: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邱礼聪</dc:creator>
  <cp:lastModifiedBy>Administrator</cp:lastModifiedBy>
  <dcterms:created xsi:type="dcterms:W3CDTF">2021-05-17T22:10:00Z</dcterms:created>
  <dcterms:modified xsi:type="dcterms:W3CDTF">2023-09-15T01:44:47Z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2052-11.8.2.9022</vt:lpwstr>
  </property>
  <property fmtid="{D5CDD505-2E9C-101B-9397-08002B2CF9AE}" pid="3" name="ICV">
    <vt:lpwstr>F0EC109AB925439997E17BA4A51872B2</vt:lpwstr>
  </property>
</Properties>
</file>