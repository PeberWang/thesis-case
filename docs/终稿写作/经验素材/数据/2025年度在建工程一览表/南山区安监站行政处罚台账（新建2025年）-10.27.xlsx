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795" windowHeight="12375" activeTab="4"/>
  </bookViews>
  <sheets>
    <sheet name="行政检查" sheetId="2" r:id="rId1"/>
    <sheet name="行政处罚" sheetId="1" r:id="rId2"/>
    <sheet name="Sheet1" sheetId="3" r:id="rId3"/>
    <sheet name="Sheet2" sheetId="4" r:id="rId4"/>
    <sheet name="2025年" sheetId="5" r:id="rId5"/>
    <sheet name="Sheet3" sheetId="6" r:id="rId6"/>
  </sheets>
  <definedNames>
    <definedName name="_xlnm._FilterDatabase" localSheetId="0" hidden="1">行政检查!$A$2:$AB$36</definedName>
    <definedName name="_xlnm._FilterDatabase" localSheetId="3" hidden="1">Sheet2!$A$2:$AN$56</definedName>
    <definedName name="_xlnm._FilterDatabase" localSheetId="4" hidden="1">'2025年'!$A$1:$Z$158</definedName>
    <definedName name="_xlnm._FilterDatabase" localSheetId="1" hidden="1">行政处罚!$A$1:$AG$216</definedName>
    <definedName name="_xlnm.Print_Titles" localSheetId="1">行政处罚!$2:$2</definedName>
    <definedName name="_xlnm.Print_Titles" localSheetId="3">Sheet2!$2:$2</definedName>
  </definedNames>
  <calcPr calcId="144525"/>
</workbook>
</file>

<file path=xl/sharedStrings.xml><?xml version="1.0" encoding="utf-8"?>
<sst xmlns="http://schemas.openxmlformats.org/spreadsheetml/2006/main" count="7059" uniqueCount="3081">
  <si>
    <t>南山区安监站行政检查台账</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</si>
  <si>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</si>
  <si>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</si>
  <si>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</si>
  <si>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</si>
  <si>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</si>
  <si>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</si>
  <si>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</si>
  <si>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</si>
  <si>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</si>
  <si>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</si>
  <si>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</si>
  <si>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</si>
  <si>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</si>
  <si>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</si>
  <si>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</si>
  <si>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</si>
  <si>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</si>
  <si>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</si>
  <si>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</si>
  <si>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</si>
  <si>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</si>
  <si>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</si>
  <si>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</si>
  <si>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</si>
  <si>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</si>
  <si>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</si>
  <si>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</si>
  <si>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集中归档</t>
  </si>
  <si>
    <t>制作光盘</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</si>
  <si>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</si>
  <si>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</si>
  <si>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</si>
  <si>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</si>
  <si>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</si>
  <si>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</si>
  <si>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</si>
  <si>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</si>
  <si>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</si>
  <si>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</si>
  <si>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</si>
  <si>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</si>
  <si>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</si>
  <si>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董继峰，付泽正</t>
  </si>
  <si>
    <t>全流程系统登记</t>
  </si>
  <si>
    <t>2024年已归档</t>
  </si>
  <si>
    <t>×</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</si>
  <si>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</si>
  <si>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</si>
  <si>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</si>
  <si>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</si>
  <si>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</si>
  <si>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</si>
  <si>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</si>
  <si>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</si>
  <si>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</si>
  <si>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</si>
  <si>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宗海根，高健</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</si>
  <si>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</si>
  <si>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</si>
  <si>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</si>
  <si>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</si>
  <si>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</si>
  <si>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</si>
  <si>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</si>
  <si>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</si>
  <si>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</si>
  <si>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</si>
  <si>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</si>
  <si>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</si>
  <si>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</si>
  <si>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</si>
  <si>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</si>
  <si>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</si>
  <si>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</si>
  <si>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</si>
  <si>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</si>
  <si>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</si>
  <si>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</si>
  <si>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</si>
  <si>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</si>
  <si>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</si>
  <si>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谭亮，贺爱军</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</si>
  <si>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</si>
  <si>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</si>
  <si>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</si>
  <si>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</si>
  <si>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</si>
  <si>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</si>
  <si>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</si>
  <si>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</si>
  <si>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</si>
  <si>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</si>
  <si>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</si>
  <si>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</si>
  <si>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</si>
  <si>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</si>
  <si>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</si>
  <si>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</si>
  <si>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</si>
  <si>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</si>
  <si>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</si>
  <si>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</si>
  <si>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</si>
  <si>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</si>
  <si>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</si>
  <si>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</si>
  <si>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</si>
  <si>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</si>
  <si>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</si>
  <si>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</si>
  <si>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</si>
  <si>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</si>
  <si>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</si>
  <si>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</si>
  <si>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</si>
  <si>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</si>
  <si>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</si>
  <si>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</si>
  <si>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</si>
  <si>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</si>
  <si>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</si>
  <si>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谭亮，李云</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</si>
  <si>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</si>
  <si>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</si>
  <si>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</si>
  <si>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</si>
  <si>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</si>
  <si>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</si>
  <si>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</si>
  <si>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</si>
  <si>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t>
  </si>
  <si>
    <t>20221000105</t>
  </si>
  <si>
    <t>对深圳清华大学研究院新大楼建设项目机电工程Ⅰ标段双随机抽查</t>
  </si>
  <si>
    <t>深圳清华大学研究院新大楼建设项目机电工程Ⅰ标段</t>
  </si>
  <si>
    <t>中建四局第五建筑工程有限公司</t>
  </si>
  <si>
    <t>91522701216250420B</t>
  </si>
  <si>
    <t>广东省深圳市南山区南山街道南新路阳光科创中心一期A座1001</t>
  </si>
  <si>
    <t>吴小明</t>
  </si>
  <si>
    <t>1.抽查项目主要管理人员（项目经理、总监）在岗履职情况。2.抽查扬尘防治6个100%落实情况。3.抽查项目围挡是否全封闭、公益广告宣传画是否存在污损情况。</t>
  </si>
  <si>
    <t>深南住建检登〔2022〕36号</t>
  </si>
  <si>
    <t>付泽正，高健</t>
  </si>
  <si>
    <t>20221000102</t>
  </si>
  <si>
    <t>对南山区第二阶段优质饮用水入户工程（二期）施工总承包(Ⅴ标段)(快速发包)工程双随机抽查</t>
  </si>
  <si>
    <t>南山区第二阶段优质饮用水入户工程（二期）施工总承包（Ⅴ标段）（快速发包）</t>
  </si>
  <si>
    <t>广东省源天工程有限公司</t>
  </si>
  <si>
    <t>914400001903224486</t>
  </si>
  <si>
    <t>广东省广州市增城区新塘镇广深大道中46号</t>
  </si>
  <si>
    <t>邓程鹏</t>
  </si>
  <si>
    <t>13348647366</t>
  </si>
  <si>
    <t>深南住建检登〔2022〕35号</t>
  </si>
  <si>
    <t>付泽正，宗海根</t>
  </si>
  <si>
    <t>2023.4.6区司法局</t>
  </si>
  <si>
    <t>20221000100</t>
  </si>
  <si>
    <t>对南山区档案服务大厦室内装饰工程双随机抽查</t>
  </si>
  <si>
    <t>南山区档案服务大厦室内装饰工程</t>
  </si>
  <si>
    <t>深圳市中航装饰设计工程有限公司</t>
  </si>
  <si>
    <t>914403001922681237</t>
  </si>
  <si>
    <t>广东省深圳市南山区粤海街道滨海社区海天一路19号、17号、18号软件产业基地4栋C11层1101-18</t>
  </si>
  <si>
    <t>田广平</t>
  </si>
  <si>
    <t>南头街道</t>
  </si>
  <si>
    <t>深南住建检登〔2022〕34号</t>
  </si>
  <si>
    <t>20221000086</t>
  </si>
  <si>
    <t>对海境界家园二期精装修工程第四标段（B座住宅平层室内精装修工程、一二层公共区域精装修工程）双随机抽查</t>
  </si>
  <si>
    <t>海境界家园二期精装修工程第四标段（B座住宅平层室内精装修工程、一二层公共区域精装修工程）</t>
  </si>
  <si>
    <t>深圳市中深建装饰设计工程有限公司</t>
  </si>
  <si>
    <t>91440300715212445L</t>
  </si>
  <si>
    <t>广东省深圳市福田区吉莲大厦二层</t>
  </si>
  <si>
    <t>米双令</t>
  </si>
  <si>
    <t>深南住建检登〔2022〕30号</t>
  </si>
  <si>
    <t>宗海根，董继峰</t>
  </si>
  <si>
    <t>20221000098</t>
  </si>
  <si>
    <t>对南山医院改扩建（二期一段）机电安装工程双随机抽查</t>
  </si>
  <si>
    <t>南山医院改扩建（二期一段）机电安装工程</t>
  </si>
  <si>
    <t>深圳市建工集团股份有限公司</t>
  </si>
  <si>
    <t>91440300192189548K</t>
  </si>
  <si>
    <t>广东省深圳市南山区粤海街道科苑路8号迅美科技广场2号楼21楼</t>
  </si>
  <si>
    <t>周启良</t>
  </si>
  <si>
    <t>深南住建检登〔2022〕33号</t>
  </si>
  <si>
    <t>董继峰，谭亮</t>
  </si>
  <si>
    <t>20221000095</t>
  </si>
  <si>
    <t>对杜鹃东1街、九纵五街、紫荆街中段、勒杜鹃街东段道路工程双随机抽查</t>
  </si>
  <si>
    <t>杜鹃东1街、九纵五街、紫荆街中段、勒杜鹃街东段道路工程</t>
  </si>
  <si>
    <t>深圳市路桥建设集团有限公司</t>
  </si>
  <si>
    <t>914403001921815704</t>
  </si>
  <si>
    <t>广东省深圳市罗湖区泥岗路红岗东村路桥大厦19-23层</t>
  </si>
  <si>
    <t>吴毅莽</t>
  </si>
  <si>
    <t>深南住建检登〔2022〕32号</t>
  </si>
  <si>
    <t>谭亮，董继峰</t>
  </si>
  <si>
    <t>20231000049</t>
  </si>
  <si>
    <t>对前海合作区跨街公园(G9、G10)项目景观绿化工程双随机抽查</t>
  </si>
  <si>
    <t>前海合作区跨街公园(G9、G10)项目景观绿化工程</t>
  </si>
  <si>
    <t>广东省深圳市龙岗区龙岗街道南联社区圳埔岭路2号F栋三楼301</t>
  </si>
  <si>
    <t>庄利生</t>
  </si>
  <si>
    <t>13923734531</t>
  </si>
  <si>
    <t>1.项目主要管理人员（项目经理、总监）在岗。2.已落实扬尘防控措施。3.项目围挡全封闭，围挡宣传画无污损。</t>
  </si>
  <si>
    <t>深南住建检登[2023]17号</t>
  </si>
  <si>
    <r>
      <rPr>
        <b/>
        <sz val="12"/>
        <rFont val="楷体_GB2312"/>
        <charset val="134"/>
      </rPr>
      <t>宗海根</t>
    </r>
    <r>
      <rPr>
        <sz val="12"/>
        <rFont val="楷体_GB2312"/>
        <charset val="134"/>
      </rPr>
      <t>，董继峰</t>
    </r>
  </si>
  <si>
    <t>2023.10.12法制科</t>
  </si>
  <si>
    <t>20231000061</t>
  </si>
  <si>
    <t>南山区百校焕新工程第二年度Ⅲ标段项目行政检查</t>
  </si>
  <si>
    <t>南山区百校焕新工程第二年度Ⅲ标段施工</t>
  </si>
  <si>
    <t>鲍建宏</t>
  </si>
  <si>
    <t>13603013135</t>
  </si>
  <si>
    <t>1.项目主要管理人员（项目经理、总监）在岗。2.扬尘防治6个100%已落实。3.围挡全封闭，公益广告宣传画无污损情况。</t>
  </si>
  <si>
    <t>深南住建检登[2023]21号</t>
  </si>
  <si>
    <r>
      <rPr>
        <b/>
        <sz val="12"/>
        <rFont val="楷体_GB2312"/>
        <charset val="134"/>
      </rPr>
      <t>李云</t>
    </r>
    <r>
      <rPr>
        <sz val="12"/>
        <rFont val="楷体_GB2312"/>
        <charset val="134"/>
      </rPr>
      <t>，谭亮</t>
    </r>
  </si>
  <si>
    <t>20231000050</t>
  </si>
  <si>
    <t>对深圳湾文化广场（深圳创意设计馆和深圳科技生活馆）施工总承包工程双随机抽查</t>
  </si>
  <si>
    <t>深圳湾文化广场（深圳创意设计馆和深圳科技生活馆）施工总承包工程</t>
  </si>
  <si>
    <t>中建科工集团有限公司</t>
  </si>
  <si>
    <t>914403006803525199</t>
  </si>
  <si>
    <t>深圳市南山区粤海街道蔚蓝海岸社区中心路3331号中建科工大厦38层3801</t>
  </si>
  <si>
    <t>黄世佳</t>
  </si>
  <si>
    <t>13297676677</t>
  </si>
  <si>
    <t>1.抽查深圳湾文化广场（深圳创意设计馆和深圳科技生活馆）施工总承包工程项目主要管理人员（项目经理、总监）在岗履职情况。2.抽查项目扬尘防治6个100%落实情况。3.抽查项目围挡是否全封闭、公益广告宣传画是否存在污损情况。</t>
  </si>
  <si>
    <t>1.项目主要管理人员（项目经理、总监）在岗。2.项目已落实扬尘防控措施。3.项目围挡全封闭，围挡宣传画无污损。</t>
  </si>
  <si>
    <t>深南住建检登[2023]18号</t>
  </si>
  <si>
    <r>
      <rPr>
        <b/>
        <sz val="12"/>
        <rFont val="楷体_GB2312"/>
        <charset val="134"/>
      </rPr>
      <t>付泽正</t>
    </r>
    <r>
      <rPr>
        <sz val="12"/>
        <rFont val="楷体_GB2312"/>
        <charset val="134"/>
      </rPr>
      <t>，高健</t>
    </r>
  </si>
  <si>
    <t>20231000056</t>
  </si>
  <si>
    <t>对深圳普瑞眼科医院室内装修改造工程双随机抽查</t>
  </si>
  <si>
    <t>深圳普瑞眼科医院室内装修改造工程</t>
  </si>
  <si>
    <t>广西华辉装饰集团有限公司</t>
  </si>
  <si>
    <t>91450100715181482M</t>
  </si>
  <si>
    <t>广西壮族自治区南宁市江南区南宁经济技术开发区国凯一支路15号二楼</t>
  </si>
  <si>
    <t>蒙元波</t>
  </si>
  <si>
    <t>13377155631</t>
  </si>
  <si>
    <t>1.项目主要管理人员（项目经理、总监）在岗。2.装饰装修工程无扬尘作业。3.项目围挡全封闭，围挡宣传画无污损。</t>
  </si>
  <si>
    <t>深南住建检登[2023]19号</t>
  </si>
  <si>
    <t>20231000060</t>
  </si>
  <si>
    <t>对前海合作区桂湾片区支路二期（供冷管网）工程双随机抽查</t>
  </si>
  <si>
    <t>前海合作区桂湾片区支路二期（供冷管网）工程</t>
  </si>
  <si>
    <t>中建五局安装工程有限公司</t>
  </si>
  <si>
    <t>914300001837904624</t>
  </si>
  <si>
    <t>南山区前海合作区桂湾片区</t>
  </si>
  <si>
    <t>赵博文</t>
  </si>
  <si>
    <t>18676480627</t>
  </si>
  <si>
    <t>1.抽查前海合作区桂湾片区支路二期（供冷管网）工程项目主要管理人员（项目经理、总监）在岗履职情况。2.抽查项目扬尘防治6个100%落实情况。3.抽查项目围挡是否全封闭、公益广告宣传画是否存在污损情况。</t>
  </si>
  <si>
    <t>1.项目主要管理人员（项目经理、总监）在岗。2.现场已落实扬尘防控措施。3.项目围挡全封闭，围挡宣传画无污损。</t>
  </si>
  <si>
    <t>深南住建检登[2023]22号</t>
  </si>
  <si>
    <t>20231000057</t>
  </si>
  <si>
    <t>九纵二街（公正大街—公正北一街段）和公正大街（九纵二街—九纵三街段）道路及通道工程行政检查</t>
  </si>
  <si>
    <t>九纵二街（公正大街—公正北一街段）和公正大街（九纵二街—九纵三街段）道路及通道工程</t>
  </si>
  <si>
    <t>深圳市新达基建设集团有限公司</t>
  </si>
  <si>
    <t>91440300568545820L</t>
  </si>
  <si>
    <t>深圳市南山区前海片区09-03-02地块</t>
  </si>
  <si>
    <t>吕鹏</t>
  </si>
  <si>
    <t>13423724622</t>
  </si>
  <si>
    <t>深南住建检登[2023]20号</t>
  </si>
  <si>
    <t>20231000038</t>
  </si>
  <si>
    <t>对前海合作区智能公交站台（二期）项目双随机行政检查</t>
  </si>
  <si>
    <t>前海合作区智能公交站台（二期）</t>
  </si>
  <si>
    <t>中建五局土木工程有限公司</t>
  </si>
  <si>
    <t>914301001838581486</t>
  </si>
  <si>
    <t>湖南省长沙市雨花区正塘坡路69号中建信和城总部国际二期大厦B座5-8楼</t>
  </si>
  <si>
    <t>吕高全</t>
  </si>
  <si>
    <t>18107719508</t>
  </si>
  <si>
    <t>1.项目主要管理人员（项目经理、总监）在岗。2.扬尘防治6个100%已落实。3.围挡全封闭，公益广告宣传画无污损。</t>
  </si>
  <si>
    <t>深南住建检登[2023]15号</t>
  </si>
  <si>
    <r>
      <rPr>
        <b/>
        <sz val="12"/>
        <rFont val="楷体_GB2312"/>
        <charset val="134"/>
      </rPr>
      <t>李云</t>
    </r>
    <r>
      <rPr>
        <sz val="12"/>
        <rFont val="楷体_GB2312"/>
        <charset val="134"/>
      </rPr>
      <t>，高健</t>
    </r>
  </si>
  <si>
    <t>20231000044</t>
  </si>
  <si>
    <t>对创新7街（创新6街-创新8街）道路工程双随机抽查</t>
  </si>
  <si>
    <t>创新7街（创新6街-创新8街）道路工程</t>
  </si>
  <si>
    <t>何倩倩</t>
  </si>
  <si>
    <t>13612963557</t>
  </si>
  <si>
    <t>1.抽查创新7街（创新6街-创新8街）道路工程项目主要管理人员（项目经理、总监）在岗履职情况。2.抽查项目扬尘防治6个100%落实情况。3.抽查项目围挡是否全封闭、公益广告宣传画是否存在污损情况。</t>
  </si>
  <si>
    <t>1.项目主要管理人员（项目经理、总监）在岗。2.项目现场已完成路面施工作业，无涉及扬尘施工作业。3.项目现场已完成路面施工作业，围挡已拆除。</t>
  </si>
  <si>
    <t>深南住建检登[2023]16号</t>
  </si>
  <si>
    <r>
      <rPr>
        <b/>
        <sz val="12"/>
        <rFont val="楷体_GB2312"/>
        <charset val="134"/>
      </rPr>
      <t>付泽正</t>
    </r>
    <r>
      <rPr>
        <sz val="12"/>
        <rFont val="楷体_GB2312"/>
        <charset val="134"/>
      </rPr>
      <t>，谭亮</t>
    </r>
  </si>
  <si>
    <t>20231000062</t>
  </si>
  <si>
    <t>对烯创科技大厦项目主体工程双随机抽查</t>
  </si>
  <si>
    <t>烯创科技大厦项目主体工程</t>
  </si>
  <si>
    <t>中建五局华南建设有限公司</t>
  </si>
  <si>
    <t>9144030019220674XY</t>
  </si>
  <si>
    <t>留仙洞总部基地留仙大道与仙鼓路交汇处西南角</t>
  </si>
  <si>
    <t>蒋羽辉</t>
  </si>
  <si>
    <t>15017495517</t>
  </si>
  <si>
    <t>1.项目主要管理人员（项目经理、总监）在岗。2.目前装饰装修阶段，无扬尘作业。3.项目围挡全封闭，围挡宣传画无污损。</t>
  </si>
  <si>
    <t>深南住建检登[2023]23号</t>
  </si>
  <si>
    <t>20241000074</t>
  </si>
  <si>
    <t>对龙辉花园棚户区改造项目基坑支护、土石方及桩基工程双随机抽查</t>
  </si>
  <si>
    <t>龙辉花园棚户区改造项目基坑支护、土石方及桩基工程（西南角范围）</t>
  </si>
  <si>
    <t>中建三局第一建设工程有限责任公司</t>
  </si>
  <si>
    <t>914201007483157744</t>
  </si>
  <si>
    <t>湖北省武汉市东西湖区台商投资区东吴大道特1号</t>
  </si>
  <si>
    <t>李杰</t>
  </si>
  <si>
    <t>18689229108</t>
  </si>
  <si>
    <t>桃源街道</t>
  </si>
  <si>
    <t>抽查扬尘防治6 个100%落实情况。</t>
  </si>
  <si>
    <t>现场已落实扬尘防控6个100%措施，施工现场已设置封闭围挡、出入口已安装TSP 在线监测设备、出入口已安装冲洗设施、出入口及车行道已硬底化、易起尘作业面已湿法施工、裸露土及易起尘物料已覆盖。</t>
  </si>
  <si>
    <t>深南住建检登[2024]17号</t>
  </si>
  <si>
    <r>
      <rPr>
        <b/>
        <sz val="12"/>
        <rFont val="楷体_GB2312"/>
        <charset val="134"/>
      </rPr>
      <t>宗海根</t>
    </r>
    <r>
      <rPr>
        <sz val="12"/>
        <rFont val="楷体_GB2312"/>
        <charset val="134"/>
      </rPr>
      <t>，高广君</t>
    </r>
  </si>
  <si>
    <t>2024.10.17法制科</t>
  </si>
  <si>
    <t>2024.12.13取回</t>
  </si>
  <si>
    <t>√</t>
  </si>
  <si>
    <t>20241000072</t>
  </si>
  <si>
    <t>对东经三路（松白路-规划一路）道路工程双随机抽查</t>
  </si>
  <si>
    <t>东经三路（松白路-规划一路)</t>
  </si>
  <si>
    <t>中建二局第二建筑工程有限公司</t>
  </si>
  <si>
    <t>914100001710718666</t>
  </si>
  <si>
    <t>广东省深圳市南山区南山街道前海路0169号</t>
  </si>
  <si>
    <t>田小东</t>
  </si>
  <si>
    <t>15889620594</t>
  </si>
  <si>
    <t>目前现场未开工，无扬尘作业。</t>
  </si>
  <si>
    <t>深南住建检登[2024]16号</t>
  </si>
  <si>
    <t>20241000076</t>
  </si>
  <si>
    <t>对山海丹华府施工总承包工程进行“双随机、一公开”检查</t>
  </si>
  <si>
    <t>山海丹华府施工总承包工程</t>
  </si>
  <si>
    <t>中国华西企业有限公司</t>
  </si>
  <si>
    <t>9144030019219518XW</t>
  </si>
  <si>
    <t>广东省深圳市宝安区新安街道海滨社区宝兴路6号海纳百川总部大厦B座11层</t>
  </si>
  <si>
    <t>刘丽</t>
  </si>
  <si>
    <t>13570893567</t>
  </si>
  <si>
    <t>抽查扬尘防控措施落实情况。</t>
  </si>
  <si>
    <t>现场无裸露土，围挡已封闭，出入口道路已硬底化，已使用雾炮机喷雾降尘，已安装TSP扬尘监测设备，未发现扬尘问题。</t>
  </si>
  <si>
    <t>深南住建检登[2024]18号</t>
  </si>
  <si>
    <r>
      <rPr>
        <b/>
        <sz val="12"/>
        <rFont val="楷体_GB2312"/>
        <charset val="134"/>
      </rPr>
      <t>董继峰</t>
    </r>
    <r>
      <rPr>
        <sz val="12"/>
        <rFont val="楷体_GB2312"/>
        <charset val="134"/>
      </rPr>
      <t>，韩海亮</t>
    </r>
  </si>
  <si>
    <t>20241000065</t>
  </si>
  <si>
    <t>对南山区创新大道综合提升工程施工总承包工程I标段双随机抽查</t>
  </si>
  <si>
    <t>南山区创新大道综合提升工程施工总承包工程I标段</t>
  </si>
  <si>
    <t>广东省深圳市南山区粤海街道科技园社区科苑路8号讯美科技广场1号楼27A27B</t>
  </si>
  <si>
    <t>温兆麟</t>
  </si>
  <si>
    <t>13510359488</t>
  </si>
  <si>
    <t>深南住建检登[2024]19号</t>
  </si>
  <si>
    <r>
      <rPr>
        <sz val="12"/>
        <rFont val="楷体_GB2312"/>
        <charset val="134"/>
      </rPr>
      <t>付泽正，</t>
    </r>
    <r>
      <rPr>
        <b/>
        <sz val="12"/>
        <rFont val="楷体_GB2312"/>
        <charset val="134"/>
      </rPr>
      <t>韩海亮</t>
    </r>
  </si>
  <si>
    <t>20241000083</t>
  </si>
  <si>
    <t>对南海中学改扩建工程双随机抽查</t>
  </si>
  <si>
    <t>南海中学改扩建工程</t>
  </si>
  <si>
    <t>广东省深圳市南山区粤海街道蔚来海岸社区中心路3331号中建科工大厦38层3801</t>
  </si>
  <si>
    <t>高世昌</t>
  </si>
  <si>
    <t>18612493008</t>
  </si>
  <si>
    <t>深南住建检登[2024]22号</t>
  </si>
  <si>
    <r>
      <rPr>
        <sz val="12"/>
        <rFont val="楷体_GB2312"/>
        <charset val="134"/>
      </rPr>
      <t>付泽正，</t>
    </r>
    <r>
      <rPr>
        <b/>
        <sz val="12"/>
        <rFont val="楷体_GB2312"/>
        <charset val="134"/>
      </rPr>
      <t>高广君</t>
    </r>
  </si>
  <si>
    <t>20241000136</t>
  </si>
  <si>
    <t>对前海珑湾国际人才公寓项目施工总承包工程双随机抽查</t>
  </si>
  <si>
    <t>前海珑湾国际人才公寓项目施工总承包工程</t>
  </si>
  <si>
    <t>中国建筑第八工程局有限公司</t>
  </si>
  <si>
    <t>9131000063126503X1</t>
  </si>
  <si>
    <t>上海市浦东新区中国（上海）自由贸易试验区世纪大道1568号27层</t>
  </si>
  <si>
    <t>鞠保国</t>
  </si>
  <si>
    <t>抽查项目主要管理人员（项目经理、总监）在岗履职情况。</t>
  </si>
  <si>
    <t>项目经理、总监在岗。</t>
  </si>
  <si>
    <t>深南住建检登[2024]44号</t>
  </si>
  <si>
    <r>
      <rPr>
        <b/>
        <sz val="12"/>
        <rFont val="楷体_GB2312"/>
        <charset val="134"/>
      </rPr>
      <t>高广君</t>
    </r>
    <r>
      <rPr>
        <sz val="12"/>
        <rFont val="楷体_GB2312"/>
        <charset val="134"/>
      </rPr>
      <t>,韩海亮</t>
    </r>
  </si>
  <si>
    <t>20241000139</t>
  </si>
  <si>
    <t>对深圳市科苑大道地下空间综合开发项目交通疏解工程(含路灯改迁及恢复工程）双随机抽查</t>
  </si>
  <si>
    <t>深圳市科苑大道地下空间综合开发项目交通疏解工程(含路灯改迁及恢复工程）</t>
  </si>
  <si>
    <t>中国二十冶集团有限公司</t>
  </si>
  <si>
    <t>91310000739759277B</t>
  </si>
  <si>
    <t>上海市宝山区盘古路777号</t>
  </si>
  <si>
    <t>鲁金辉</t>
  </si>
  <si>
    <t>项目主要管理人员（项目经理、总监）在岗。</t>
  </si>
  <si>
    <t>深南住建检登[2024]45号</t>
  </si>
  <si>
    <r>
      <rPr>
        <b/>
        <sz val="12"/>
        <rFont val="楷体_GB2312"/>
        <charset val="134"/>
      </rPr>
      <t>宗海根</t>
    </r>
    <r>
      <rPr>
        <sz val="12"/>
        <rFont val="楷体_GB2312"/>
        <charset val="134"/>
      </rPr>
      <t>、董继峰</t>
    </r>
  </si>
  <si>
    <t>24年检查</t>
  </si>
  <si>
    <t>合计</t>
  </si>
  <si>
    <t>南山区安监站行政处罚台账（标绿为文明施工类）</t>
  </si>
  <si>
    <t>市司法局系统案件编号</t>
  </si>
  <si>
    <t>案件名称</t>
  </si>
  <si>
    <t>处罚企业名称/人员名称</t>
  </si>
  <si>
    <t>企业（人员）角色</t>
  </si>
  <si>
    <t>社会信用代码/个人身份证号码</t>
  </si>
  <si>
    <t>法人代表</t>
  </si>
  <si>
    <t>身份证</t>
  </si>
  <si>
    <t>案由</t>
  </si>
  <si>
    <t>处罚原因（标绿为文明施工类）</t>
  </si>
  <si>
    <t>立案编号</t>
  </si>
  <si>
    <t>行政处罚
决定书文号</t>
  </si>
  <si>
    <t>立案时间</t>
  </si>
  <si>
    <t>处罚决定时间</t>
  </si>
  <si>
    <t>处罚金额
（万元）</t>
  </si>
  <si>
    <t>结案时间</t>
  </si>
  <si>
    <t>归档号</t>
  </si>
  <si>
    <t>经办人员</t>
  </si>
  <si>
    <r>
      <rPr>
        <sz val="12"/>
        <rFont val="黑体"/>
        <charset val="134"/>
      </rPr>
      <t xml:space="preserve">省执法公示
</t>
    </r>
    <r>
      <rPr>
        <b/>
        <sz val="12"/>
        <color rgb="FFFF0000"/>
        <rFont val="黑体"/>
        <charset val="134"/>
      </rPr>
      <t>（5个工作日）</t>
    </r>
  </si>
  <si>
    <r>
      <rPr>
        <sz val="12"/>
        <rFont val="黑体"/>
        <charset val="134"/>
      </rPr>
      <t>结果报送区司法局/局法制科</t>
    </r>
    <r>
      <rPr>
        <b/>
        <sz val="12"/>
        <color rgb="FFFF0000"/>
        <rFont val="黑体"/>
        <charset val="134"/>
      </rPr>
      <t>（5日内）</t>
    </r>
  </si>
  <si>
    <r>
      <rPr>
        <sz val="12"/>
        <rFont val="黑体"/>
        <charset val="134"/>
      </rPr>
      <t>市司法系统
（</t>
    </r>
    <r>
      <rPr>
        <b/>
        <sz val="12"/>
        <color rgb="FFFF0000"/>
        <rFont val="黑体"/>
        <charset val="134"/>
      </rPr>
      <t>7个工作日</t>
    </r>
    <r>
      <rPr>
        <sz val="12"/>
        <rFont val="黑体"/>
        <charset val="134"/>
      </rPr>
      <t>）</t>
    </r>
  </si>
  <si>
    <r>
      <rPr>
        <sz val="12"/>
        <rFont val="黑体"/>
        <charset val="134"/>
      </rPr>
      <t>区政务平台
（</t>
    </r>
    <r>
      <rPr>
        <b/>
        <sz val="12"/>
        <color rgb="FFFF0000"/>
        <rFont val="黑体"/>
        <charset val="134"/>
      </rPr>
      <t>5个工作日</t>
    </r>
    <r>
      <rPr>
        <sz val="12"/>
        <rFont val="黑体"/>
        <charset val="134"/>
      </rPr>
      <t>）</t>
    </r>
  </si>
  <si>
    <t>市住建局智慧监管平台</t>
  </si>
  <si>
    <t>法制科归档</t>
  </si>
  <si>
    <t>案卷整理</t>
  </si>
  <si>
    <t>打码装订</t>
  </si>
  <si>
    <t>制作外盒</t>
  </si>
  <si>
    <t>归档时间</t>
  </si>
  <si>
    <t>提出复议时间</t>
  </si>
  <si>
    <t>被撤销时间</t>
  </si>
  <si>
    <t>复议结果</t>
  </si>
  <si>
    <t>行政诉讼时间</t>
  </si>
  <si>
    <t>诉讼结果</t>
  </si>
  <si>
    <t>执行结果</t>
  </si>
  <si>
    <t>非税缴款通知书号码/识别码</t>
  </si>
  <si>
    <t>非税票据号码</t>
  </si>
  <si>
    <t>行政强制执行催告书文号</t>
  </si>
  <si>
    <t>催告时间</t>
  </si>
  <si>
    <t>金额</t>
  </si>
  <si>
    <t>强制执行决定书文书时间</t>
  </si>
  <si>
    <t>强制执行时间</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</si>
  <si>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</si>
  <si>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</si>
  <si>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</si>
  <si>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</si>
  <si>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</si>
  <si>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</si>
  <si>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</si>
  <si>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</si>
  <si>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</si>
  <si>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</si>
  <si>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</si>
  <si>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</si>
  <si>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</si>
  <si>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</si>
  <si>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</si>
  <si>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</si>
  <si>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</si>
  <si>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</si>
  <si>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</si>
  <si>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</si>
  <si>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</si>
  <si>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</si>
  <si>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</si>
  <si>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</si>
  <si>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</si>
  <si>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</si>
  <si>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</si>
  <si>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</si>
  <si>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</si>
  <si>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</si>
  <si>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</si>
  <si>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</si>
  <si>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</si>
  <si>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</si>
  <si>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</si>
  <si>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</si>
  <si>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</si>
  <si>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</si>
  <si>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</si>
  <si>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</si>
  <si>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</si>
  <si>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</si>
  <si>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</si>
  <si>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</si>
  <si>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</si>
  <si>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</si>
  <si>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</si>
  <si>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</si>
  <si>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</si>
  <si>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</si>
  <si>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</si>
  <si>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</si>
  <si>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</si>
  <si>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</si>
  <si>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</si>
  <si>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</si>
  <si>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</si>
  <si>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</si>
  <si>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</si>
  <si>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</si>
  <si>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</si>
  <si>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</si>
  <si>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</si>
  <si>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</si>
  <si>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</si>
  <si>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</si>
  <si>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</si>
  <si>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</si>
  <si>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</si>
  <si>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</si>
  <si>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</si>
  <si>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</si>
  <si>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</si>
  <si>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</si>
  <si>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</si>
  <si>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</si>
  <si>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</si>
  <si>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</si>
  <si>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</si>
  <si>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宗海根、高健</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</si>
  <si>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</si>
  <si>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</si>
  <si>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</si>
  <si>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</si>
  <si>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</si>
  <si>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</si>
  <si>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</si>
  <si>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</si>
  <si>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</si>
  <si>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</si>
  <si>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</si>
  <si>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</si>
  <si>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</si>
  <si>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</si>
  <si>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</si>
  <si>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</si>
  <si>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</si>
  <si>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</si>
  <si>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</si>
  <si>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</si>
  <si>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</si>
  <si>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</si>
  <si>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</si>
  <si>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</si>
  <si>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</si>
  <si>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</si>
  <si>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</si>
  <si>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</si>
  <si>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</si>
  <si>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</si>
  <si>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</si>
  <si>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</si>
  <si>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</si>
  <si>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</si>
  <si>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</si>
  <si>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</si>
  <si>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</si>
  <si>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</si>
  <si>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</si>
  <si>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</si>
  <si>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</si>
  <si>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</si>
  <si>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</si>
  <si>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</si>
  <si>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</si>
  <si>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</si>
  <si>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</si>
  <si>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</si>
  <si>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</si>
  <si>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</si>
  <si>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</si>
  <si>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</si>
  <si>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付泽正、董继峰</t>
  </si>
  <si>
    <t>区法制办
2018-10-31
国安委办
2019-5-13</t>
  </si>
  <si>
    <t>关于中建钢构有限公司擅自允许未密闭化车辆出场案</t>
  </si>
  <si>
    <t>南山区档案服务大厦</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</si>
  <si>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</si>
  <si>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</si>
  <si>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</si>
  <si>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</si>
  <si>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</si>
  <si>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</si>
  <si>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</si>
  <si>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</si>
  <si>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</si>
  <si>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</si>
  <si>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</si>
  <si>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</si>
  <si>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</si>
  <si>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</si>
  <si>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</si>
  <si>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</si>
  <si>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</si>
  <si>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</si>
  <si>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</si>
  <si>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</si>
  <si>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</si>
  <si>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</si>
  <si>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</si>
  <si>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</si>
  <si>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</si>
  <si>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</si>
  <si>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</si>
  <si>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</si>
  <si>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</si>
  <si>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</si>
  <si>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</si>
  <si>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</si>
  <si>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</si>
  <si>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</si>
  <si>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</si>
  <si>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</si>
  <si>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</si>
  <si>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</si>
  <si>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贺爱军、谭亮</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</si>
  <si>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</si>
  <si>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</si>
  <si>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</si>
  <si>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</si>
  <si>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</si>
  <si>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</si>
  <si>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</si>
  <si>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</si>
  <si>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</si>
  <si>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</si>
  <si>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</si>
  <si>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</si>
  <si>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</si>
  <si>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</si>
  <si>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</si>
  <si>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</si>
  <si>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</si>
  <si>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</si>
  <si>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</si>
  <si>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</si>
  <si>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</si>
  <si>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</si>
  <si>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</si>
  <si>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</si>
  <si>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</si>
  <si>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</si>
  <si>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</si>
  <si>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</si>
  <si>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</si>
  <si>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</si>
  <si>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</si>
  <si>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</si>
  <si>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</si>
  <si>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</si>
  <si>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</si>
  <si>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</si>
  <si>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</si>
  <si>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</si>
  <si>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</si>
  <si>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</si>
  <si>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</si>
  <si>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</si>
  <si>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</si>
  <si>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</si>
  <si>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</si>
  <si>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</si>
  <si>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</si>
  <si>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</si>
  <si>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</si>
  <si>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</si>
  <si>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</si>
  <si>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</si>
  <si>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</si>
  <si>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</si>
  <si>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</si>
  <si>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</si>
  <si>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</si>
  <si>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</si>
  <si>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</si>
  <si>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</si>
  <si>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</si>
  <si>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</si>
  <si>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</si>
  <si>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</si>
  <si>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</si>
  <si>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</si>
  <si>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</si>
  <si>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</si>
  <si>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</si>
  <si>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</si>
  <si>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</si>
  <si>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</si>
  <si>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</si>
  <si>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</si>
  <si>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</si>
  <si>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</si>
  <si>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</si>
  <si>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</si>
  <si>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</si>
  <si>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</si>
  <si>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</si>
  <si>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</si>
  <si>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</si>
  <si>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</si>
  <si>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</si>
  <si>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</si>
  <si>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</si>
  <si>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</si>
  <si>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</si>
  <si>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</si>
  <si>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</si>
  <si>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</si>
  <si>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</si>
  <si>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</si>
  <si>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</si>
  <si>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</si>
  <si>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</si>
  <si>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</si>
  <si>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</si>
  <si>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</si>
  <si>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</si>
  <si>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</si>
  <si>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</si>
  <si>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</si>
  <si>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</si>
  <si>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</si>
  <si>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</si>
  <si>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</si>
  <si>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</si>
  <si>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</si>
  <si>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</si>
  <si>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</si>
  <si>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</si>
  <si>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</si>
  <si>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</si>
  <si>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</si>
  <si>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</si>
  <si>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</si>
  <si>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</si>
  <si>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</si>
  <si>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</si>
  <si>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</si>
  <si>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</si>
  <si>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</si>
  <si>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</si>
  <si>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</si>
  <si>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</si>
  <si>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</si>
  <si>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</si>
  <si>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</si>
  <si>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</si>
  <si>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</si>
  <si>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</si>
  <si>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</si>
  <si>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</si>
  <si>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</si>
  <si>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</si>
  <si>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</si>
  <si>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</si>
  <si>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</si>
  <si>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</si>
  <si>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</si>
  <si>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</si>
  <si>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</si>
  <si>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</si>
  <si>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</si>
  <si>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</si>
  <si>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</si>
  <si>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</si>
  <si>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</si>
  <si>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</si>
  <si>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</si>
  <si>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</si>
  <si>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</si>
  <si>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</si>
  <si>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</si>
  <si>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</si>
  <si>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</si>
  <si>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</si>
  <si>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</si>
  <si>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</si>
  <si>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</si>
  <si>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</si>
  <si>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</si>
  <si>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</si>
  <si>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</si>
  <si>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</si>
  <si>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</si>
  <si>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</si>
  <si>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</si>
  <si>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</si>
  <si>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</si>
  <si>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</si>
  <si>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</si>
  <si>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</si>
  <si>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</si>
  <si>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</si>
  <si>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</si>
  <si>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</si>
  <si>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</si>
  <si>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</si>
  <si>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</si>
  <si>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</si>
  <si>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</si>
  <si>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</si>
  <si>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</si>
  <si>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</si>
  <si>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</si>
  <si>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</si>
  <si>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</si>
  <si>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</si>
  <si>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</si>
  <si>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</si>
  <si>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</si>
  <si>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</si>
  <si>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</si>
  <si>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</si>
  <si>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</si>
  <si>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</si>
  <si>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</si>
  <si>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</si>
  <si>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</si>
  <si>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</si>
  <si>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</si>
  <si>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</si>
  <si>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</si>
  <si>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</si>
  <si>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</si>
  <si>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</si>
  <si>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</si>
  <si>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</si>
  <si>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</si>
  <si>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</si>
  <si>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</si>
  <si>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</si>
  <si>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</si>
  <si>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</si>
  <si>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</si>
  <si>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</si>
  <si>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</si>
  <si>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</si>
  <si>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</si>
  <si>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</si>
  <si>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</si>
  <si>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</si>
  <si>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</si>
  <si>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</si>
  <si>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</si>
  <si>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</si>
  <si>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</si>
  <si>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</si>
  <si>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</si>
  <si>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</si>
  <si>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</si>
  <si>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</si>
  <si>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2022年归档</t>
  </si>
  <si>
    <t>已移交法制科</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</si>
  <si>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</si>
  <si>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</si>
  <si>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</si>
  <si>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</si>
  <si>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</si>
  <si>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</si>
  <si>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</si>
  <si>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</si>
  <si>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</si>
  <si>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</si>
  <si>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</si>
  <si>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</si>
  <si>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</si>
  <si>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</si>
  <si>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</si>
  <si>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</si>
  <si>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</si>
  <si>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</si>
  <si>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</si>
  <si>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</si>
  <si>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</si>
  <si>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</si>
  <si>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</si>
  <si>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</si>
  <si>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</si>
  <si>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</si>
  <si>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</si>
  <si>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</si>
  <si>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</si>
  <si>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</si>
  <si>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</si>
  <si>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</si>
  <si>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</si>
  <si>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</si>
  <si>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</si>
  <si>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</si>
  <si>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</si>
  <si>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</si>
  <si>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</si>
  <si>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</si>
  <si>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</si>
  <si>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</si>
  <si>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</si>
  <si>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</si>
  <si>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</si>
  <si>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</si>
  <si>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</si>
  <si>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</si>
  <si>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</si>
  <si>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</si>
  <si>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</si>
  <si>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</si>
  <si>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</si>
  <si>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</si>
  <si>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</si>
  <si>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</si>
  <si>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</si>
  <si>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</si>
  <si>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</si>
  <si>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</si>
  <si>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</si>
  <si>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</si>
  <si>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</si>
  <si>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</si>
  <si>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</si>
  <si>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</si>
  <si>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</si>
  <si>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</si>
  <si>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</si>
  <si>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</si>
  <si>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</si>
  <si>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</si>
  <si>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</si>
  <si>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</si>
  <si>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0422000118250009</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</si>
  <si>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</si>
  <si>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</si>
  <si>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</si>
  <si>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</si>
  <si>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</si>
  <si>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</si>
  <si>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</si>
  <si>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0422000118252001</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</si>
  <si>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</si>
  <si>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</si>
  <si>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</si>
  <si>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</si>
  <si>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</si>
  <si>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</si>
  <si>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</si>
  <si>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0422000118251005</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</si>
  <si>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</si>
  <si>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</si>
  <si>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</si>
  <si>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</si>
  <si>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</si>
  <si>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安全生产管理规定》第二十条的规定。</t>
  </si>
  <si>
    <t>深南住建行罚决〔2020〕5号</t>
  </si>
  <si>
    <t>20201111111922</t>
  </si>
  <si>
    <t>0422000121124006</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</si>
  <si>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</si>
  <si>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</si>
  <si>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</si>
  <si>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</si>
  <si>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</si>
  <si>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</si>
  <si>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</si>
  <si>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</si>
  <si>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市司法系统未结案</t>
  </si>
  <si>
    <t>0422100121125002</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</si>
  <si>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</si>
  <si>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</si>
  <si>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</si>
  <si>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</si>
  <si>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</si>
  <si>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</si>
  <si>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</si>
  <si>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0422100121126009</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</si>
  <si>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</si>
  <si>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</si>
  <si>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</si>
  <si>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</si>
  <si>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</si>
  <si>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</si>
  <si>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</si>
  <si>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0422100121127005</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</si>
  <si>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</si>
  <si>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</si>
  <si>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</si>
  <si>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</si>
  <si>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</si>
  <si>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</si>
  <si>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</si>
  <si>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</si>
  <si>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</si>
  <si>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2022.1.7市安委办</t>
  </si>
  <si>
    <t>0422100121131009</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</si>
  <si>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</si>
  <si>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</si>
  <si>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</si>
  <si>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</si>
  <si>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</si>
  <si>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</si>
  <si>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0422100121132005</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</si>
  <si>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</si>
  <si>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</si>
  <si>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</si>
  <si>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</si>
  <si>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</si>
  <si>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</si>
  <si>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</si>
  <si>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李云、谭亮</t>
  </si>
  <si>
    <t>2021.7.15区司法局</t>
  </si>
  <si>
    <t>0422100121137007</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</si>
  <si>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</si>
  <si>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</si>
  <si>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</si>
  <si>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</si>
  <si>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</si>
  <si>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2021.7.15区司法局
2022.1.7市安委办</t>
  </si>
  <si>
    <t>0422100121135004</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</si>
  <si>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</si>
  <si>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</si>
  <si>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</si>
  <si>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</si>
  <si>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</si>
  <si>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0422100121136000</t>
  </si>
  <si>
    <t>建筑施工企业在施工工地未采取有效防尘措施</t>
  </si>
  <si>
    <t>仙元路（仙茶路-同发南路）市政道路工程</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</si>
  <si>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</si>
  <si>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</si>
  <si>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</si>
  <si>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</si>
  <si>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</si>
  <si>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0422100121144000</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</si>
  <si>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</si>
  <si>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</si>
  <si>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</si>
  <si>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</si>
  <si>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</si>
  <si>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</si>
  <si>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</si>
  <si>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0422100121141001</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</si>
  <si>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</si>
  <si>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</si>
  <si>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</si>
  <si>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</si>
  <si>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</si>
  <si>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</si>
  <si>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0422100121143004</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</si>
  <si>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</si>
  <si>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</si>
  <si>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</si>
  <si>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</si>
  <si>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</si>
  <si>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</si>
  <si>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2020.10.20区司法局
2022.1.7市安委办</t>
  </si>
  <si>
    <t>0422100121142008</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</si>
  <si>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</si>
  <si>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</si>
  <si>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</si>
  <si>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</si>
  <si>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</si>
  <si>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</si>
  <si>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</si>
  <si>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</si>
  <si>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0422100121146003</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</si>
  <si>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</si>
  <si>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</si>
  <si>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</si>
  <si>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</si>
  <si>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</si>
  <si>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</si>
  <si>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</si>
  <si>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</si>
  <si>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0422100121145007</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</si>
  <si>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</si>
  <si>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</si>
  <si>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</si>
  <si>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</si>
  <si>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</si>
  <si>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</si>
  <si>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</si>
  <si>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</si>
  <si>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0422100121147010</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</si>
  <si>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</si>
  <si>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</si>
  <si>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</si>
  <si>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</si>
  <si>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</si>
  <si>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</si>
  <si>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</si>
  <si>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0422100121148006</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</si>
  <si>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</si>
  <si>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</si>
  <si>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</si>
  <si>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</si>
  <si>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</si>
  <si>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</si>
  <si>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</si>
  <si>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</si>
  <si>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0422100121167005</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</si>
  <si>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</si>
  <si>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</si>
  <si>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</si>
  <si>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</si>
  <si>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负责人、项目负责人和专职安全生产管理人员安全生产管理规定》第十一条的规定。</t>
  </si>
  <si>
    <t>深南住建行罚立〔2021〕47号</t>
  </si>
  <si>
    <t>深南住建罚〔2021〕51号</t>
  </si>
  <si>
    <t>0422100121178004</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</si>
  <si>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</si>
  <si>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</si>
  <si>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</si>
  <si>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</si>
  <si>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</si>
  <si>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调查，你（单位）作为华侨城深圳湾新玺名苑项目一期主体施工工程的施工单位，于2021年12月9日存在施工工地未采取覆盖、洒水抑尘等有效防尘降尘措施的违法行为。经查询，截止至2021年12月9日止，你（单位）在1年内未被广东省执法机构认定实施过同类违法行为。上述行为违反了《广东省环境保护条例》第四十条第二款的规定。</t>
  </si>
  <si>
    <t>深南住建行罚立〔2021〕55号</t>
  </si>
  <si>
    <t>深南住建罚〔2022〕7号</t>
  </si>
  <si>
    <t>2022.4.6区司法局</t>
  </si>
  <si>
    <t>44030522000000047414</t>
  </si>
  <si>
    <t>0017479710</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</si>
  <si>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</si>
  <si>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</si>
  <si>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</si>
  <si>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</si>
  <si>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</si>
  <si>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</si>
  <si>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</si>
  <si>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t>
  </si>
  <si>
    <t>0422100121180006</t>
  </si>
  <si>
    <t>20213000188</t>
  </si>
  <si>
    <t>项目负责人未按照规定现场履职</t>
  </si>
  <si>
    <t>南山区高新公寓棚户区改造项目设计采购施工总承包工程</t>
  </si>
  <si>
    <t>广州丰利达安防科技有限公司</t>
  </si>
  <si>
    <t>91440101MA59FPNW26</t>
  </si>
  <si>
    <t>经调查，你（单位）作为南山区高新公寓棚户区改造项目设计采购施工总承包工程项目的施工单位，在2021年12月7日，该项目施工工地1#楼附着式升降脚手架正在进行18层至19层提升作业时存在项目负责人未在施工现场履职的行为。上述行为违反了《危险性较大的分部分项工程安全管理规定》第十七条第一款的规定。</t>
  </si>
  <si>
    <t>深南住建行罚立〔2021〕57号</t>
  </si>
  <si>
    <t>深南住建罚〔2022〕5号</t>
  </si>
  <si>
    <t>0017474170</t>
  </si>
  <si>
    <t>20213000190</t>
  </si>
  <si>
    <t>孟良</t>
  </si>
  <si>
    <t>412726197710151615</t>
  </si>
  <si>
    <t>经调查，你（单位）作为南山区高新公寓棚户区改造项目设计采购施工总承包工程项目的项目负责人，在2021年12月7日，该项目施工工地1#楼附着式升降脚手架正在进行18层至19层提升作业时你（单位）存在未在施工现场履职的行为。上述行为违反了《危险性较大的分部分项工程安全管理规定》第十七条第一款的规定。</t>
  </si>
  <si>
    <t>深南住建行罚立〔2021〕58号</t>
  </si>
  <si>
    <t>深南住建罚〔2022〕6号</t>
  </si>
  <si>
    <t>0017474171</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</si>
  <si>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</si>
  <si>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</si>
  <si>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</si>
  <si>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</si>
  <si>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</si>
  <si>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调查，你（单位）作为酷派信息港城市更新项目二期基坑支护工程的施工单位，于2021年12月13日存在施工工地未采取覆盖、洒水抑尘等有效防尘降尘措施的违法行为。经查询，你（单位）分别于2021年2月25日、2021年3月1日被广东省行政执法信息公示平台认定过同类违法行为，本次违法行为系一年内第三次同类违法的行为。上述行为违反了《广东省环境保护条例》第四十条第二款的规定。</t>
  </si>
  <si>
    <t>深南住建行罚立〔2021〕59号</t>
  </si>
  <si>
    <t>深南住建罚〔2022〕10号</t>
  </si>
  <si>
    <t>2023.10.30已取回</t>
  </si>
  <si>
    <t>44030522000000047422</t>
  </si>
  <si>
    <t>0017478693</t>
  </si>
  <si>
    <t>20223000013</t>
  </si>
  <si>
    <t>太子湾学校西校区施工单位未按规定建立危大工程安全管理档案</t>
  </si>
  <si>
    <t>太子湾学校西校区项目</t>
  </si>
  <si>
    <t>该单位是太子湾学校西校区项目的施工单位，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</si>
  <si>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深南住建行罚立〔2022〕14号</t>
  </si>
  <si>
    <t>深南住建罚〔2022〕15号</t>
  </si>
  <si>
    <t>2022.4.6区司法局，2022.12.29区安委办</t>
  </si>
  <si>
    <t>0017490429</t>
  </si>
  <si>
    <t>20223000014</t>
  </si>
  <si>
    <t>陈振林</t>
  </si>
  <si>
    <t>420122198111055812</t>
  </si>
  <si>
    <t>当事人是施工单位中建科工集团有限公司太子湾学校西校区项目的项目经理，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</si>
  <si>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深南住建行罚立〔2022〕15号</t>
  </si>
  <si>
    <t>深南住建罚〔2022〕16号</t>
  </si>
  <si>
    <t>0017490430</t>
  </si>
  <si>
    <t>20223000015</t>
  </si>
  <si>
    <t>苏相岗</t>
  </si>
  <si>
    <t>411481199201067518</t>
  </si>
  <si>
    <t>当事人是施工单位中建科工集团有限公司太子湾学校西校区项目的技术负责人，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</si>
  <si>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深南住建行罚立〔2022〕16号</t>
  </si>
  <si>
    <t>深南住建罚〔2022〕17号</t>
  </si>
  <si>
    <t>2022.4.6区司法局
2022.10.18市司法局，2022.12.29区安委办</t>
  </si>
  <si>
    <t>0017490427</t>
  </si>
  <si>
    <t>20223000017</t>
  </si>
  <si>
    <t>中建二局第二建筑工程有限公司未实施防止塔式起重机相互碰撞的安全措施案</t>
  </si>
  <si>
    <t>砺剑大厦</t>
  </si>
  <si>
    <t>未实施防止塔式起重机相互碰撞的安全措施</t>
  </si>
  <si>
    <t>经调查，你（单位）作为砺剑大厦项目的总承包单位，于2022年1月17日被我局发现该项目现场有2台塔式起重机作业，且存在未实施防止塔式起重机相互碰撞的安全措施（未按照方案要求在塔机上预备木楔，紧急情况下楔紧回转齿圈）的行为，上述行为违反了《建筑起重机械安全监督管理规定》第二十一条第（七）项的规定。</t>
  </si>
  <si>
    <t>深南住建行罚立〔2022〕3号</t>
  </si>
  <si>
    <t>深南住建罚〔2022〕14号</t>
  </si>
  <si>
    <t>2022.7.14区司法局，2022.12.29区安委办</t>
  </si>
  <si>
    <t>0017492042</t>
  </si>
  <si>
    <t>20223000067</t>
  </si>
  <si>
    <t>中建科工发展有限公司未在施工现场入口处设置明显的安全警示标志</t>
  </si>
  <si>
    <t>留仙小学改扩建施工总承包工程（II期）</t>
  </si>
  <si>
    <t>中建科工发展有限公司</t>
  </si>
  <si>
    <t>91440300MA5GNU606U</t>
  </si>
  <si>
    <t>施工单位未在施工现场入口处设置明显的安全警示标志</t>
  </si>
  <si>
    <t>经调查，你（单位）中建科工发展有限公司是留仙小学改扩建施工总承包工程（II期）的施工单位，该项目在同乐路设置了施工出入口，本单位于2022年6月7日发现你（单位）存在未在该项目现场出入口处设置明显的安全警示标识的行为。上述行为违反了《中华人民共和国安全生产法》第三十五条的规定。</t>
  </si>
  <si>
    <t>深南住建行罚立〔2022〕4号</t>
  </si>
  <si>
    <t>深南住建罚〔2022〕41号</t>
  </si>
  <si>
    <t>2022.9.21法制科，2023.4.6区司法局</t>
  </si>
  <si>
    <t>2024年归档</t>
  </si>
  <si>
    <t>9001856857</t>
  </si>
  <si>
    <t>20223000082</t>
  </si>
  <si>
    <t>施工单位未采取措施消除事故隐患案</t>
  </si>
  <si>
    <t>南山区科技联合大厦施工总承包工程</t>
  </si>
  <si>
    <t>经调查，你（单位）中建二局第二建筑工程有限公司是南山区科技联合大厦工程施工总承包工程项目的施工单位。本单位于2022年6月16日发现该项目现场1区首道内支撑临边部位未设置临边防护栏杆，你（单位）存在未采取措施消除事故隐患的行为。上述行为违反了《中华人民共和国安全生产法》第四十一条第二款的规定。</t>
  </si>
  <si>
    <t>深南住建行罚立〔2022〕47号</t>
  </si>
  <si>
    <t>深南住建罚〔2022〕38号</t>
  </si>
  <si>
    <t>9001854918</t>
  </si>
  <si>
    <t>20223000083</t>
  </si>
  <si>
    <t>施工单位未为从业人员提供符合国家标准或者行业标准的劳动防护用品案</t>
  </si>
  <si>
    <t>深圳市中承建设有限公司</t>
  </si>
  <si>
    <t>91440300MA5DPHQE0M</t>
  </si>
  <si>
    <t>经调查，你（单位）深圳市中承建设有限公司是南山区科技联合大厦工程内支撑拆除工程的施工单位。本单位于2022年6月16日发现你（单位）存在未为从业人员提供符合国家标准或者行业标准的劳动防护用品（安全带）的行为。上述行为违反了《中华人民共和国安全生产法》第四十五条的规定。</t>
  </si>
  <si>
    <t>深南住建行罚立〔2022〕48号</t>
  </si>
  <si>
    <t>深南住建罚〔2022〕37号</t>
  </si>
  <si>
    <t>9001854917</t>
  </si>
  <si>
    <t>20223000084</t>
  </si>
  <si>
    <t>中国建筑第五工程局有限公司未与在同一作业区域内的生产经营单位指定专职安全生产管理人员进行安全检查与协调案</t>
  </si>
  <si>
    <t>深圳湾文化广场BC地块I标段施工总承包工程</t>
  </si>
  <si>
    <t>中国建筑第五工程局有限公司</t>
  </si>
  <si>
    <t>91430000183764483Y</t>
  </si>
  <si>
    <t>未指定专职安全生产管理人员进行安全检查与协调</t>
  </si>
  <si>
    <t>经调查，你（单位）是深圳湾文化广场BC 地块Ⅰ标段施工总承包工程项目的施工总承包单位，本单位于2022年6月23日发现你（单位）和深圳市安运土石方工程有限公司在同一作业区域内（深圳湾文化广场BC 地块Ⅰ标段）施工作业，可能危及对方安全生产，你（单位）和深圳市安运土石方工程有限公司虽已签订安全生产管理协议，但存在未指定专职安全生产管理人员进行安全检查与协调的行为。上述行为违反了《中华人民共和国安全生产法》第四十八条的规定。</t>
  </si>
  <si>
    <t>深南住建行罚立〔2022〕49号</t>
  </si>
  <si>
    <t>深南住建罚〔2022〕47号</t>
  </si>
  <si>
    <t>2022.10.18市司法局，2023.1.11法制科</t>
  </si>
  <si>
    <t>4403052200000174131X</t>
  </si>
  <si>
    <t>20223000085</t>
  </si>
  <si>
    <t>中国建筑第五工程局有限公司未与在同一作业区域内的生产经营单位指定专职安全生产管理人员进行安全检查与协调（项目经理贺显）</t>
  </si>
  <si>
    <t>贺显</t>
  </si>
  <si>
    <t>432522198710123296</t>
  </si>
  <si>
    <t>经调查，中国建筑第五工程局有限公司是深圳湾文化广场BC地块Ⅰ标段施工总承包工程项目的施工总承包单位，你（单位）是中国建筑第五工程局有限公司在该项目的的项目经理。本单位于2022年6月23日发现中国建筑第五工程局有限公司和深圳市安运土石方工程有限公司在同一作业区域内（深圳湾文化广场BC 地块Ⅰ标段）施工作业，可能危及对方安全生产，中国建筑第五工程局有限公司和深圳市安运土石方工程有限公司虽已签订安全生产管理协议，但存在未指定专职安全生产管理人员进行安全检查与协调的行为。你（单位）是中国建筑第五工程局有限公司在该项目的的项目经理，系该违法行为直接负责的主管人员。上述行为违反了《中华人民共和国安全生产法》第四十八条的规定。</t>
  </si>
  <si>
    <t>深南住建行罚立〔2022〕50号</t>
  </si>
  <si>
    <t>深南住建罚〔2022〕48号</t>
  </si>
  <si>
    <t>9001862890</t>
  </si>
  <si>
    <t>20223000086</t>
  </si>
  <si>
    <t>深圳市安运土石方工程有限公司未与在同一作业区域内的生产经营单位指定专职安全生产管理人员进行安全检查与协调</t>
  </si>
  <si>
    <t>深圳市安运土石方工程有限公司</t>
  </si>
  <si>
    <t>91440300685370580L</t>
  </si>
  <si>
    <t>经调查，你（单位）是深圳湾文化广场BC 地块Ⅰ标段施工总承包工程项目的土石方施工单位，本单位于2022年6月23日发现你（单位）和中国建筑第五工程局有限公司在同一作业区域内（深圳湾文化广场BC 地块Ⅰ标段）施工作业，可能危及对方安全生产，你（单位）和中国建筑第五工程局有限公司虽已签订安全生产管理协议，但存在未指定专职安全生产管理人员进行安全检查与协调的行为。上述行为违反了《中华人民共和国安全生产法》第四十八条的规定。</t>
  </si>
  <si>
    <t>深南住建行罚立〔2022〕51号</t>
  </si>
  <si>
    <t>深南住建罚〔2022〕45号</t>
  </si>
  <si>
    <t>9001869920</t>
  </si>
  <si>
    <t>20223000087</t>
  </si>
  <si>
    <t>深圳市安运土石方工程有限公司未与在同一作业区域内的生产经营单位指定专职安全生产管理人员进行安全检查与协调（现场负责人刘炽严）</t>
  </si>
  <si>
    <t>刘炽严</t>
  </si>
  <si>
    <t>专业分包单位现场负责人</t>
  </si>
  <si>
    <t>440923199412055275</t>
  </si>
  <si>
    <t>经调查，深圳市安运土石方工程有限公司是深圳湾文化广场BC地块Ⅰ标段施工总承包工程项目的土石方施工单位，你（单位）是深圳市安运土石方工程有限公司该项目的现场负责人。本单位于2022年6月23日发现深圳市安运土石方工程有限公司和中国建筑第五工程局有限公司在同一作业区域内（深圳湾文化广场BC 地块Ⅰ标段）施工作业，可能危及对方安全生产，深圳市安运土石方工程有限公司和中国建筑第五工程局有限公司虽已签订安全生产管理协议，但存在未指定专职安全生产管理人员进行安全检查与协调的行为。你（单位）是深圳市安运土石方工程有限公司该项目的现场负责人，系对该违法行为直接负责的主管人员。上述行为违反了《中华人民共和国安全生产法》第四十八条的规定。</t>
  </si>
  <si>
    <t>深南住建行罚立〔2022〕52号</t>
  </si>
  <si>
    <t>深南住建罚〔2022〕46号</t>
  </si>
  <si>
    <t>9001869921</t>
  </si>
  <si>
    <t>20223000088</t>
  </si>
  <si>
    <r>
      <rPr>
        <b/>
        <sz val="12"/>
        <rFont val="楷体_GB2312"/>
        <charset val="134"/>
      </rPr>
      <t>绿景白石洲</t>
    </r>
    <r>
      <rPr>
        <b/>
        <sz val="12"/>
        <rFont val="宋体"/>
        <charset val="134"/>
      </rPr>
      <t>璟</t>
    </r>
    <r>
      <rPr>
        <b/>
        <sz val="12"/>
        <rFont val="楷体_GB2312"/>
        <charset val="134"/>
      </rPr>
      <t>庭总承包工程</t>
    </r>
  </si>
  <si>
    <t>深圳市正扬建设有限公司</t>
  </si>
  <si>
    <t>91440300MA5FFL9L8C</t>
  </si>
  <si>
    <r>
      <rPr>
        <sz val="12"/>
        <rFont val="楷体_GB2312"/>
        <charset val="134"/>
      </rPr>
      <t>经调查，你（单位）是绿景白石洲</t>
    </r>
    <r>
      <rPr>
        <sz val="12"/>
        <rFont val="宋体"/>
        <charset val="134"/>
      </rPr>
      <t>璟</t>
    </r>
    <r>
      <rPr>
        <sz val="12"/>
        <rFont val="楷体_GB2312"/>
        <charset val="134"/>
      </rPr>
      <t>庭总承包工程项目土石方专业分包工程的施工单位，本单位于2022年6月30日发现你（单位）未按照要求对绿景白石洲</t>
    </r>
    <r>
      <rPr>
        <sz val="12"/>
        <rFont val="宋体"/>
        <charset val="134"/>
      </rPr>
      <t>璟</t>
    </r>
    <r>
      <rPr>
        <sz val="12"/>
        <rFont val="楷体_GB2312"/>
        <charset val="134"/>
      </rPr>
      <t>庭总承包工程土石方项目的施工工地采取覆盖、洒水抑尘、冲洗地面等有效防尘措施的违法行为。经查询，截止至2022年7月8日止，你（单位）在1年内未被广东省执法机构认定实施过同类违法行为。上述行为违反了《广东省环境保护条例》第四十条第二款的规定。</t>
    </r>
  </si>
  <si>
    <t>深南住建行罚立〔2022〕53号</t>
  </si>
  <si>
    <t>深南住建罚〔2022〕49号</t>
  </si>
  <si>
    <t>付泽正、谭亮</t>
  </si>
  <si>
    <t>2023.1.11法制科，2023.4.6区司法局</t>
  </si>
  <si>
    <t>撤回行政复议</t>
  </si>
  <si>
    <t>9002833594</t>
  </si>
  <si>
    <t>20223000131</t>
  </si>
  <si>
    <r>
      <rPr>
        <b/>
        <sz val="12"/>
        <rFont val="宋体"/>
        <charset val="134"/>
      </rPr>
      <t>瑧</t>
    </r>
    <r>
      <rPr>
        <b/>
        <sz val="12"/>
        <rFont val="楷体_GB2312"/>
        <charset val="134"/>
      </rPr>
      <t>山海家园施工总承包工程</t>
    </r>
  </si>
  <si>
    <t>深圳广晟幕墙科技有限公司</t>
  </si>
  <si>
    <t>91440300342545027W</t>
  </si>
  <si>
    <r>
      <rPr>
        <sz val="12"/>
        <rFont val="楷体_GB2312"/>
        <charset val="134"/>
      </rPr>
      <t>经调查，你（单位）深圳广晟幕墙科技有限公司是</t>
    </r>
    <r>
      <rPr>
        <sz val="12"/>
        <rFont val="宋体"/>
        <charset val="134"/>
      </rPr>
      <t>瑧</t>
    </r>
    <r>
      <rPr>
        <sz val="12"/>
        <rFont val="楷体_GB2312"/>
        <charset val="134"/>
      </rPr>
      <t>山海家园施工总承包工程幕墙专业分包的施工单位。本单位于2022年9月13日发现</t>
    </r>
    <r>
      <rPr>
        <sz val="12"/>
        <rFont val="宋体"/>
        <charset val="134"/>
      </rPr>
      <t>瑧</t>
    </r>
    <r>
      <rPr>
        <sz val="12"/>
        <rFont val="楷体_GB2312"/>
        <charset val="134"/>
      </rPr>
      <t>山海家园施工总承包工程幕墙专业分包项目施工现场3号楼屋面西侧设置的3-8号吊篮螺栓未按规定加装垫圈，且该吊篮提升机与悬吊平台未采用专用高强度螺栓进行连接，吊篮作业下方未设置警示线或安全护栏，（你）单位存在未采取措施消除事故隐患的行为。上述行为违反了《中华人民共和国安全生产法》第四十一条第二款的规定。</t>
    </r>
  </si>
  <si>
    <t>深南住建行罚立〔2022〕84号</t>
  </si>
  <si>
    <t>深南住建罚〔2022〕62号</t>
  </si>
  <si>
    <t>2023.1.11法制科</t>
  </si>
  <si>
    <t>9002838907</t>
  </si>
  <si>
    <t>20223000132</t>
  </si>
  <si>
    <t>焊工未按照规定持证上岗</t>
  </si>
  <si>
    <t>渔人码头公共配套设施（一期）工程</t>
  </si>
  <si>
    <t>深圳市招港基础工程有限公司</t>
  </si>
  <si>
    <t>91440300MA5GC42N8E</t>
  </si>
  <si>
    <t>特种作业人员未按照规定经专门的安全作业培训并取得相应资格，上岗作业</t>
  </si>
  <si>
    <t>经调查，你（单位）深圳市招港基础工程有限公司是渔人码头公共配套设施（一期）施工项目基坑与边坡支护工程专业分包的施工单位。本单位于2022年9月13日发现该项目现场东南角钢支撑基座预埋件焊接作业的一名工人李卫（身份证号：410881197702090793）无焊工特种作业人员证件，（你）单位存在一名特种作业人员未按照规定经专门的安全作业培训并取得相应资格上岗作业的行为。上述行为违反了《中华人民共和国安全生产法》第三十条第一款的规定。</t>
  </si>
  <si>
    <t>深南住建行罚立〔2022〕85号</t>
  </si>
  <si>
    <t>深南住建罚〔2022〕70号</t>
  </si>
  <si>
    <t>2023.1.11局安全办,2023.3.1法制科，2023.4.6区司法局</t>
  </si>
  <si>
    <t>44030522000002957462</t>
  </si>
  <si>
    <t>20223000153</t>
  </si>
  <si>
    <t>中国建筑一局（集团）有限公司未为从业人员提供符合国家标准或者行业标准的劳动防护用品案</t>
  </si>
  <si>
    <t>华侨城深圳湾新玺名苑项目二期主体施工工程</t>
  </si>
  <si>
    <t>施工单位未为从业人员提供符合国家标准或者行业标准的劳动防护用品</t>
  </si>
  <si>
    <t>经调查，你（单位）中国建筑一局（集团）有限公司是华侨城深圳湾新玺名苑项目二期主体施工工程的施工单位。本单位于2022年9月22日发现（你）单位存在未为从业人员提供符合国家标准或者行业标准的劳动防护用品（安全带）的行为。上述行为违反了《中华人民共和国安全生产法》第四十五条的规定。</t>
  </si>
  <si>
    <t>深南住建行罚立〔2022〕91号</t>
  </si>
  <si>
    <t>深南住建罚〔2022〕64号</t>
  </si>
  <si>
    <t>2023.1.11局安全办，2023.4.6区司法局</t>
  </si>
  <si>
    <t>9000035104</t>
  </si>
  <si>
    <t>20223000154</t>
  </si>
  <si>
    <t>特种作业人员未按规定经专门的安全作业培训并取得相应资格，上岗作业</t>
  </si>
  <si>
    <t>太子湾DY04-06地块项目基坑支护及土石方工程</t>
  </si>
  <si>
    <t>广州华磊建筑基础工程有限公司</t>
  </si>
  <si>
    <t>9144010173971663X4</t>
  </si>
  <si>
    <t>经调查，你（单位）广州华磊建筑基础工程有限公司是太子湾DY04-06地块项目基坑支护及土石方工程的施工单位。本单位于2022年9月19日发现该项目现场南侧进行支护桩施工的一名桩机工工人龚东（身份证号：530325199809030975）未取得特种作业资格证，（你）单位存在一名特种作业人员未按照规定经专门的安全作业培训并取得相应资格上岗作业的行为。上述行为违反了《中华人民共和国安全生产法》第三十条第一款的规定。</t>
  </si>
  <si>
    <t>深南住建行罚立〔2022〕92号</t>
  </si>
  <si>
    <t>深南住建罚〔2022〕71号</t>
  </si>
  <si>
    <t>9000035101</t>
  </si>
  <si>
    <t>20223000157</t>
  </si>
  <si>
    <t>深圳市美兆环境股份有限公司未为从业人员提供符合国家标准或者行业标准的劳动防护用品案</t>
  </si>
  <si>
    <t>寰侨商务大厦施工总承包工程</t>
  </si>
  <si>
    <t>深圳市美兆环境股份有限公司</t>
  </si>
  <si>
    <t>914403007432249451</t>
  </si>
  <si>
    <t>经调查，你（单位）深圳市美兆环境股份有限公司是寰侨商务大厦施工总承包工程通风空调安装专业分包的施工单位。本单位于2022年8月22日发现（你）单位存在未为从业人员提供符合国家标准或者行业标准的劳动防护用品（安全带）的行为。上述行为违反了《中华人民共和国安全生产法》第四十五条的规定。</t>
  </si>
  <si>
    <t>深南住建行罚立〔2022〕93号</t>
  </si>
  <si>
    <t>深南住建罚〔2022〕65号</t>
  </si>
  <si>
    <t>宗海根、谭亮</t>
  </si>
  <si>
    <t>44030522000002896161</t>
  </si>
  <si>
    <t>9002847858</t>
  </si>
  <si>
    <t>20223000160</t>
  </si>
  <si>
    <t>深圳市心壹客建设工程有限公司未为从业人员提供符合国家标准或者行业标准的劳动防护用品案</t>
  </si>
  <si>
    <t>大新大厦改扩建项目</t>
  </si>
  <si>
    <t>深圳市心壹客建设工程有限公司</t>
  </si>
  <si>
    <t>91440300MA5GKN6L2Q</t>
  </si>
  <si>
    <t>未为从业人员提供符合国家标准或者行业标准的劳动防护用品</t>
  </si>
  <si>
    <t>经调查，你（单位）深圳市心壹客建设工程有限公司是南山区大新大厦改扩建项目的施工单位。本单位于2022年10月9日监督执法抽查该项目时，发现（你）单位存在未为从业人员提供符合国家标准或者行业标准的劳动防护用品（安全带）的行为。上述行为违反了《中华人民共和国安全生产法》第四十五条的规定。</t>
  </si>
  <si>
    <t>深南住建行罚立〔2022〕94号</t>
  </si>
  <si>
    <t>深南住建罚〔2022〕77号</t>
  </si>
  <si>
    <t>9000035202</t>
  </si>
  <si>
    <t>20223000161</t>
  </si>
  <si>
    <t>深圳市鲁班雨虹建筑有限公司项目负责人未在现场履职案</t>
  </si>
  <si>
    <t>南山医院改扩建（二期）门诊楼</t>
  </si>
  <si>
    <t>深圳市鲁班雨虹建筑有限公司</t>
  </si>
  <si>
    <t>91440300589190993D</t>
  </si>
  <si>
    <t>施工单位项目负责人未按照规定在施工现场履职</t>
  </si>
  <si>
    <t>经调查，你（单位）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</si>
  <si>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深南住建行罚立〔2022〕95号</t>
  </si>
  <si>
    <t>深南住建罚〔2022〕73号</t>
  </si>
  <si>
    <t>2023.3.1法制科，2023.4.6区司法局</t>
  </si>
  <si>
    <t>9000035102</t>
  </si>
  <si>
    <t>20223000162</t>
  </si>
  <si>
    <t>深圳市鲁班雨虹建筑有限公司项目负责人未按照规定现场履职案（直接负责人张瑞军）</t>
  </si>
  <si>
    <t>张瑞军</t>
  </si>
  <si>
    <t>专业分包单位负责人</t>
  </si>
  <si>
    <t>410522197312091612</t>
  </si>
  <si>
    <t>施工单位项目负责人未按照规定在施工现场履职（直接责任人张瑞军）</t>
  </si>
  <si>
    <t>经调查，你（单位）是深圳市鲁班雨虹建筑有限公司的法定代表人，深圳市鲁班雨虹建筑有限公司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</si>
  <si>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深南住建行罚立〔2022〕96号</t>
  </si>
  <si>
    <t>深南住建罚〔2022〕72号</t>
  </si>
  <si>
    <t>9000035103</t>
  </si>
  <si>
    <t>20233000025</t>
  </si>
  <si>
    <t>大沙河文体中心项目机电安装及消防工程</t>
  </si>
  <si>
    <t>深圳市华西安装工程有限公司</t>
  </si>
  <si>
    <t>914403007542978325</t>
  </si>
  <si>
    <t>经调查，你单位是南山区大沙河文体中心项目机电安装及消防工程的施工单位，在对该项目工程现场南侧进行污水管沟槽开挖作业时，开挖深度超过2米，开挖部位周边未设置临边防护栏杆，沟槽边有堆放土方及材料，沟槽内未设置人员上下梯道，存在未采取措施消除事故隐患的行为。上述行为违反了《中华人民共和国安全生产法》第四十一条第二款的规定。</t>
  </si>
  <si>
    <t>深南住建行罚立〔2023〕9号</t>
  </si>
  <si>
    <t>深南住建罚〔2023〕10号</t>
  </si>
  <si>
    <t>2023.6.28法制科</t>
  </si>
  <si>
    <t>已取回</t>
  </si>
  <si>
    <t>9004136446</t>
  </si>
  <si>
    <t>20233000029</t>
  </si>
  <si>
    <t>南山区科技创新中心幕墙工程一标段施工单位未按规定建立危大工程安全管理档案</t>
  </si>
  <si>
    <t>南山区科技创新中心幕墙工程一标段</t>
  </si>
  <si>
    <t>安俊才</t>
  </si>
  <si>
    <t>412722197908204991</t>
  </si>
  <si>
    <t>经调查，深圳市宝鹰建设集团股份有限公司是南山区科技创新中心幕墙工程一标段项目的施工单位，你是该项目施工单位的项目经理，在该项目危大工程（建筑幕墙安装工程）施工中，存在未按规定建立危大工程安全管理档案的行为。上述行为违反《危险性较大的分部分项工程安全管理规定》第二十四条第一款的规定。</t>
  </si>
  <si>
    <t>深南住建行罚立〔2023〕12号</t>
  </si>
  <si>
    <t>深南住建罚〔2023〕12号</t>
  </si>
  <si>
    <t>9005106405</t>
  </si>
  <si>
    <t>20233000030</t>
  </si>
  <si>
    <t>王思念</t>
  </si>
  <si>
    <t>420111197511085590</t>
  </si>
  <si>
    <t>经调查，深圳市宝鹰建设集团股份有限公司是南山区科技创新中心幕墙工程一标段项目的施工单位，你是该项目施工单位的项目技术负责人（直接责任人员），在该项目危大工程（建筑幕墙安装工程）施工中，存在未按规定建立危大工程安全管理档案的行为。上述行为违反了《危险性较大的分部分项工程安全管理规定》第二十四条第一款的规定。</t>
  </si>
  <si>
    <t>深南住建行罚立〔2023〕11号</t>
  </si>
  <si>
    <t>深南住建罚〔2023〕13号</t>
  </si>
  <si>
    <t>9005106406</t>
  </si>
  <si>
    <t>20233000031</t>
  </si>
  <si>
    <t>深圳市宝鹰建设集团股份有限公司</t>
  </si>
  <si>
    <t>91440300192264106H</t>
  </si>
  <si>
    <t>经调查，你单位是南山区科技创新中心幕墙工程一标段项目的施工单位，在该项目危大工程（建筑幕墙安装工程）施工中，存在未按规定建立危大工程安全管理档案的行为。上述行为违反了《危险性较大的分部分项工程安全管理规定》第二十四条第一款的规定。</t>
  </si>
  <si>
    <t>深南住建行罚立〔2023〕10号</t>
  </si>
  <si>
    <t>深南住建罚〔2023〕11号</t>
  </si>
  <si>
    <t>9005106404</t>
  </si>
  <si>
    <t>20233000039</t>
  </si>
  <si>
    <t>中建五局华南建设有限公司未按照规定组织危大工程验收案</t>
  </si>
  <si>
    <t>文理实验学校改扩建项目</t>
  </si>
  <si>
    <t>经调查，你单位是文理实验学校改扩建项目地基与基础工程的施工单位，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上述行为违反了《危险性较大的分部分项工程安全管理规定》第二十一条第一款的规定。</t>
  </si>
  <si>
    <t>深南住建行罚立〔2023〕15号</t>
  </si>
  <si>
    <t>深南住建罚〔2023〕15号</t>
  </si>
  <si>
    <t>9005317642</t>
  </si>
  <si>
    <t>20233000040</t>
  </si>
  <si>
    <t>赵柘峰未按照规定组织危大工程验收案</t>
  </si>
  <si>
    <t>赵柘峰</t>
  </si>
  <si>
    <t>432522198708032475</t>
  </si>
  <si>
    <t>施工单位未按照规定组织危大工程验收（项目负责人）</t>
  </si>
  <si>
    <t>经调查，中建五局华南建设有限公司是文理实验学校改扩建项目地基与基础工程的施工单位，你是该项目施工单位的项目经理，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</si>
  <si>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深南住建行罚立〔2023〕16号</t>
  </si>
  <si>
    <t>深南住建罚〔2023〕16号</t>
  </si>
  <si>
    <t>9005317641</t>
  </si>
  <si>
    <t>20233000043</t>
  </si>
  <si>
    <t>段海峰未按照规定组织危大工程验收案</t>
  </si>
  <si>
    <t>段海峰</t>
  </si>
  <si>
    <t>152631198402014818</t>
  </si>
  <si>
    <t>施工单位未按照规定组织危大工程验收（项目技术负责人）</t>
  </si>
  <si>
    <t>经调查，中建五局华南建设有限公司是文理实验学校改扩建项目地基与基础工程的施工单位，你是该项目施工单位的项目技术负责人（直接责任人员），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</si>
  <si>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深南住建行罚立〔2023〕17号</t>
  </si>
  <si>
    <t>深南住建罚〔2023〕17号</t>
  </si>
  <si>
    <t>9005317639</t>
  </si>
  <si>
    <t>20233000045</t>
  </si>
  <si>
    <t>南山智造（红花岭基地）城市更新项目施工单位司索工未按规定持证上岗</t>
  </si>
  <si>
    <t>南山智造（红花岭基地）城市更新项目一期5#、6#主体工程</t>
  </si>
  <si>
    <t>经调查，你单位是南山智造（红花岭基地）城市更新项目一期5#、6#主体工程的施工单位，该项目的工人李卜从在施工现场进行司索作业时未持建筑起重信号司索工证操作资格证，存在特种作业人员未按照规定经专门的安全作业培训并取得相应资格，上岗作业的行为。上述行为违反了《中华人民共和国安全生产法》第三十条第一款的规定。</t>
  </si>
  <si>
    <t>深南住建行罚立〔2023〕19号</t>
  </si>
  <si>
    <t>深南住建罚〔2023〕29号</t>
  </si>
  <si>
    <t>2023.11.30已取回</t>
  </si>
  <si>
    <t>9005930542</t>
  </si>
  <si>
    <t>20233000050</t>
  </si>
  <si>
    <r>
      <rPr>
        <sz val="12"/>
        <rFont val="楷体_GB2312"/>
        <charset val="134"/>
      </rPr>
      <t>绿景白石洲</t>
    </r>
    <r>
      <rPr>
        <sz val="12"/>
        <rFont val="宋体"/>
        <charset val="134"/>
      </rPr>
      <t>璟</t>
    </r>
    <r>
      <rPr>
        <sz val="12"/>
        <rFont val="楷体_GB2312"/>
        <charset val="134"/>
      </rPr>
      <t>庭总承包工程司索工未按规定持证上岗</t>
    </r>
  </si>
  <si>
    <r>
      <rPr>
        <sz val="12"/>
        <rFont val="楷体_GB2312"/>
        <charset val="134"/>
      </rPr>
      <t>经调查，你单位是南山区绿景白石洲</t>
    </r>
    <r>
      <rPr>
        <sz val="12"/>
        <rFont val="宋体"/>
        <charset val="134"/>
      </rPr>
      <t>璟</t>
    </r>
    <r>
      <rPr>
        <sz val="12"/>
        <rFont val="楷体_GB2312"/>
        <charset val="134"/>
      </rPr>
      <t>庭总承包工程的施工单位，该项目的工人何树旺在该项目施工现场进行司索作业时未持建筑起重信号司索工操作资格证，存在特种作业人员未按照规定经专门的安全作业培训并取得相应资格，上岗作业的行为。上述行为违反了《中华人民共和国安全生产法》第三十条第一款的规定。</t>
    </r>
  </si>
  <si>
    <t>深南住建行罚立〔2023〕22号</t>
  </si>
  <si>
    <t>深南住建罚〔2023〕31号</t>
  </si>
  <si>
    <t>9005930544</t>
  </si>
  <si>
    <t>20233000051</t>
  </si>
  <si>
    <r>
      <rPr>
        <sz val="12"/>
        <rFont val="楷体_GB2312"/>
        <charset val="134"/>
      </rPr>
      <t>绿景白石洲</t>
    </r>
    <r>
      <rPr>
        <sz val="12"/>
        <rFont val="宋体"/>
        <charset val="134"/>
      </rPr>
      <t>璟</t>
    </r>
    <r>
      <rPr>
        <sz val="12"/>
        <rFont val="楷体_GB2312"/>
        <charset val="134"/>
      </rPr>
      <t>庭总承包工程架子工未按规定持证上岗</t>
    </r>
  </si>
  <si>
    <t>湖北元慈建筑工程有限公司</t>
  </si>
  <si>
    <t>9142900430985117X3</t>
  </si>
  <si>
    <r>
      <rPr>
        <sz val="12"/>
        <rFont val="楷体_GB2312"/>
        <charset val="134"/>
      </rPr>
      <t>经调查，你单位是南山区绿景白石洲</t>
    </r>
    <r>
      <rPr>
        <sz val="12"/>
        <rFont val="宋体"/>
        <charset val="134"/>
      </rPr>
      <t>璟</t>
    </r>
    <r>
      <rPr>
        <sz val="12"/>
        <rFont val="楷体_GB2312"/>
        <charset val="134"/>
      </rPr>
      <t>庭项目附着升降脚手架专业分包工程的施工单位，该项目工人胡世平在该项目施工现场进行附着升降脚手架作业时未持附着升降脚手架建筑架子工操作资格证，存在特种作业人员未按照规定经专门的安全作业培训并取得相应资格，上岗作业的行为。上述行为违反了《中华人民共和国安全生产法》第三十条第一款的规定。</t>
    </r>
  </si>
  <si>
    <t>深南住建行罚立〔2023〕23号</t>
  </si>
  <si>
    <t>深南住建罚〔2023〕30号</t>
  </si>
  <si>
    <t>9005930543</t>
  </si>
  <si>
    <t>20233000052</t>
  </si>
  <si>
    <t>施工单位未采取措施消除事故隐患</t>
  </si>
  <si>
    <t>中金大厦项目施工总承包工程</t>
  </si>
  <si>
    <t>安徽富煌钢构股份有限公司</t>
  </si>
  <si>
    <t>91340100769033274W</t>
  </si>
  <si>
    <t>经调查，你单位是南山区中金大厦钢结构工程项目的施工单位，在该项目现场19层完成外框周边钢梁吊装后，未按要求在临边设置防护栏，未及时在分区铺设安全网，存在未采取措施消除事故隐患的行为。上述行为违反了《中华人民共和国安全生产法》第四十一条第二款的规定。</t>
  </si>
  <si>
    <t>深南住建行罚立〔2023〕24号</t>
  </si>
  <si>
    <t>深南住建罚〔2023〕18号</t>
  </si>
  <si>
    <t>9005930052</t>
  </si>
  <si>
    <t>20233000074</t>
  </si>
  <si>
    <t>深圳星河达建设科技有限公司项目负责人未按照规定现场履职案</t>
  </si>
  <si>
    <t>龙珠学校（小学部）扩建项目施工总承包工程</t>
  </si>
  <si>
    <t>深圳星河达建设科技有限公司</t>
  </si>
  <si>
    <t>914403005503344191</t>
  </si>
  <si>
    <t>施工单位项目负责人未按照规定现场履职</t>
  </si>
  <si>
    <t>经调查，你单位是南山区龙珠学校（小学部）扩建项目采光顶幕墙工程专业分包的施工单位，其在该项目危大工程（建筑幕墙安装工程）施工中，存在现场负责人未按照规定在施工现场履职的行为。上述行为违反了《危险性较大的分部分项工程安全管理规定》第十七条第一款的规定。</t>
  </si>
  <si>
    <t>深南住建行罚立〔2023〕33号</t>
  </si>
  <si>
    <t>深南住建罚〔2023〕45号</t>
  </si>
  <si>
    <t>9006480738</t>
  </si>
  <si>
    <t>20233000075</t>
  </si>
  <si>
    <t>深圳星河达建设科技有限公司项目负责人未按照规定现场履职案（直接负责人付绍兰）</t>
  </si>
  <si>
    <t>付绍兰</t>
  </si>
  <si>
    <t>专业分包单位企业主要负责人</t>
  </si>
  <si>
    <t>511224197705143728</t>
  </si>
  <si>
    <t>施工单位项目负责人未按照规定现场履职（直接负责人付绍兰）</t>
  </si>
  <si>
    <t>经调查，深圳星河达建设科技有限公司是南山区龙珠学校（小学部）扩建项目采光顶幕墙工程专业分包的施工单位，你是施工单位的直接负责人（法定代表人），在该项目危大工程（建筑幕墙安装工程）施工中，施工单位任命的项目经理因休产假未在施工现场履职，你未及时办理项目经理变更手续，存在现场负责人未按照规定在施工现场履职的行为。上述行为违反了《危险性较大的分部分项工程安全管理规定》第十七条第一款的规定。</t>
  </si>
  <si>
    <t>深南住建行罚立〔2023〕34号</t>
  </si>
  <si>
    <t>深南住建罚〔2023〕46号</t>
  </si>
  <si>
    <t>???</t>
  </si>
  <si>
    <t>9006480739</t>
  </si>
  <si>
    <t>20233000076</t>
  </si>
  <si>
    <t>深圳市诚宇建设集团有限公司未按照规定组织危大工程验收案</t>
  </si>
  <si>
    <t>前海车辆段（港湾学校共用）配套出入口及员工食堂装修改造工程</t>
  </si>
  <si>
    <t>深圳市诚宇建设集团有限公司</t>
  </si>
  <si>
    <t>914403002795211445</t>
  </si>
  <si>
    <t>经调查，你单位是南山区前海车辆段（港湾学校共用）配套出入口及员工食堂装修改造工程项目的施工单位，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</si>
  <si>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深南住建行罚立〔2023〕35号</t>
  </si>
  <si>
    <t>深南住建罚〔2023〕38号</t>
  </si>
  <si>
    <t>9006480515</t>
  </si>
  <si>
    <t>20233000077</t>
  </si>
  <si>
    <t>袁庆山未按照规定组织危大工程验收案</t>
  </si>
  <si>
    <t>袁庆山</t>
  </si>
  <si>
    <t>220381197410060637</t>
  </si>
  <si>
    <t>经调查，深圳市诚宇建设集团有限公司是南山区前海车辆段（港湾学校共用）配套出入口及员工食堂装修改造工程项目的施工单位，你是该项目施工单位的项目经理，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</si>
  <si>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深南住建行罚立〔2023〕36号</t>
  </si>
  <si>
    <t>深南住建罚〔2023〕39号</t>
  </si>
  <si>
    <t>9006480516</t>
  </si>
  <si>
    <t>20233000078</t>
  </si>
  <si>
    <t>毛体立未按照规定组织危大工程验收案</t>
  </si>
  <si>
    <t>毛体立</t>
  </si>
  <si>
    <t>441323198311150058</t>
  </si>
  <si>
    <t>经调查，深圳市诚宇建设集团有限公司是南山区前海车辆段（港湾学校共用）配套出入口及员工食堂装修改造工程项目的施工单位，你是该项目施工单位的项目技术负责人（直接责任人员），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</si>
  <si>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深南住建行罚立〔2023〕37号</t>
  </si>
  <si>
    <t>深南住建罚〔2023〕40号</t>
  </si>
  <si>
    <t>9006480517</t>
  </si>
  <si>
    <t>20233000088</t>
  </si>
  <si>
    <t>华润建筑有限公司未为从业人员提供符合国家标准或者行业标准的劳动防护用品案</t>
  </si>
  <si>
    <t>深圳湾文化广场BC地块III标段施工总承包工程</t>
  </si>
  <si>
    <t>911101017109278399</t>
  </si>
  <si>
    <t>经调查，你单位是南山区深圳湾文化广场BC地块III标段施工总承包工程的施工单位，未对该项目现场E区作业人员熊迪军发放劳动防护用品（安全带），存在未为从业人员提供符合国家标准或者行业标准的劳动防护用品的行为。上述行为违反了《中华人民共和国安全生产法》第四十五条的规定。</t>
  </si>
  <si>
    <t>深南住建行罚立〔2023〕41号</t>
  </si>
  <si>
    <t>深南住建罚〔2023〕37号</t>
  </si>
  <si>
    <t>9006480512</t>
  </si>
  <si>
    <t>20233000123</t>
  </si>
  <si>
    <t>施工单位未按照规定对从业人员进行安全生产教育和培训，未按照规定如实告知有关的安全生产事项案</t>
  </si>
  <si>
    <t>南山区科技创新中心幕墙工程四标段A区</t>
  </si>
  <si>
    <t>深圳市方大建科集团有限公司</t>
  </si>
  <si>
    <t>914403001924441823</t>
  </si>
  <si>
    <t>未按照规定对从业人员进行安全生产教育和培训，未按照规定如实告知有关的安全生产事项的</t>
  </si>
  <si>
    <t>经调查，你单位是南山区科技创新中心项目幕墙工程四标段的施工单位，未按照规定对两名进行汽车吊副臂安装作业的人员进行相对应的安全生产教育和培训，也未按照规定如实向两名进行汽车吊副臂安装作业的人员告知汽车吊副臂安装作业有关的安全生产事项，存在未按照规定对从业人员进行安全生产教育和培训，未按照规定如实告知有关的安全生产事项的行为。上述行为违反了《中华人民共和国安全生产法》第二十八条第一款的规定</t>
  </si>
  <si>
    <t>深南住建行罚立〔2023〕54号</t>
  </si>
  <si>
    <t>深南住建罚〔2023〕59号</t>
  </si>
  <si>
    <t>9007379118</t>
  </si>
  <si>
    <t>20233000125</t>
  </si>
  <si>
    <t>深圳市新朗建设工程有限公司未在施工现场有较大危险因素的设备上设置明显的安全警示标志案</t>
  </si>
  <si>
    <t>龙辉花园、龙联花园棚户区改造项目房屋拆除工程（龙辉花园3 栋、12 栋、13 栋、14 栋、15 栋、17 栋、18 栋、19 栋、20 栋、21 栋、22 栋、24 栋、25 栋及幼儿园）</t>
  </si>
  <si>
    <t>深圳市新朗建设工程有限公司</t>
  </si>
  <si>
    <t>914403007556704242</t>
  </si>
  <si>
    <t>施工单位未在施工现场有较大危险因素的设备上设置明显的安全警示标志</t>
  </si>
  <si>
    <t>经调查，你单位是南山区龙辉花园、龙联花园棚户区改造项目房屋拆除工程（龙辉花园3栋、12栋、13栋、14栋、15栋、17栋、18栋、19栋、20栋、21栋、22栋、24栋、25栋及幼儿园）的施工单位，存在未在施工现场的履带挖掘机上设置明显的安全警示标志的行为。上述行为违反了《中华人民共和国安全生产法》第三十五条的规定。</t>
  </si>
  <si>
    <t>深南住建行罚立〔2023〕55号</t>
  </si>
  <si>
    <t>深南住建罚〔2023〕62号</t>
  </si>
  <si>
    <t>2023.10.12法制科，2024.4.10区司法局</t>
  </si>
  <si>
    <t>9007774934</t>
  </si>
  <si>
    <t>20233000126</t>
  </si>
  <si>
    <t>方直珑樾山花园总承包工程</t>
  </si>
  <si>
    <t>沧州恒祥工程材料有限公司</t>
  </si>
  <si>
    <t>911309296892808306</t>
  </si>
  <si>
    <t>经调查，你单位是南山区方直珑樾山花园项目3栋、4栋附着式升降脚手架专业分包的施工单位，在该项目危大工程（附着式升降脚手架）施工中，存在现场负责人未按照规定在施工现场履职的行为。上述行为违反了《危险性较大的分部分项工程安全管理规定》第十七条第一款的规定。</t>
  </si>
  <si>
    <t>深南住建行罚立〔2023〕56号</t>
  </si>
  <si>
    <t>深南住建罚〔2023〕60号</t>
  </si>
  <si>
    <t>9007782715</t>
  </si>
  <si>
    <t>20233000127</t>
  </si>
  <si>
    <t>刘美娜</t>
  </si>
  <si>
    <t>13092919870210382X</t>
  </si>
  <si>
    <t>经调查，沧州恒祥工程材料有限公司是南山区方直珑樾山花园项目3栋、4栋附着式升降脚手架专业分包的施工单位，你是该项目的项目经理，在该项目危大工程（附着式升降脚手架）施工中，存在现场负责人未按照规定在施工现场履职的行为。上述行为违反了《危险性较大的分部分项工程安全管理规定》第十七条第一款的规定。</t>
  </si>
  <si>
    <t>深南住建行罚立〔2023〕57号</t>
  </si>
  <si>
    <t>深南住建罚〔2023〕61号</t>
  </si>
  <si>
    <t>9007782716</t>
  </si>
  <si>
    <t>20233000158</t>
  </si>
  <si>
    <t>沧州恒祥工程材料有限公司未采取措施消除事故隐患案</t>
  </si>
  <si>
    <t>四海臻邸项目总承包工程</t>
  </si>
  <si>
    <t>经调查，你单位是南山区四海臻邸项目的附着式升降脚手架专业分包工程的施工单位，在该工程附着式升降脚手架施工中未将6号卸荷顶撑装置支顶到位，存在未采取措施消除事故隐患的行为。上述行为违反了《中华人民共和国安全生产法》第四十一条第二款的规定</t>
  </si>
  <si>
    <t>深南住建行罚立〔2023〕82号</t>
  </si>
  <si>
    <t>深南住建罚〔2023〕77号</t>
  </si>
  <si>
    <t>2024.5.21取回</t>
  </si>
  <si>
    <t>9008671697</t>
  </si>
  <si>
    <t>20233000162</t>
  </si>
  <si>
    <t>特种作业人员未持证上岗</t>
  </si>
  <si>
    <t>方直珑樾山花园土石方、基坑支护工程</t>
  </si>
  <si>
    <t>广东远益建设有限公司</t>
  </si>
  <si>
    <t>91440101MA5AP3DN0N</t>
  </si>
  <si>
    <t>经调查，你单位是南山区方直珑樾山项目土石方、基坑支护工程的施工单位，在该项目施工现场钢筋焊接作业的施工单位员工代高丰未持焊接特种作业人员操作资格证。你单位存在特种作业人员未按照规定经专门的安全作业培训并取得相应资格，上岗作业的行为。上述行为违反了《中华人民共和国安全生产法》第三十条第一款的规定。</t>
  </si>
  <si>
    <t>深南住建行罚立〔2023〕78号</t>
  </si>
  <si>
    <t>深南住建罚〔2023〕83号</t>
  </si>
  <si>
    <t>9009714580</t>
  </si>
  <si>
    <t>20233000167</t>
  </si>
  <si>
    <t>云荟大厦施工总承包工程</t>
  </si>
  <si>
    <t>汕头市建安实业（集团）有限公司</t>
  </si>
  <si>
    <t>914405001927206939</t>
  </si>
  <si>
    <t>经调查，你（单位）是云荟大厦施工总承包工程项目的施工单位，在该项目危大工程（首道内支撑梁拆除工程）施工中，存在未按照规定建立危大工程安全管理档案的行为，未造成危害后果。上述行为违反了《危险性较大的分部分项工程安全管理规定》第二十四条第一款的规定。</t>
  </si>
  <si>
    <t>深南住建行罚立〔2023〕79号</t>
  </si>
  <si>
    <t>深南住建罚〔2023〕80号</t>
  </si>
  <si>
    <t>9009714577</t>
  </si>
  <si>
    <t>20233000168</t>
  </si>
  <si>
    <t>施工单位未按规定建立危大工程安全管理档案（项目经理）</t>
  </si>
  <si>
    <t>翁保平</t>
  </si>
  <si>
    <t>440524197309054595</t>
  </si>
  <si>
    <t>经调查，你（单位）是云荟大厦施工总承包工程项目的施工单位的项目经理，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</si>
  <si>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深南住建行罚立〔2023〕80号</t>
  </si>
  <si>
    <t>深南住建罚〔2023〕81号</t>
  </si>
  <si>
    <t>9009714579</t>
  </si>
  <si>
    <t>20233000169</t>
  </si>
  <si>
    <t>施工单位未按规定建立危大工程安全管理档案（项目技术负责人）</t>
  </si>
  <si>
    <t>陈树斌</t>
  </si>
  <si>
    <t>440527196809230051</t>
  </si>
  <si>
    <t>经调查，你（单位）是云荟大厦施工总承包工程项目的施工单位的项目技术负责人，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</si>
  <si>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深南住建行罚立〔2023〕81号</t>
  </si>
  <si>
    <t>深南住建罚〔2023〕87号</t>
  </si>
  <si>
    <t>9009714578</t>
  </si>
  <si>
    <t>20233000277</t>
  </si>
  <si>
    <t>中建三局集团（深圳）有限公司未指定专职设备管理人员进行现场监督检查案</t>
  </si>
  <si>
    <t>珑瀚公馆</t>
  </si>
  <si>
    <t>中建三局集团（深圳）有限公司</t>
  </si>
  <si>
    <t>使用单位</t>
  </si>
  <si>
    <t>91440300MA5GD1055A</t>
  </si>
  <si>
    <t>使用单位未指定专职设备管理人员进行现场监督检查</t>
  </si>
  <si>
    <t>经调查，你单位是南山区珑瀚公馆项目的建筑起重机械使用单位，该工程现场已安装5台塔式起重机和3台施工升降机，存在未指定专职设备管理人员进行现场监督检查的行为。上述行为违反了《建筑起重机械安全监督管理规定》第三十条第(二)项的规定。</t>
  </si>
  <si>
    <t>深南住建行罚立〔2023〕113号</t>
  </si>
  <si>
    <t>深南住建罚〔2024〕6号</t>
  </si>
  <si>
    <t>谭亮、宗海根（高广君）</t>
  </si>
  <si>
    <t>2024.7.1法制科，2024.7.8区司法局，2024.10.11市司法局备检</t>
  </si>
  <si>
    <t>2024.8.16取回</t>
  </si>
  <si>
    <t>20233000278</t>
  </si>
  <si>
    <t>深圳华西建设工程管理有限公司未审核建筑起重机械安装单位的资质证书、安全生产许可证和特种作业人员的特种作业操作资格证书案</t>
  </si>
  <si>
    <t>深圳华西建设工程管理有限公司</t>
  </si>
  <si>
    <t>914403001921930610</t>
  </si>
  <si>
    <t>监理单位未审核建筑起重机械安装单位的资质证书、安全生产许可证和特种作业人员的特种作业操作资格证书</t>
  </si>
  <si>
    <t>经调查，你单位是南山区珑瀚公馆项目的监理单位，该工程现场已安装5台塔式起重机和3台施工升降机，你单位存在未审核建筑起重机械安装单位的资质证书、安全生产许可证和特种作业人员的特种作业操作资格证书的行为。上述行为违反了《建筑起重机械安全监督管理规定》第二十二条第(二)项的规定。</t>
  </si>
  <si>
    <t>深南住建行罚立〔2023〕114号</t>
  </si>
  <si>
    <t>深南住建罚〔2024〕7号</t>
  </si>
  <si>
    <t>2024.7.1法制科，2024.10.11市司法局备检</t>
  </si>
  <si>
    <t>20233000281</t>
  </si>
  <si>
    <t>广东圆龙机械设备有限公司未将建筑起重机械安装、拆卸工程告知工程所在地县级以上地方人民政府建设主管部门案</t>
  </si>
  <si>
    <t>广东圆龙机械设备有限公司</t>
  </si>
  <si>
    <t>设备安装单位</t>
  </si>
  <si>
    <t>91441900MA548CLW1C</t>
  </si>
  <si>
    <t>安装单位未将建筑起重机械安装、拆卸工程告知工程所在地县级以上地方人民政府建设主管部门</t>
  </si>
  <si>
    <t>经调查，你单位是南山区珑瀚公馆项目的建筑起重机械安装分包单位，现场已安装5台塔式起重机和3台施工升降机，存在未将建筑起重机械安装、拆卸工程告知工程所在地县级以上地方人民政府建设主管部门的行为。上述行为违反了《建筑起重机械安全监督管理规定》第十二条第(五)项的规定。</t>
  </si>
  <si>
    <t>深南住建行罚立〔2023〕115号</t>
  </si>
  <si>
    <t>深南住建罚〔2024〕8号</t>
  </si>
  <si>
    <t>20243000012</t>
  </si>
  <si>
    <t>深圳南山华厦眼科医院装饰安装工程</t>
  </si>
  <si>
    <t>深圳市雅圣装饰工程有限公司</t>
  </si>
  <si>
    <t>91440300574758072E</t>
  </si>
  <si>
    <t>郭建华</t>
  </si>
  <si>
    <t>H10345773</t>
  </si>
  <si>
    <t>经调查，你单位深圳市雅圣装饰工程有限公司是深圳南山华厦眼科医院装饰安装工程项目的施工单位，2023年8月9日11时左右，南山区南山街道深圳南山华厦眼科医院装饰安装工程一名工人在首层备用区进行顶板排水管洞口封堵过程中从人字梯上坠落，且其佩戴的安全帽帽带未系紧，致使其在坠落过程中安全帽脱离头部，导致头部触地受伤。存在未及时排查和消除作业现场的生产安全事故隐患，未及时发现并制止工人未正确使用劳动防护用品的行为。上述行为违反了《中华人民共和国安全生产法》第四十一条第二款的规定。</t>
  </si>
  <si>
    <t>深南住建行罚立〔2024〕8号</t>
  </si>
  <si>
    <t>深南住建行罚决〔2024〕17号</t>
  </si>
  <si>
    <t>44030524080002540574</t>
  </si>
  <si>
    <t>20243000037</t>
  </si>
  <si>
    <t>小米国际总部项目施工总承包工程</t>
  </si>
  <si>
    <t>北京港源幕墙有限公司</t>
  </si>
  <si>
    <t>91110113306750680Q</t>
  </si>
  <si>
    <t>强军</t>
  </si>
  <si>
    <t>110108197212182357</t>
  </si>
  <si>
    <t>本单位于2024年3月15日对你单位未采取措施消除事故隐患一案立案调查。经调查，你单位是小米国际总部项目幕墙工程的施工单位，小米国际总部项目施工现场存在以下安全事故隐患：现场主楼屋面钢结构施工未按要求设置足够数量（少于安装孔总数的1/3）的安装螺栓，且未对上述安全隐患采取措施进行消除。故你单位存在未采取措施消除事故隐患的违法行为。上述行为违反了《中华人民共和国安全生产法》第四十一条第二款的规定。</t>
  </si>
  <si>
    <t>深南住建行罚立〔2024〕12号</t>
  </si>
  <si>
    <t>深南住建罚〔2024〕29号</t>
  </si>
  <si>
    <t>44030524080002781010</t>
  </si>
  <si>
    <t>9005358518</t>
  </si>
  <si>
    <t>20243000050</t>
  </si>
  <si>
    <t>西湖沁园居项目土石方及基坑支护工程</t>
  </si>
  <si>
    <t>宏裕（深圳）建筑集团有限公司</t>
  </si>
  <si>
    <t>91440300MA5GAEYJ5Q</t>
  </si>
  <si>
    <t>肖盈盈</t>
  </si>
  <si>
    <t>412823198610192445</t>
  </si>
  <si>
    <t>本单位于2024年4月16日对你（单位）在施工工地未采取有效防尘措施一案立案调查。经调查，你（单位）作为西湖沁园居项目土石方及基坑支护工程的施工单位，于2024年4月12日存在在西湖沁园居项目施工工地未按照要求采取覆盖、洒水抑尘的违法行为。经查询，截止至2024年4月16日止，你（单位）在1年内未被广东省执法机构认定实施过同类违法行为。上述行为违反了《广东省环境保护条例》第四十条第二款的规定。</t>
  </si>
  <si>
    <t>深南住建行罚立〔2024〕22号</t>
  </si>
  <si>
    <t>深南住建罚〔2024〕30号</t>
  </si>
  <si>
    <t>付泽正、宗海根</t>
  </si>
  <si>
    <t>已缴款</t>
  </si>
  <si>
    <t>44030524080002781001</t>
  </si>
  <si>
    <t>9005358517</t>
  </si>
  <si>
    <t>20243000053</t>
  </si>
  <si>
    <t>施工单位未按照规定组织危大工程验收案</t>
  </si>
  <si>
    <t>怡丰大厦</t>
  </si>
  <si>
    <t>浙江亚厦幕墙有限公司</t>
  </si>
  <si>
    <t>91330604758056286G</t>
  </si>
  <si>
    <t>阿其拉图</t>
  </si>
  <si>
    <t>150404197107190070</t>
  </si>
  <si>
    <t>2024年4月28日，我局执法人员高健（19020416021）、宗海根（19020416004）在监督执法抽查怡丰大厦项目时发现，该项目现场1#、2#吊篮已安装完成并已投入使用，但未见现场1#、2#吊篮验收的相关材料。本单位于 2024年4月28日对你单位涉嫌未按照规定组织危大工程验收的违法行为进行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怡丰大厦项目现场1#、2#吊篮已安装完成并已投入使用，但未见现场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上述行为违反了《危险性较大的分部分项工程安全管理规定》第二十一条第一款的规定。</t>
  </si>
  <si>
    <t>深南住建行罚立〔2024〕24号</t>
  </si>
  <si>
    <t>深南住建罚〔2024〕36号</t>
  </si>
  <si>
    <t>2024.10.10法制科</t>
  </si>
  <si>
    <t>44030524080002927939</t>
  </si>
  <si>
    <t>9006705081</t>
  </si>
  <si>
    <t>20243000054</t>
  </si>
  <si>
    <t>施工单位未按照规定组织危大工程验收（现场负责人）</t>
  </si>
  <si>
    <t>康文旭</t>
  </si>
  <si>
    <t>220112198110283215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</si>
  <si>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负责人（项目经理）。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康文旭作为幕墙施工单位的项目经理，违反了《危险性较大的分部分项工程安全管理规定》第二十一条第一款的规定</t>
  </si>
  <si>
    <t>深南住建行罚立〔2024〕25号</t>
  </si>
  <si>
    <t>深南住建罚〔2024〕37号</t>
  </si>
  <si>
    <t>44030524080002927947</t>
  </si>
  <si>
    <t>9006705082</t>
  </si>
  <si>
    <t>20243000055</t>
  </si>
  <si>
    <t>尹明刚</t>
  </si>
  <si>
    <t>420921198811284955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</si>
  <si>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技术负责人。在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尹明刚作为幕墙施工单位的项目技术负责人，违反了《危险性较大的分部分项工程安全管理规定》第二十一条第一款的规定。</t>
  </si>
  <si>
    <t>深南住建罚〔2024〕38号</t>
  </si>
  <si>
    <t>44030524080002927955</t>
  </si>
  <si>
    <t>9006705083</t>
  </si>
  <si>
    <t>20243000058</t>
  </si>
  <si>
    <t>九纵一街（前湾一路-公正北一街）工程</t>
  </si>
  <si>
    <t>李涛</t>
  </si>
  <si>
    <t>421127199805222539</t>
  </si>
  <si>
    <t>2024年4月30日，我局在执法检查过程中发现，李涛是中建一局集团华北建设有限公司的项目安全员，与其安全生产考核合格证注册企业为中国建筑一局（集团）有限公司不一致。本单位于 2024年5月11日对“安管人员”未按规定办理证书变更立案调查。经调查，你作为中建一局集团华北建设有限公司九纵一街（前湾一路-公正北一街）工程项目专职安全生产管理人员，存在“安管人员”未按照规定办理安全生产考核合格证注册单位变更的违法行为。上述行为违反了《建筑施工企业主要负责人、项目负责人和专职安全生产管理人员安全生产管理规定》第十一条的规定。</t>
  </si>
  <si>
    <t>深南住建行罚立〔2024〕27号</t>
  </si>
  <si>
    <t>深南住建罚〔2024〕40号</t>
  </si>
  <si>
    <t>付泽正、谭亮（韩海亮）</t>
  </si>
  <si>
    <t>20243000061</t>
  </si>
  <si>
    <t>东莞市骏升建筑机械租赁有限公司未对塔式起重安装（拆卸）危大工程进行安全巡视案案</t>
  </si>
  <si>
    <t>蛇口医院内科综合大楼项目施工总承包</t>
  </si>
  <si>
    <t>东莞市骏升建筑机械租赁有限公司</t>
  </si>
  <si>
    <t>914419005744591367</t>
  </si>
  <si>
    <t>张伯军</t>
  </si>
  <si>
    <t>440982198408102353</t>
  </si>
  <si>
    <t>塔式起重安装（拆卸）施工单位未对危大工程进行安全巡视案</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</si>
  <si>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你单位是蛇口医院内科综合大楼项目施工总承包中海建筑有限公司的建筑起重机械的安装和拆卸分包单位，设备类型为塔式起重机，塔式起重机拆卸属于《住房城乡建设部办公厅关于实施〈危险性较大的分部分项工程安全管理规定〉有关问题的通知》（建办质〔2018〕31号）附件1危险性较大的分部分项工程范围中第三条第（三）项规定的内容。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</si>
  <si>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深南住建行罚立〔2024〕28号</t>
  </si>
  <si>
    <t>深南住建行罚决〔2024〕42号</t>
  </si>
  <si>
    <t>董继峰、谭亮（高广君）</t>
  </si>
  <si>
    <t>20243000064</t>
  </si>
  <si>
    <t>东莞市骏升建筑机械租赁有限公司未对塔式起重安装（拆卸）危大工程进行安全巡视案案（现场负责人）</t>
  </si>
  <si>
    <t>王德强</t>
  </si>
  <si>
    <t>设备安装单位现场负责人</t>
  </si>
  <si>
    <t>411381198901073011</t>
  </si>
  <si>
    <t>塔式起重安装（拆卸）施工单位未对危大工程进行安全巡视案（现场负责人）</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</si>
  <si>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直接负责的主管人员（现场负责人），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</si>
  <si>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深南住建行罚立〔2024〕29号</t>
  </si>
  <si>
    <t>深南住建行罚决〔2024〕43号</t>
  </si>
  <si>
    <t>20243000066</t>
  </si>
  <si>
    <t>东莞市骏升建筑机械租赁有限公司未对塔式起重安装（拆卸）危大工程进行安全巡视案案（安全员）</t>
  </si>
  <si>
    <t>黎日伟</t>
  </si>
  <si>
    <t>设备安装单位现场安全员</t>
  </si>
  <si>
    <t>450423198607220410</t>
  </si>
  <si>
    <t>塔式起重安装（拆卸）施工单位未对危大工程进行安全巡视案（安全员）</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</si>
  <si>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的其他直接责任人员（安全员），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</si>
  <si>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深南住建行罚立〔2024〕30号</t>
  </si>
  <si>
    <t>深南住建行罚决〔2024〕44号</t>
  </si>
  <si>
    <t>20243000069</t>
  </si>
  <si>
    <t>施工单位在施工工地未采取有效防尘措施案</t>
  </si>
  <si>
    <t>南山区沙河街道天虹商场配送中心地块城市更新单元规划土石方及基坑支护工程</t>
  </si>
  <si>
    <t>陈浩霖</t>
  </si>
  <si>
    <t>441481199005134870</t>
  </si>
  <si>
    <t>2024年5月17日，我局执法人员高健（19020416021）、宗海根（19020416004）在监督执法抽查南山区沙河街道天虹商场配送中心地块城市更新单元规划土石方及基坑支护工程时发现，该施工工地未采取覆盖、洒水抑尘、冲洗地面等有效防尘措施。本单位于2024年5月17日对你单位涉嫌未按照规定采取有效防尘措施的违法行为进行立案调查。经调查，南山区沙河街道天虹商场配送中心地块城市更新单元规划土石方及基坑支护工程位于深圳市南山区沙河街道侨深路5号，建设规模8346.6平方米，该项目施工单位是深圳市正扬建设有限公司，天虹商场配送中心地块城市更新单元规划土石方及基坑支护工程施工工地未采取覆盖、洒水抑尘、冲洗地面等有效防尘措施。上述行为违反了《广东省环境保护条例》第四十条第二款。</t>
  </si>
  <si>
    <t>深南住建行罚立〔2024〕31号</t>
  </si>
  <si>
    <t>深南住建行罚决〔2024〕41号</t>
  </si>
  <si>
    <t>未缴款</t>
  </si>
  <si>
    <t>深南住建强执催[2025]1号</t>
  </si>
  <si>
    <t>20243000075</t>
  </si>
  <si>
    <t>深港科学园(南方科技大学深港微电子学院、深港创新中心)项目基坑支护、土石方及桩基础工程</t>
  </si>
  <si>
    <t>深圳市世晟建筑工程有限公司</t>
  </si>
  <si>
    <t>91440300072508233P</t>
  </si>
  <si>
    <t>陈艳涛</t>
  </si>
  <si>
    <t>152322197508032013</t>
  </si>
  <si>
    <t>2024年6月18日，我局执法人员谭亮（19020416022）、宗海根（19020416004）在监督执法抽查深港科学园(南方科技大学深港微电子学院、深港创新中心)项目基坑支护、土石方及桩基础工程时发现，该施工工地未采取覆盖、洒水抑尘、冲洗地面等有效防尘措施。本单位于 2024年6月18日对你单位涉嫌存在未按照规定采取有效防尘措施的行为进行立案调查。经调查，深港科学园(南方科技大学深港微电子学院、深港创新中心)项目基坑支护、土石方及桩基础工程位于深圳市南山区桃源街道白石岭片区留仙大道以南、南坪快速以北、福龙路以西，建设规模37120.01平方米，该项目土石方施工单位是深圳市世晟建筑工程有限公司，深港科学园(南方科技大学深港微电子学院、深港创新中心)项目基坑支护、土石方及桩基础工程施工工地未采取覆盖、洒水抑尘、冲洗地面等有效防尘措施。上述行为违反了《广东省环境保护条例》第四十条第二款的规定。</t>
  </si>
  <si>
    <t>深南住建行罚立〔2024〕35号</t>
  </si>
  <si>
    <t>深南住建行罚决〔2024〕47号</t>
  </si>
  <si>
    <t>20243000090</t>
  </si>
  <si>
    <t>致湾大厦主体工程</t>
  </si>
  <si>
    <t>深圳市建安（集团）股份有限公司</t>
  </si>
  <si>
    <t>9144030019219737XM</t>
  </si>
  <si>
    <t>刘进跃</t>
  </si>
  <si>
    <t>440301196604215419</t>
  </si>
  <si>
    <t>经调查，你单位是致湾大厦主体工程的施工单位，你单位提供的《项目部劳动防护用品发放登记表》无向从业人员高某发放安全带的记录，存在未对该项目现场3#楼首层板面作业人员高某发放劳动防护用品（安全带）的行为。上述行为违反了《中华人民共和国安全生产法》第四十五条的规定。</t>
  </si>
  <si>
    <t>深南住建行罚立〔2024〕32号</t>
  </si>
  <si>
    <t>深南住建行罚决〔2024〕50号</t>
  </si>
  <si>
    <t>韩海亮、高健</t>
  </si>
  <si>
    <t>20243000097</t>
  </si>
  <si>
    <t>特种作业人员未按照规定经专门的安全作业培训并取得相应资格上岗作业</t>
  </si>
  <si>
    <t>前海合作区八单元市政道路工程（一期）</t>
  </si>
  <si>
    <t>中铁十二局集团有限公司</t>
  </si>
  <si>
    <t>911400001100711840</t>
  </si>
  <si>
    <t>李天胜</t>
  </si>
  <si>
    <t>14010419691224135X</t>
  </si>
  <si>
    <t>经调查，你单位是前海合作区八单元市政道路工程（一期）项目的施工单位，该工程项目西南角钢筋加工场一名工人黄仕江正在进行焊接作业，经检索【全国工程质量安全监管信息平台】和【特种作业操作证及安全生产知识和管理能力考核合格信息查询平台】均未查询到黄仕江具有焊接特种作业操作证，工人黄仕江为你单位的员工，施工单位的员工黄仕江未按照规定经专门的安全作业培训并取得相应资格，上岗作业。上述行为违反了《中华人民共和国安全生产法》第三十条第一款的规定。</t>
  </si>
  <si>
    <t>深南住建行罚立〔2024〕41号</t>
  </si>
  <si>
    <t>深南住建行罚决〔2024〕53号</t>
  </si>
  <si>
    <t>付泽正、宗海根（米兰）</t>
  </si>
  <si>
    <t>44030524080003425965</t>
  </si>
  <si>
    <t>9008315711</t>
  </si>
  <si>
    <t>20243000098</t>
  </si>
  <si>
    <t>深圳湾滨海商务中心一期主体工程</t>
  </si>
  <si>
    <t>深圳市旭盛装饰有限公司</t>
  </si>
  <si>
    <t>91440300788340659R</t>
  </si>
  <si>
    <t>苗志强</t>
  </si>
  <si>
    <t>341226197401156117</t>
  </si>
  <si>
    <t>经调查，你单位为深圳湾滨海商务中心一期主体工程项目拆撑专业分包施工单位，深圳湾滨海商务中心一期主体工程项目施工现场存在以下安全事故隐患：基坑西北角内支撑拆除部位，切割绳锯未按要求设置防止突然断裂伤人的防护措施，且你单位未对上述安全隐患采取措施进行消除。拆撑专业分包施工单位深圳市旭盛装饰有限公司存在未采取措施消除事故隐患的违法行为。上述行为违反了《中华人民共和国安全生产法》第四十一条第二款的规定。</t>
  </si>
  <si>
    <t>深南住建行罚立〔2024〕42号</t>
  </si>
  <si>
    <t>深南住建行罚决〔2024〕54号</t>
  </si>
  <si>
    <t>44030524080003425973</t>
  </si>
  <si>
    <t>9008315712</t>
  </si>
  <si>
    <t>20243000099</t>
  </si>
  <si>
    <t>监理单位未按规定结合危大工程专项施工方案编制监理实施细则</t>
  </si>
  <si>
    <t>广东联发工程咨询有限公司</t>
  </si>
  <si>
    <t>91440512714791633W</t>
  </si>
  <si>
    <t>黄培良</t>
  </si>
  <si>
    <t>440509197701150019</t>
  </si>
  <si>
    <t>经调查，你单位是深圳湾滨海商务中心一期主体工程项目的监理单位，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你单位对该危大工程未结合危大工程专项施工方案编制监理实施细则，监理单位存在未按规定结合危大工程专项施工方案编制监理实施细则的行为。上述行为违反了《危险性较大的分部分项工程安全管理规定》第十八条的规定。</t>
  </si>
  <si>
    <t>深南住建行罚立〔2024〕43号</t>
  </si>
  <si>
    <t>深南住建行罚决〔2024〕58号</t>
  </si>
  <si>
    <t>44030524080003426010</t>
  </si>
  <si>
    <t>9008315715</t>
  </si>
  <si>
    <t>20243000100</t>
  </si>
  <si>
    <t>监理单位未按规定结合危大工程专项施工方案编制监理实施细则（总监理工程师）</t>
  </si>
  <si>
    <t>刘成蒙</t>
  </si>
  <si>
    <t>项目总监</t>
  </si>
  <si>
    <t>372428197003150617</t>
  </si>
  <si>
    <t>经调查，广东联发工程咨询有限公司是深圳湾滨海商务中心一期主体工程项目的监理单位，当事人是监理单位广东联发工程咨询有限公司的总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</si>
  <si>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深南住建行罚立〔2024〕44号</t>
  </si>
  <si>
    <t>深南住建行罚决〔2024〕55号</t>
  </si>
  <si>
    <t>44030524080003425990</t>
  </si>
  <si>
    <t>9008315713</t>
  </si>
  <si>
    <t>20243000101</t>
  </si>
  <si>
    <t>监理单位未按规定结合危大工程专项施工方案编制监理实施细则（专业监理工程师）</t>
  </si>
  <si>
    <t>纪煜林</t>
  </si>
  <si>
    <t>项目专监</t>
  </si>
  <si>
    <t>440509199207103216</t>
  </si>
  <si>
    <t>经调查，广东联发工程咨询有限公司是深圳湾滨海商务中心一期主体工程项目的监理单位，当事人是监理单位广东联发工程咨询有限公司的专业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</si>
  <si>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深南住建行罚立〔2024〕45号</t>
  </si>
  <si>
    <t>深南住建行罚决〔2024〕57号</t>
  </si>
  <si>
    <t>44030524080003426001</t>
  </si>
  <si>
    <t>9008315714</t>
  </si>
  <si>
    <t>20243000117</t>
  </si>
  <si>
    <t>中建二局第三建筑工程有限公司未采取措施消除事故隐患案</t>
  </si>
  <si>
    <t>前海时代项目7-2号地块施工总承包工程二标段</t>
  </si>
  <si>
    <t>中建二局第三建筑工程有限公司</t>
  </si>
  <si>
    <t>9111000063370987XW</t>
  </si>
  <si>
    <t>吴滨</t>
  </si>
  <si>
    <t>350102198110061512</t>
  </si>
  <si>
    <t>经调查，中建二局第三建筑工程有限公司是前海时代项目7-2号地块施工总承包工程二标段的施工总承包单位，本单位于2024年8月2日检查前海时代项目7-2号地块施工总承包工程二标段发现施工现场存在以下安全事故隐患：该项目60栋附着式升降脚手架第一道附墙16号机位防坠装置失效，且未对上述安全隐患采取措施进行消除。中建二局第三建筑工程有限公司存在未采取措施消除事故隐患的行为。 上述行为违反《中华人民共和国安全生产法》第四十一条第二款的规定。</t>
  </si>
  <si>
    <t>深南住建行罚立〔2024〕55号</t>
  </si>
  <si>
    <t>深南住建行罚决〔2024〕63号</t>
  </si>
  <si>
    <t>高广君、宗海根（朱泽汇）</t>
  </si>
  <si>
    <t>20243000118</t>
  </si>
  <si>
    <t>深圳禹新建设集团有限公司未采取措施消除事故隐患案</t>
  </si>
  <si>
    <t>吉创中心大厦项目(一期)施工总承包工程</t>
  </si>
  <si>
    <t>深圳禹新建设集团有限公司</t>
  </si>
  <si>
    <t>91440300MA5GDLNL76</t>
  </si>
  <si>
    <t>丁琴</t>
  </si>
  <si>
    <t>321283197701162627</t>
  </si>
  <si>
    <t>经调查，深圳禹新建设集团有限公司是吉创中心大厦项目(一期)施工总承包工程的施工总承包单位，本单位于2024年8月2日检查吉创中心大厦项目(一期)施工总承包工程发现施工现场存在以下安全事故隐患：该项目现场5C栋首层西侧脚手架未设置连墙件，施工单位未采取措施消除事故隐患。深圳禹新建设集团有限公司存在未采取措施消除事故隐患的行为。 上述行为违反了《中华人民共和国安全生产法》第四十一条第二款的规定。</t>
  </si>
  <si>
    <t>深南住建行罚立〔2024〕54号</t>
  </si>
  <si>
    <t>深南住建行罚决〔2024〕64号</t>
  </si>
  <si>
    <t>20243000119</t>
  </si>
  <si>
    <r>
      <rPr>
        <sz val="12"/>
        <rFont val="楷体_GB2312"/>
        <charset val="134"/>
      </rPr>
      <t>深圳市</t>
    </r>
    <r>
      <rPr>
        <sz val="12"/>
        <rFont val="宋体"/>
        <charset val="134"/>
      </rPr>
      <t>昇</t>
    </r>
    <r>
      <rPr>
        <sz val="12"/>
        <rFont val="楷体_GB2312"/>
        <charset val="134"/>
      </rPr>
      <t>业工程技术有限公司未采取措施消除事故隐患案</t>
    </r>
  </si>
  <si>
    <t>吉创中心大厦项目(二期)施工总承包工程</t>
  </si>
  <si>
    <t>深圳市昇业工程技术有限公司</t>
  </si>
  <si>
    <t>9144030033525618XL</t>
  </si>
  <si>
    <t>彭亮</t>
  </si>
  <si>
    <t>430981198310100036</t>
  </si>
  <si>
    <r>
      <rPr>
        <sz val="12"/>
        <rFont val="楷体_GB2312"/>
        <charset val="134"/>
      </rPr>
      <t>经调查，深圳市</t>
    </r>
    <r>
      <rPr>
        <sz val="12"/>
        <rFont val="宋体"/>
        <charset val="134"/>
      </rPr>
      <t>昇</t>
    </r>
    <r>
      <rPr>
        <sz val="12"/>
        <rFont val="楷体_GB2312"/>
        <charset val="134"/>
      </rPr>
      <t>业工程技术有限公司是吉创中心大厦项目(二期)施工总承包工程的附着式升降脚手架分包施工单位，本单位于2024年8月2日检查吉创中心大厦项目(一期)施工总承包工程发现施工现场存在以下安全事故隐患：4栋17层附着式升降脚手架3号附墙支座防坠装置失效，且未对上述安全隐患采取措施进行消除。深圳市</t>
    </r>
    <r>
      <rPr>
        <sz val="12"/>
        <rFont val="宋体"/>
        <charset val="134"/>
      </rPr>
      <t>昇</t>
    </r>
    <r>
      <rPr>
        <sz val="12"/>
        <rFont val="楷体_GB2312"/>
        <charset val="134"/>
      </rPr>
      <t>业工程技术有限公司存在未采取措施消除事故隐患的行为。 上述行为违反《中华人民共和国安全生产法》第四十一条第二款的规定。</t>
    </r>
  </si>
  <si>
    <t>深南住建行罚立〔2024〕53号</t>
  </si>
  <si>
    <t>深南住建行罚决〔2024〕65号</t>
  </si>
  <si>
    <t>20243000138</t>
  </si>
  <si>
    <t>施工单位项目负责人未按照规定在施工现场履职案</t>
  </si>
  <si>
    <t>观山海家园项目剩余工程（土石方工程、基坑支护工程、桩基础工程、主体总承包工程）</t>
  </si>
  <si>
    <t>广东顶晟科技有限公司</t>
  </si>
  <si>
    <t>91440605MA5301H347</t>
  </si>
  <si>
    <t>张应德</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</si>
  <si>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按照《住房城乡建设部办公厅关于实施&lt;危险性较大的分部分项工程安全管理规定&gt;有关问题的通知》附件1【危险性较大的分部分项工程范围】第四条第（二）项规定，附着式升降脚手架工程属于危险性较大的分部分项工程范围。当事人是附着式升降脚手架工程的施工单位，现场1栋3单元附着式升降脚手架工程拼装施工作业时施工单位项目负责人未在现场履职。施工单位项目负责人未按照规定在施工现场履职的行为，违反了《危险性较大的分部分项工程安全管理规定》第十七条第一款的规定。</t>
  </si>
  <si>
    <t>深南住建行罚立〔2024〕57号</t>
  </si>
  <si>
    <t>深南住建行罚决〔2024〕61号</t>
  </si>
  <si>
    <t>宗海根、付泽正</t>
  </si>
  <si>
    <t>20243000139</t>
  </si>
  <si>
    <t>施工单位项目负责人未按照规定在施工现场履职案（项目负责人）</t>
  </si>
  <si>
    <t>陈钰尹</t>
  </si>
  <si>
    <t>专业分包单位项目负责人</t>
  </si>
  <si>
    <t>430726199611231311</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</si>
  <si>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你是施工单位的项目负责人（项目经理）。按照《住房城乡建设部办公厅关于实施&lt;危险性较大的分部分项工程安全管理规定&gt;有关问题的通知》附件1【危险性较大的分部分项工程范围】第四条第（二）项规定，附着式升降脚手架工程属于危险性较大的分部分项工程范围。项目负责人未按照规定在施工现场履职的行为，违反了《危险性较大的分部分项工程安全管理规定》第十七条第一款的规定。</t>
  </si>
  <si>
    <t>深南住建行罚立〔2024〕58号</t>
  </si>
  <si>
    <t>深南住建行罚决〔2024〕62号</t>
  </si>
  <si>
    <t>20243000146</t>
  </si>
  <si>
    <t>春晓科技大厦主体</t>
  </si>
  <si>
    <t>上海宝冶集团有限公司</t>
  </si>
  <si>
    <t>91310000746502808A</t>
  </si>
  <si>
    <t>高武久</t>
  </si>
  <si>
    <t>310104196412253751</t>
  </si>
  <si>
    <t>经调查，上海宝冶集团有限公司是春晓科技大厦主体项目的施工单位，春晓科技大厦主体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施工单位存在未按照规定组织危大工程验收的行为，且已进入下一道工序。上述行为违反了《危险性较大的分部分项工程安全管理规定》第二十一条第一款的规定。</t>
  </si>
  <si>
    <t>深南住建行罚立〔2024〕60号</t>
  </si>
  <si>
    <t>深南住建行罚决〔2024〕69号</t>
  </si>
  <si>
    <t>20243000147</t>
  </si>
  <si>
    <t>石义兴</t>
  </si>
  <si>
    <t>42022219910329141X</t>
  </si>
  <si>
    <t>经调查，上海宝冶集团有限公司是春晓科技大厦主体项目的施工单位，当事人石义兴是春晓科技大厦主体项目施工单位的项目负责人（项目经理），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</si>
  <si>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深南住建行罚立〔2024〕61号</t>
  </si>
  <si>
    <t>深南住建行罚决〔2024〕70号</t>
  </si>
  <si>
    <t>20243000149</t>
  </si>
  <si>
    <t>谢崇金</t>
  </si>
  <si>
    <t>项目技术负责人</t>
  </si>
  <si>
    <t>441781198806042732</t>
  </si>
  <si>
    <t>经调查，上海宝冶集团有限公司是春晓科技大厦主体项目的施工单位，当事人谢崇金是春晓科技大厦主体项目施工单位的项目技术负责人，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</si>
  <si>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深南住建行罚立〔2024〕62号</t>
  </si>
  <si>
    <t>深南住建行罚决〔2024〕71号</t>
  </si>
  <si>
    <t>20243000150</t>
  </si>
  <si>
    <t>施工单位未按照规定对危大工程进行安全巡视</t>
  </si>
  <si>
    <t>桂庙新村城市更新单元施工总承包工程（含桩基础工程）</t>
  </si>
  <si>
    <t>湖南慧盛科技发展有限公司</t>
  </si>
  <si>
    <t>91430111MA4L71YA2M</t>
  </si>
  <si>
    <t>印华平</t>
  </si>
  <si>
    <t>43302219700613031X</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</si>
  <si>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但未见你单位对2栋C座5层附着式升降脚手架的安装部位进行安全巡视。上述行为违反了《危险性较大的分部分项工程安全管理规定》（住建部令第37号）第十七条第三款的规定。</t>
  </si>
  <si>
    <t>深南住建行罚立〔2024〕63号</t>
  </si>
  <si>
    <t>深南住建行罚决〔2024〕74号</t>
  </si>
  <si>
    <t>韩海亮、宗海根（钱一舟）</t>
  </si>
  <si>
    <t>20243000151</t>
  </si>
  <si>
    <t>施工单位未按照规定对危大工程进行安全巡视（现场负责人）</t>
  </si>
  <si>
    <t>唐前亮</t>
  </si>
  <si>
    <t>431222199002241037</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</si>
  <si>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主管人员（现场负责人）。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直接负责的主管人员（现场负责人），未对2栋C座5层附着式升降脚手架的安装部位进行安全巡视。上述行为违反了《危险性较大的分部分项工程安全管理规定》（住建部令第37号）第十七条第三款的规定。</t>
  </si>
  <si>
    <t>深南住建行罚立〔2024〕64号</t>
  </si>
  <si>
    <t>深南住建行罚决〔2024〕73号</t>
  </si>
  <si>
    <t>20243000152</t>
  </si>
  <si>
    <t>施工单位未按照规定对危大工程进行安全巡视（其他直接责任人员）</t>
  </si>
  <si>
    <t>鲁培松</t>
  </si>
  <si>
    <t>432924197509092619</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</si>
  <si>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其他直接责任人员（安全员）。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其他直接责任人员（安全员），未对2栋C座5层附着式升降脚手架的安装部位进行安全巡视。上述行为违反了《危险性较大的分部分项工程安全管理规定》（住建部令第37号）第十七条第三款的规定。</t>
  </si>
  <si>
    <t>深南住建行罚立〔2024〕65号</t>
  </si>
  <si>
    <t>深南住建行罚决〔2024〕72号</t>
  </si>
  <si>
    <t>20243000156</t>
  </si>
  <si>
    <t>深圳市利源水务设计咨询有限公司未对危大工程施工实施专项巡视检查</t>
  </si>
  <si>
    <t>深圳市南山水厂扩建工程总承包（EPC）工程（南山水厂二期工程）</t>
  </si>
  <si>
    <t>深圳市利源水务设计咨询有限公司</t>
  </si>
  <si>
    <t>91440300192227495F</t>
  </si>
  <si>
    <t>李晓如</t>
  </si>
  <si>
    <t>440301197202093812</t>
  </si>
  <si>
    <t>未对危大工程施工实施专项巡视检查</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</si>
  <si>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上述行为违反了《危险性较大的分部分项工程安全管理规定（2019修正）》第十八条的规定。</t>
  </si>
  <si>
    <t>深南住建行罚立〔2024〕67号</t>
  </si>
  <si>
    <t>深南住建行罚决〔2024〕83号</t>
  </si>
  <si>
    <t>20243000158</t>
  </si>
  <si>
    <t>周军霞未对危大工程施工实施专项巡视检查</t>
  </si>
  <si>
    <t>周军霞</t>
  </si>
  <si>
    <t>监理单位项目总监</t>
  </si>
  <si>
    <t>430682197701067013</t>
  </si>
  <si>
    <t>未对危大工程施工实施专项巡视检查（总监理工程师）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</si>
  <si>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直接负责的主管人员），未对该危大工程施工实施专项巡视检查。上述行为违反了《危险性较大的分部分项工程安全管理规定（2019修正）》第十八条的规定。</t>
  </si>
  <si>
    <t>深南住建行罚立〔2024〕68号</t>
  </si>
  <si>
    <t>深南住建行罚决〔2024〕84号</t>
  </si>
  <si>
    <t>20243000159</t>
  </si>
  <si>
    <t>李想未对危大工程施工实施专项巡视检查</t>
  </si>
  <si>
    <t>李想</t>
  </si>
  <si>
    <t>监理单位项目专监</t>
  </si>
  <si>
    <t>43068219890918669X</t>
  </si>
  <si>
    <t>未对危大工程施工实施专项巡视检查（专业监理工程师）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</si>
  <si>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代表（其他直接责任人员），未对该危大工程施工实施专项巡视检查。上述行为违反了《危险性较大的分部分项工程安全管理规定（2019修正）》第十八条的规定。</t>
  </si>
  <si>
    <t>深南住建行罚立〔2024〕69号</t>
  </si>
  <si>
    <t>深南住建行罚决〔2024〕85号</t>
  </si>
  <si>
    <t>20243000160</t>
  </si>
  <si>
    <t>安全生产管理人员未履行职责，未检查本单位安全生产状况（项目经理）</t>
  </si>
  <si>
    <t>深湾玖序花园1栋主体工程</t>
  </si>
  <si>
    <t>雷昊</t>
  </si>
  <si>
    <t>412727199006176179</t>
  </si>
  <si>
    <t>安全生产管理人员未履行职责，未检查本单位安全生产状况</t>
  </si>
  <si>
    <t>经调查，你作为深湾玖序花园1栋主体工程施工单位中建四局第五建筑工程有限公司的项目负责人（项目经理），存在未按照要求对所负责的项目进行安全生产状况检查，未及时排查生产安全事故隐患，提出改进安全生产管理建议的行为。上述行为违反了《中华人民共和国安全生产法》第二十五条第一款第（五）项的规定。</t>
  </si>
  <si>
    <t>深南住建行罚决〔2024〕95号</t>
  </si>
  <si>
    <t>20243000161</t>
  </si>
  <si>
    <t>安全生产管理人员未履行职责，未检查本单位安全生产状况（安全员）</t>
  </si>
  <si>
    <t>陈强兴</t>
  </si>
  <si>
    <t>522701198112161218</t>
  </si>
  <si>
    <t>经调查，你作为深湾玖序花园1栋主体工程施工单位中建四局第五建筑工程有限公司的安全生产管理人员（专职安全员），存在未按照要求对所负责的区域进行安全生产状况检查，未及时排查生产安全事故隐患，提出改进安全生产管理建议的行为。上述行为违反了《中华人民共和国安全生产法》第二十五条第一款第（五）项的规定。</t>
  </si>
  <si>
    <t>深南住建行罚决〔2024〕96号</t>
  </si>
  <si>
    <t>20243000162</t>
  </si>
  <si>
    <t>监理机构发现工程建设中存在质量或者施工安全隐患以及违法行为的，未采取措施制止</t>
  </si>
  <si>
    <t>于百申</t>
  </si>
  <si>
    <t>施工单位项目总监</t>
  </si>
  <si>
    <t>220122198601067595</t>
  </si>
  <si>
    <t>经调查，深湾玖序花园1栋主体工程项目的监理单位为广东鸿业工程项目管理有限公司，现场存在以下安全隐患 ：1、1栋地下通道基坑边未设置临边防护栏杆；2、1A地下室b2层顶板支模架未设置水平兜网；3、1B栋2层高支模水平兜网未设置。作业区域周边未设置警戒封闭措施;4、1B栋五层楼梯口防护栏杆设置不符合规范要求；5、1B栋8层电梯井门洞口设置的防护栏杆高度不足1.5米，且未设置踢脚板。你作为深湾玖序花园1栋主体工程监理单位广东鸿业工程项目管理有限公司的总监理工程师，存在对工程建设中存在质量或者施工安全隐患以及违法行为，未采取措施制止的行为。上述行为违反了《深圳经济特区建设工程监理条例》第三十七条的规定。</t>
  </si>
  <si>
    <t>深南住建行罚立〔2024〕52号</t>
  </si>
  <si>
    <t>深南住建行罚决〔2024〕97号</t>
  </si>
  <si>
    <t>20243000163</t>
  </si>
  <si>
    <t>安全生产管理人员未履行职责检查本单位的安全生产状况</t>
  </si>
  <si>
    <t>颐城瑧湾悦家园 (T102-0337宗地) 幕墙工程</t>
  </si>
  <si>
    <t>蒋国华</t>
  </si>
  <si>
    <t>51092119721215315X</t>
  </si>
  <si>
    <r>
      <rPr>
        <sz val="12"/>
        <rFont val="楷体_GB2312"/>
        <charset val="134"/>
      </rPr>
      <t>经调查，你作为颐城</t>
    </r>
    <r>
      <rPr>
        <sz val="12"/>
        <rFont val="宋体"/>
        <charset val="134"/>
      </rPr>
      <t>瑧</t>
    </r>
    <r>
      <rPr>
        <sz val="12"/>
        <rFont val="楷体_GB2312"/>
        <charset val="134"/>
      </rPr>
      <t>湾悦家园 (T102-0337宗地) 幕墙工程施工单位安全生产管理人员，未履行职责检查本单位的安全生产状况，也未填写施工安全日志。上述行为违反了《中华人民共和国安全生产法》第二十五条第一款第（五）项的规定。</t>
    </r>
  </si>
  <si>
    <t>深南住建行罚立〔2024〕72号</t>
  </si>
  <si>
    <t>深南住建行罚决〔2024〕68号</t>
  </si>
  <si>
    <t>董继峰、付泽正（罗元）</t>
  </si>
  <si>
    <t>20243000166</t>
  </si>
  <si>
    <t>远望谷大厦（桩基、主体）工程</t>
  </si>
  <si>
    <t>杨粤辉</t>
  </si>
  <si>
    <t>622725197308071417</t>
  </si>
  <si>
    <t>经调查，远望谷大厦（桩基、主体）工程位于南山区粤海科技南五路与高新南五道交汇处西南角，该项目施工单位为昆山经济技术开发区建筑安装工程有限公司，你作为远望谷大厦（桩基、主体）工程施工单位安全生产管理人员，存在未履行职责检查本单位的安全生产状况，也未填写施工安全日志的行为。上述行为违反了《中华人民共和国安全生产法》第二十五条第一款第（五）项的规定。</t>
  </si>
  <si>
    <t>深南住建行罚立〔2024〕75号</t>
  </si>
  <si>
    <t>深南住建行罚决〔2024〕90号</t>
  </si>
  <si>
    <t>20243000167</t>
  </si>
  <si>
    <t>远望谷大厦室内精装修工程</t>
  </si>
  <si>
    <t>但东笋</t>
  </si>
  <si>
    <t>420323198712133115</t>
  </si>
  <si>
    <t>经调查，远望谷大厦室内精装修工程位于南山区粤海科技南五路与高新南五道交汇处西南角，该项目施工单位为深圳市大象联合空间建设股份有限公司，你作为远望谷大厦室内精装修工程施工单位安全生产管理人员，存在未履行职责检查本单位的安全生产状况，也未填写施工安全日志的行为。上述行为违反了《中华人民共和国安全生产法》第二十五条第一款第（五）项的规定。</t>
  </si>
  <si>
    <t>深南住建行罚立〔2024〕76号</t>
  </si>
  <si>
    <t>深南住建行罚决〔2024〕91号</t>
  </si>
  <si>
    <t>20243000180</t>
  </si>
  <si>
    <t>栖河丽岛公馆</t>
  </si>
  <si>
    <t>颜成</t>
  </si>
  <si>
    <t>430426198409224854</t>
  </si>
  <si>
    <t>经调查，栖河丽岛公馆项目位于深圳市南山区桃源街道丽岛一路和丽岛二路交叉口东北侧，建设规模72777.92平方米，合同价格37,620.96万元，该项目的施工单位为深圳市建工集团股份有限公司，你作为栖河丽岛公馆施工单位安全生产管理人员，未履行职责检查本单位的安全生产状况，也未填写施工安全日志。上述行为违反了《中华人民共和国安全生产法》第二十五条第一款第（五）项的规定。</t>
  </si>
  <si>
    <t>深南住建行罚立〔2024〕83号</t>
  </si>
  <si>
    <t>深南住建行罚决〔2024〕92号</t>
  </si>
  <si>
    <t>宗海根、韩海亮</t>
  </si>
  <si>
    <t>20243000181</t>
  </si>
  <si>
    <t>胡海泉</t>
  </si>
  <si>
    <t>32091119760520065X</t>
  </si>
  <si>
    <t>经调查，观山海家园项目剩余工程(土石方工程、基坑支护工程、桩基础工程、主体总承包工程)项目位于深圳市南山区兴海大道东侧，沿山路南侧，建设规模163053.36平方米，合同价格94450.5808万元，该项目的施工单位为深圳市双润建安工程有限公司，你作为观山海家园项目剩余工程(土石方工程、基坑支护工程、桩基础工程、主体总承包工程)施工单位安全生产管理人员，未履行职责检查本单位的安全生产状况，也未填写施工安全日志。上述行为违反了《中华人民共和国安全生产法》第二十五条第一款第（五）项的规定。</t>
  </si>
  <si>
    <t>深南住建行罚立〔2024〕82号</t>
  </si>
  <si>
    <t>深南住建行罚决〔2024〕93号</t>
  </si>
  <si>
    <t>20243000183</t>
  </si>
  <si>
    <t>施工单位未采取措施消除事故隐患（施工单位）</t>
  </si>
  <si>
    <t>欧加大厦项目主体（原名：欧加大厦项目总承包工程）</t>
  </si>
  <si>
    <t>中国建筑第二工程局有限公司</t>
  </si>
  <si>
    <t>91110000100024296D</t>
  </si>
  <si>
    <t>石雨</t>
  </si>
  <si>
    <t>130205197206202411</t>
  </si>
  <si>
    <t>经调查，你单位中国建筑第二工程局有限公司是欧加大厦项目主体工程的施工单位，本单位于2024年9月18日检查欧加大厦项目主体工程发现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现场存在上述隐患且你单位存在未采取措施消除事故隐患的行为。上述行为违反了《中华人民共和国安全生产法》第四十一条第二款的规定。</t>
  </si>
  <si>
    <t>深南住建行罚立〔2024〕71号</t>
  </si>
  <si>
    <t>深南住建行罚决〔2024〕111号</t>
  </si>
  <si>
    <t>20243000184</t>
  </si>
  <si>
    <t>邬丰硕</t>
  </si>
  <si>
    <t>36010219950417441X</t>
  </si>
  <si>
    <t>经调查，欧加大厦主体工程项目的施工单位为中国建筑第二工程局有限公司，在该项目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你作为欧加大厦项目主体工程施工单位中国建筑第二工程局有限公司的安全生产管理人员（专职安全员），存在未按照要求对所负责的区域进行安全生产状况检查，未及时排查生产安全事故隐患，提出改进安全生产管理建议的行为。上述行为违反《中华人民共和国安全生产法》第二十五条第一款第（五）项的规定</t>
  </si>
  <si>
    <t>深南住建行罚立〔2024〕74号</t>
  </si>
  <si>
    <t>深南住建行罚决〔2024〕110号</t>
  </si>
  <si>
    <t>20243000189</t>
  </si>
  <si>
    <t>音乐科技大厦总承包工程</t>
  </si>
  <si>
    <t>广东速安科建筑工程有限公司</t>
  </si>
  <si>
    <t>91440600MA4UJFF87A</t>
  </si>
  <si>
    <t>邱华仂</t>
  </si>
  <si>
    <t>362522198702114033</t>
  </si>
  <si>
    <t>经调查，你单位为音乐科技大厦总承包工程拆撑专业分包施工单位，音乐科技大厦总承包工程施工现场存在以下安全事故隐患：基坑东北角内支撑拆除部位，切割绳锯未按要求设置防止突然断裂伤人的防护措施，且你单位未对上述安全隐患采取措施进行消除。拆撑专业分包施工单位广东速安科建筑工程有限公司存在未采取措施消除事故隐患的违法行为。上述行为违反了《中华人民共和国安全生产法》第四十一条第二款的规定。</t>
  </si>
  <si>
    <t>深南住建行罚立〔2024〕86号</t>
  </si>
  <si>
    <t>深南住建行罚决〔2024〕108号</t>
  </si>
  <si>
    <t>20243000192</t>
  </si>
  <si>
    <t>普联技术有限公司T501-0091宗地项目总承包工程</t>
  </si>
  <si>
    <t>代卫东</t>
  </si>
  <si>
    <t>412821198910105355</t>
  </si>
  <si>
    <t>经调查，当事人作为普联技术有限公司T501-0091宗地项目总承包工程施工单位安全生产管理人员，未履行职责检查本单位的安全生产状况，也未填写施工安全日志。上述行为违反了《中华人民共和国安全生产法》第二十五条第一款第（五）项的规定</t>
  </si>
  <si>
    <t>深南住建行罚立〔2024〕85号</t>
  </si>
  <si>
    <t>深南住建行罚决〔2024〕107号</t>
  </si>
  <si>
    <t>董继峰、宗海根（罗元）</t>
  </si>
  <si>
    <t>20243000210</t>
  </si>
  <si>
    <t>福建鑫捷科技有限公司施工单位未采取措施消除事故隐患案</t>
  </si>
  <si>
    <t>四海名邸总承包工程</t>
  </si>
  <si>
    <t>福建鑫捷建筑科技有限公司</t>
  </si>
  <si>
    <t>91350303MA34BA9Y9J</t>
  </si>
  <si>
    <t>金红</t>
  </si>
  <si>
    <t>340404197803090220</t>
  </si>
  <si>
    <t>经调查，你单位是四海名邸总承包工程项目的附着式升降脚手架专业分包工程的施工单位，四海名邸总承包工程项目施工现场存在以下安全事故隐患：在该工程附着式升降脚手架施工中现场3号楼附着式升降脚手架最上一道脚手板处未随架体搭设同步安装安全防护网和防护栏杆等防护措施，且未对上述安全隐患采取措施进行消除，你单位存在未采取措施消除事故隐患的行为。上述行为违反了《中华人民共和国安全生产法》第四十一条第二款的规定</t>
  </si>
  <si>
    <t>深南住建行罚立〔2024〕100号</t>
  </si>
  <si>
    <t>深南住建行罚决〔2024〕94号</t>
  </si>
  <si>
    <t>韩海亮、高广君（刘百鑫）</t>
  </si>
  <si>
    <t>20243000224</t>
  </si>
  <si>
    <t>安邦财险深圳总部大厦施工主体工程</t>
  </si>
  <si>
    <t>重庆市津北建筑工程有限公司</t>
  </si>
  <si>
    <t>劳务分包单位</t>
  </si>
  <si>
    <t>915001167428523769</t>
  </si>
  <si>
    <t>聂高贵</t>
  </si>
  <si>
    <t>510225196811060951</t>
  </si>
  <si>
    <t>经调查，你单位是安邦财险深圳总部大厦施工主体工程主体结构劳务分包一标段的施工单位，工人姚永满为你单位的员工，经检索【全国工程质量安全监管信息平台】和【特种作业操作证及安全生产知识和管理能力考核合格信息查询平台】均未查询到姚永满已取得焊接特种作业操作证，你单位的员工姚永满存在未按照规定经专门的安全作业培训并取得相应资格，上岗作业的行为。上述行为违反了《中华人民共和国安全生产法》第三十条第一款的规定。</t>
  </si>
  <si>
    <t>深南住建行罚立〔2024〕103号</t>
  </si>
  <si>
    <t>深南住建行罚决〔2025〕4号</t>
  </si>
  <si>
    <t>20243000218</t>
  </si>
  <si>
    <t>戚金有</t>
  </si>
  <si>
    <t>450802198802014233</t>
  </si>
  <si>
    <t>经调查，安邦财险深圳总部大厦施工主体工程的施工单位是中国建筑一局（集团）有限公司，当事人系安邦财险深圳总部大厦施工主体工程项目施工单位的安全生产管理人员（项目负责人），负责该项目的安全生产管理工作。2024年10月29日，我局执法人员监督执法检查时，发现安邦财险深圳总部大厦施工主体工程的安全生产管理人员未按照要求对项目安全生产状况进行检查，未及时排查生产安全事故隐患。你作为安邦财险深圳总部大厦施工主体工程的施工单位的安全生产管理人员存在未履行职责检查本单位的安全生产状况，及时排查生产安全事故隐患，提出改进安全生产管理的建议的行为，违反了《中华人民共和国安全生产法》第二十五条第一款第（五）项的规定。</t>
  </si>
  <si>
    <t>深南住建行罚立〔2024〕101号</t>
  </si>
  <si>
    <t>深南住建行罚决〔2025〕8号</t>
  </si>
  <si>
    <t>20243000226</t>
  </si>
  <si>
    <t>施工单位未采取措施消除事故隐患（中建香港）</t>
  </si>
  <si>
    <t>前湾十单元九年一贯制学校项目施工总承包</t>
  </si>
  <si>
    <t>中国建筑工程（香港）有限公司</t>
  </si>
  <si>
    <t>91440300MA5HWA476X</t>
  </si>
  <si>
    <t>龚锐生</t>
  </si>
  <si>
    <t>H10231582</t>
  </si>
  <si>
    <t>经调查，你单位中国建筑工程（香港）有限公司是前湾十单元九年一贯制学校项目施工总承包工程的施工单位，本单位于2024年10月28日检查前湾十单元九年一贯制学校项目施工总承包工程发现施工现场存在以下安全事故隐患：1、体育馆钢结构施工部位，钢梁未按要求设置防倾覆措施；2、1区首层外脚手架连墙件设置不足；3、4区悬挑外脚手架与结构边缘未按要求设置封闭防护措施。现场存在上述隐患且你单位存在未采取措施消除事故隐患的行为。上述行为违反了《中华人民共和国安全生产法》第四十一条第二款的规定。</t>
  </si>
  <si>
    <t>深南住建行罚立〔2024〕91号</t>
  </si>
  <si>
    <t>深南住建行罚决〔2024〕112号</t>
  </si>
  <si>
    <t>20243000228</t>
  </si>
  <si>
    <t>广东省工业设备安装有限公司未采取措施消除事故隐患案</t>
  </si>
  <si>
    <t>前海合作区区域集中供冷项目3号供冷站（一期）安装工程</t>
  </si>
  <si>
    <t>陈鹏</t>
  </si>
  <si>
    <t>经调查，你单位是前海合作区区域集中供冷项目3号供冷站（一期）安装工程施工单位，我局执法人员高广君（19020416009）、宗海根（19020416001）于2024年11月2日监督执法该项目时，发现前海合作区区域集中供冷项目3号供冷站（一期）安装工程施工现场存在以下安全事故隐患：现场裙房屋面5号落地式脚手架东南侧未设置连墙件，施工单位未采取措施消除上述隐患。上述行为违反《中华人民共和国安全生产法》第四十一条第二款的规定。</t>
  </si>
  <si>
    <t>深南住建行罚立〔2024〕104号</t>
  </si>
  <si>
    <t>深南住建行罚决〔2025〕12号</t>
  </si>
  <si>
    <t>20243000230</t>
  </si>
  <si>
    <t>安全生产管理人员未履行职责及时排查生产安全事故隐患</t>
  </si>
  <si>
    <t>西丽医院改扩建代建施工总承包</t>
  </si>
  <si>
    <t>桂庆元</t>
  </si>
  <si>
    <t>522701198805211214</t>
  </si>
  <si>
    <t>经调查，西丽医院改扩建代建施工总承包工程的施工单位是中建四局第五建筑工程有限公司，该项目施工现场存在以下安全事故隐患：工程塔楼2楼操作平台临边未设置防护栏杆，你作为西丽医院改扩建代建施工总承包工程施工单位安全生产管理人员，存在未履行职责及时排查生产安全事故隐患，提出改进安全生产管理建议的行为。上述行为违反《中华人民共和国安全生产法》第二十五条第一款第（五）项的规定。</t>
  </si>
  <si>
    <t>深南住建行罚立〔2024〕105号</t>
  </si>
  <si>
    <t>深南住建行罚决〔2024〕109号</t>
  </si>
  <si>
    <t>董继峰、高广君（罗元）</t>
  </si>
  <si>
    <t>20243000240</t>
  </si>
  <si>
    <t>上海新都装饰工程有限公司未采取措施消除安全隐患</t>
  </si>
  <si>
    <t>丽怡酒店深圳南山四海地铁站店装修项目</t>
  </si>
  <si>
    <t>上海新都装饰工程有限公司</t>
  </si>
  <si>
    <t>913101156072163934</t>
  </si>
  <si>
    <t>陈伟</t>
  </si>
  <si>
    <t>310112196812211016</t>
  </si>
  <si>
    <t>经调查，你单位是丽怡酒店深圳南山四海地铁站店装修项目的施工单位，本单位于2024年11月08日检查丽怡酒店深圳南山四海地铁站店装修项目时，发现该项目施工现场存在以下安全事故隐患：该项目施工现场一楼楼梯间的作业脚手架未铺满脚手板，施工单位未对上述事故隐患采取措施进行消除。你单位存在未采取措施消除事故隐患的违法行为，违反了《中华人民共和国安全生产法》第四十一条第二款的规定。</t>
  </si>
  <si>
    <t>深南住建行罚立〔2024〕108号</t>
  </si>
  <si>
    <t>深南住建行罚决〔2025〕11号</t>
  </si>
  <si>
    <t>廖伟程、董继峰（六组）</t>
  </si>
  <si>
    <t>20243000241</t>
  </si>
  <si>
    <t>建滔总部大厦总包工程</t>
  </si>
  <si>
    <t>经调查，你单位是建滔总部大厦总包工程的施工单位，本单位于2024年11月12日检查建滔总部大厦总包工程时，发现施工现场存在以下安全事故隐患：施工单位在进行现场西北角沉淀水箱切割作业前，未清除西侧仓库内可燃物，已导致发生火情，且切割作业位置缺少临边防护措施，施工单位未对上述事故隐患采取措施进行消除。你单位存在未采取措施消除事故隐患的行为，违反了《中华人民共和国安全生产法》第四十一条第二款的规定。</t>
  </si>
  <si>
    <t>深南住建行罚立〔2024〕109号</t>
  </si>
  <si>
    <t>深南住建行罚决〔2025〕13号</t>
  </si>
  <si>
    <t>廖伟程、高广君</t>
  </si>
  <si>
    <t>20243000245</t>
  </si>
  <si>
    <t>建瓴路（同双路-中山园路）市政工程</t>
  </si>
  <si>
    <t>陈湘</t>
  </si>
  <si>
    <t>430426198911125173</t>
  </si>
  <si>
    <t>经调查，建瓴路（同双路-中山园路）市政工程项目的施工单位是深圳市信宇建筑工程有限公司，当事人作为建瓴路（同双路-中山园路）市政工程项目施工单位安全生产管理人员，未履行职责及时排查生产安全事故隐患的行为违反《中华人民共和国安全生产法》第二十五条第一款第（五）项的规定。</t>
  </si>
  <si>
    <t>深南住建行罚立〔2024〕112号</t>
  </si>
  <si>
    <t>深南住建行罚决〔2025〕2号</t>
  </si>
  <si>
    <t>董继峰、高健（罗元）</t>
  </si>
  <si>
    <t>20243000246</t>
  </si>
  <si>
    <t>总监理工程师发现工程建设中存在施工安全隐患未采取措施制止</t>
  </si>
  <si>
    <t>杨林</t>
  </si>
  <si>
    <t>429006198401017972</t>
  </si>
  <si>
    <t>经调查，建瓴路（同双路-中山园路）市政工程项目的监理单位是深圳市西伦土木结构有限公司，当事人作为建瓴路（同双路-中山园路）市政工程项目监理机构总监理工程师，在履行职责时发现工程建设中存在施工安全隐患，未采取措施制止。上述行为违反了《深圳经济特区建设工程监理条例》第三十七条的规定。</t>
  </si>
  <si>
    <t>深南住建行罚立〔2024〕113号</t>
  </si>
  <si>
    <t>深南住建行罚决〔2025〕3号</t>
  </si>
  <si>
    <t>20243000270</t>
  </si>
  <si>
    <t>T102-0463宗地（暂定名）项目-桩基础、基坑支护及土石方</t>
  </si>
  <si>
    <t>湖北宝亿建设工程有限公司</t>
  </si>
  <si>
    <t>91420105MA4K2NP56R</t>
  </si>
  <si>
    <t>徐赛军</t>
  </si>
  <si>
    <t>42213019790414031X</t>
  </si>
  <si>
    <t>经调查，湖北宝亿建设工程有限公司系T102-0463宗地（暂定名）项目-桩基础、基坑支护及土石方工程中桩基工程的施工单位，该单位存在在施工工地未按照要求采取覆盖、洒水抑尘等有效防尘措施的违法行为。上述行为违反《广东省环境保护条例》第四十条第二款的规定。</t>
  </si>
  <si>
    <t>深南住建行罚立〔2024〕119号</t>
  </si>
  <si>
    <t>深南住建行罚决〔2025〕10号</t>
  </si>
  <si>
    <t>董继峰、韩海亮（罗元）</t>
  </si>
  <si>
    <t>20243000280</t>
  </si>
  <si>
    <t>施工单位未采取措施消除安全隐患</t>
  </si>
  <si>
    <t>白石洲天悦花园施工总承包工程</t>
  </si>
  <si>
    <t>深圳市汇诚幕墙科技有限公司</t>
  </si>
  <si>
    <t>9144030058792499XW</t>
  </si>
  <si>
    <t>范小辉</t>
  </si>
  <si>
    <t>2024年12月17日，我站在对白石洲天悦花园施工总承包工程检查时发现，高空车防冲顶装置高度不足，部分吊篮平台无防护，移动式操作架搭设不规范，部分材料堆放过高未采取加固措施等问题。上述行为涉嫌违反《安全生产法》第41条“施工单位未采取措施消除事故隐患”的相关规定。我站拟依据《安全生产法》第一百零二条的规定，对施工单位上述违法行为予以行政处罚，拟处罚金额5万元。
2024 年 12 月 17 日，我局执法人员在对白石洲天悦花园施工总承包工程进行现场监督执法抽查时发现5栋3层裙楼上，一吊篮的限位器已失效，且施工单位未采取措施消除此隐患。经查，白石洲天悦花园施工总承包工程幕墙工程的施工单位为深圳市汇诚幕墙科技有限公司。幕墙工程施工单位深圳市汇诚幕墙科技有限公司存在未采取措施消除事故隐患的违法行为，涉嫌违反《中华人民共和国安全生产法》第四十一条第二款的规定。</t>
  </si>
  <si>
    <t>深南住建行罚立〔2024〕123号</t>
  </si>
  <si>
    <t>深南住建行罚决[2025]22号</t>
  </si>
  <si>
    <t xml:space="preserve"> 2025/03/17</t>
  </si>
  <si>
    <t xml:space="preserve"> 2025/03/14</t>
  </si>
  <si>
    <t>20243000284</t>
  </si>
  <si>
    <t>安全生产管理人员未履行职责，未检查本单位安全生产状况（安全员萧宇峰）</t>
  </si>
  <si>
    <t>逸湖四街（逸景二路-中心路）项目</t>
  </si>
  <si>
    <t>萧宇峰</t>
  </si>
  <si>
    <t>441900199002202793</t>
  </si>
  <si>
    <t>2024年12月17日，我站在对逸湖四街（逸景二路-中心路）项目检查时发现，挖机等机械作业半径未设警戒区域，现场围挡封闭不严，电线拖地，专职安全管理人员未按要求填写安全日志、未按要求佩戴使用检查记录仪等问题。上述行为涉嫌违反《安全生产法》第二十五条“专职安全管理人员未履行职责检查本单位的安全生产状况，”的相关规定。我站拟依据《安全生产法》第九十六条的规定，对专职安全员上述违法行为予以行政处罚，拟处罚金额1.5万元。
2024年12月17日，我局执法人员韩海亮（19020416008）、宗海根（19020416004）在监督执法抽查逸湖四街（逸景二路-中心路）项目时发现施工单位专职安全生产管理人员萧宇峰未履行职责，未检查本单位安全生产状况，也未填写施工安全日志。经查，该项目施工单位为深圳市信宇建筑工程有限公司，萧宇峰为该项目施工单位专职安全生产管理人员。萧宇峰的上述行为涉嫌违反《中华人民共和国安全生产法》第二十五条第（五）项的规定。</t>
  </si>
  <si>
    <t>深南住建行罚立〔2024〕93号</t>
  </si>
  <si>
    <t>深南住建行罚决[2025]17号</t>
  </si>
  <si>
    <t>20243000286</t>
  </si>
  <si>
    <t>广东领创模架科技有限公司未采取措施消除事故隐患案</t>
  </si>
  <si>
    <t>自贸时代中心二期总承包工程</t>
  </si>
  <si>
    <t>广东领创模架科技有限公司</t>
  </si>
  <si>
    <t>91440784MA529WC35N</t>
  </si>
  <si>
    <t>刘英武</t>
  </si>
  <si>
    <t>513233198605231918</t>
  </si>
  <si>
    <t>经调查，广东领创模架科技有限公司是自贸时代中心二期总承包工程中附着式升降脚手架分包工程的施工单位，本单位于2024年12月18日检查发现自贸时代中心二期总承包工程施工现场存在以下安全事故隐患：T2塔楼53层附着式升降脚手架附着支座防坠落装置失效，部分附着支承装置未采用2个附着螺栓与建筑结构连接，该单位未对上述事故隐患采取措施进行消除。该单位存在未采取措施消除事故隐患的违法行为，上述行为违反《中华人民共和国安全生产法》第四十一条第二款的规定。</t>
  </si>
  <si>
    <t>深南住建行罚立〔2024〕124号</t>
  </si>
  <si>
    <t>深南住建行罚决〔2025〕23号</t>
  </si>
  <si>
    <t>20253000007</t>
  </si>
  <si>
    <t>深圳市荣华达土石方工程有限公司未采取覆盖、分段作业、择时施工、洒水抑尘、冲洗路面和车辆等有效防尘措施案</t>
  </si>
  <si>
    <t>海岸学校项目地基基础工程</t>
  </si>
  <si>
    <t>深圳市荣华达土石方工程有限公司</t>
  </si>
  <si>
    <t>91440300664162598M</t>
  </si>
  <si>
    <t>黄国荣</t>
  </si>
  <si>
    <t>施工工地未设置硬质密闭围挡，或者未采取覆盖、分段作业、择时施工、洒水抑尘、冲洗路面和车辆等有效防尘措施的处罚</t>
  </si>
  <si>
    <t>2024年11月26日，我站在对海岸学校项目地基基础工程检查时发现现场局部区域裸土未覆盖、施工现场路面泥水堆积、未做人车分流措施，北侧大门出入口有泥水流入市政管道。上述行为涉嫌违反《广东省环境保护条例》第四十条第二款的规定。
拟依据《广东省环境保护条例》第七十四条第（一）项的规定对施工单位上述违法行为予以行政处罚，拟处罚金额5.5万元。</t>
  </si>
  <si>
    <t>深南住建行罚立〔2025〕3号</t>
  </si>
  <si>
    <t>深南住建行罚决[2025]26号</t>
  </si>
  <si>
    <t>刘百鑫、郝晓冬</t>
  </si>
  <si>
    <t>20253000010</t>
  </si>
  <si>
    <t>南山区招商街道南玻工业大厦城市更新单元（暂定名）土石方及基坑支护工程</t>
  </si>
  <si>
    <t>深圳市鑫瑞辉土石方工程有限公司</t>
  </si>
  <si>
    <t>914403003498665954</t>
  </si>
  <si>
    <t>温雨</t>
  </si>
  <si>
    <t>我局执法人员2024年12月25日监督执法抽查南山区招商街道南玻工业大厦城市更新单元（暂定名）土石方及基坑支护工程时，发现现场局部区域裸土未覆盖，施工单位未未采取覆盖、分段作业、择时施工、洒水抑尘、冲洗路面和车辆等有效防尘措施。经查，南山区招商街道南玻工业大厦城市更新单元（暂定名）土石方及基坑支护工程专业分包施工单位为深圳市鑫瑞辉土石方工程有限公司，施工单位的上述行为涉嫌违反《广东省环境保护条例》第四十条第二款的规定。
拟依据《广东省环境保护条例》第七十四条第（一）项的规定对施工单位上述违法行为予以行政处罚，拟处罚金额5.5万元。</t>
  </si>
  <si>
    <t>深南住建行罚立〔2025〕4号</t>
  </si>
  <si>
    <t>深南住建行罚决[2025]25号</t>
  </si>
  <si>
    <t>20253000011</t>
  </si>
  <si>
    <t>春晓科技大厦基坑支护及土石方工程（原名：2021年招拍挂T208-0056地块商业服务用地项目基坑支护及土石方工程）</t>
  </si>
  <si>
    <t>陈建祥</t>
  </si>
  <si>
    <t>511322198103043196</t>
  </si>
  <si>
    <t>2024年12月28日，我局执法人员在对春晓科技大厦基坑支护及土石方工程监督执法检查时发现，施工单位安全生产管理人员陈建祥未履行职责及时排查生产安全事故隐患。当事人的上述行为涉嫌违反《中华人民共和国安全生产法》第二十五条第一款第（五）项的规定。</t>
  </si>
  <si>
    <t>深南住建行罚立〔2025〕5号</t>
  </si>
  <si>
    <t>深南住建行罚决〔2025〕24号</t>
  </si>
  <si>
    <t>立案数</t>
  </si>
  <si>
    <t>已处罚量</t>
  </si>
  <si>
    <t>处理中案卷</t>
  </si>
  <si>
    <t>处罚金额
（表格标黄部分为预计处罚金额）</t>
  </si>
  <si>
    <t>已结案数</t>
  </si>
  <si>
    <t>未结案数</t>
  </si>
  <si>
    <t>23年结转案卷</t>
  </si>
  <si>
    <t>24年案卷</t>
  </si>
  <si>
    <t>经办监督组</t>
  </si>
  <si>
    <t>二组</t>
  </si>
  <si>
    <t>一组</t>
  </si>
  <si>
    <r>
      <rPr>
        <sz val="12"/>
        <rFont val="楷体_GB2312"/>
        <charset val="134"/>
      </rPr>
      <t>绿景白石洲</t>
    </r>
    <r>
      <rPr>
        <sz val="12"/>
        <rFont val="宋体"/>
        <charset val="134"/>
      </rPr>
      <t>璟</t>
    </r>
    <r>
      <rPr>
        <sz val="12"/>
        <rFont val="楷体_GB2312"/>
        <charset val="134"/>
      </rPr>
      <t>庭总承包工程</t>
    </r>
  </si>
  <si>
    <r>
      <rPr>
        <sz val="12"/>
        <rFont val="黑体"/>
        <charset val="134"/>
      </rPr>
      <t xml:space="preserve">省执法公示
</t>
    </r>
    <r>
      <rPr>
        <b/>
        <sz val="12"/>
        <color rgb="FFFF0000"/>
        <rFont val="黑体"/>
        <charset val="134"/>
      </rPr>
      <t>（7个工作日）</t>
    </r>
  </si>
  <si>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</si>
  <si>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</si>
  <si>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案卷</t>
  </si>
  <si>
    <t>光盘</t>
  </si>
  <si>
    <t>非税通知书号码/识别码</t>
  </si>
  <si>
    <t>移交法制科</t>
  </si>
  <si>
    <t>2023.12.5已取回</t>
  </si>
  <si>
    <t>处罚数</t>
  </si>
  <si>
    <t>处罚金额</t>
  </si>
  <si>
    <t>结案数</t>
  </si>
  <si>
    <t>22年结转案卷</t>
  </si>
  <si>
    <t>23年案卷</t>
  </si>
  <si>
    <t>违反条款、处罚依据</t>
  </si>
  <si>
    <t>付泽正</t>
  </si>
  <si>
    <t>施工单位安全生产管理人员未检查本单位的安全生产状况，未及时排查土方坍塌生产安全事故隐患（贺楚勇）</t>
  </si>
  <si>
    <t>蛇口医院内科综合大楼项目</t>
  </si>
  <si>
    <t>贺楚勇</t>
  </si>
  <si>
    <t>安全员</t>
  </si>
  <si>
    <t>430422198510098818</t>
  </si>
  <si>
    <t>张宗军</t>
  </si>
  <si>
    <t>342523197603010018</t>
  </si>
  <si>
    <t>未按照规定检查本单位的安全生产状况</t>
  </si>
  <si>
    <t>2025年3月13日，我局执法人员宗海根（19020416004）、李新（19020416063）在监督执法抽查蛇口医院内科综合大楼项目施工总承包工程时发现，施工单位安全生产管理人员（专职安全员）贺楚勇未检查本单位的安全生产状况，未及时排查土方坍塌生产安全事故隐患。当事人的上述行为，涉嫌违反《中华人民共和国安全生产法》第二十五条第一款第（五）项的规定。</t>
  </si>
  <si>
    <t>深南住建行罚立[2025]21号</t>
  </si>
  <si>
    <t>深南住建行罚决〔2025〕48号</t>
  </si>
  <si>
    <t>李新、宗海根（李新）</t>
  </si>
  <si>
    <t>施工单位安全生产管理人员未检查本单位的安全生产状况，未及时排查高处作业人员安全带未有效系挂的生产安全事故隐患（李强）</t>
  </si>
  <si>
    <t>望海玥家园项目</t>
  </si>
  <si>
    <t>李强</t>
  </si>
  <si>
    <t>522321199508134011</t>
  </si>
  <si>
    <t>2025年3月19日，我局执法人员李新（19020416063）、刘百鑫（19020416059）在监督执法抽查望海玥家园项目施工总承包主体工程时发现，施工单位安全生产管理人员（专职安全员）李强未检查本单位的安全生产状况，未及时排查高处作业人员安全带未有效系挂的生产安全事故隐患。当事人的上述行为，涉嫌违反《中华人民共和国安全生产法》第二十五条第一款第（五）项的规定。</t>
  </si>
  <si>
    <t>深南住建行罚立[2025]22号</t>
  </si>
  <si>
    <t>深南住建行罚决〔2025〕49号</t>
  </si>
  <si>
    <t>招商银行总部大厦幕墙工程北地块</t>
  </si>
  <si>
    <t>深圳市三鑫科技发展有限公司</t>
  </si>
  <si>
    <t>91440300672987530L</t>
  </si>
  <si>
    <t>刘宝</t>
  </si>
  <si>
    <t>2025年3月12日，我局执法人员付泽正（19020416002）、米兰（19020416067）在监督执法抽查招商银行总部大厦项目幕墙工程（北地块）时发现，该项目现场北区T1栋首层南侧大堂雨棚上设置的操作平台（危险性较大的操作平台工程）已搭设完成，未经过验收已进入下一道工序，施工单位未按照规定组织危大工程验收。经查，该项目的施工单位为深圳市三鑫科技发展有限公司。涉嫌违反《危险性较大的分部分项工程安全管理规定》第二十一条第一款的规定。</t>
  </si>
  <si>
    <t>深南住建行罚立[2025]14号</t>
  </si>
  <si>
    <t>深南住建行罚决〔2025〕56号</t>
  </si>
  <si>
    <t>付泽正、米兰（付泽正）</t>
  </si>
  <si>
    <t>方建鹏</t>
  </si>
  <si>
    <t>项目经理</t>
  </si>
  <si>
    <t>445224198110131859</t>
  </si>
  <si>
    <t>2025年3月12日，我局执法人员付泽正（19020416002）、米兰（19020416067）在监督执法抽查招商银行总部大厦项目幕墙工程（北地块）时发现，该项目现场北区T1栋首层南侧大堂雨棚上设置的操作平台（危险性较大的操作平台工程）已搭设完成，未经过验收已进入下一道工序，施工单位未按照规定组织危大工程验收。经查，该项目的施工单位为深圳市三鑫科技发展有限公司，当事人方建鹏是深圳市三鑫科技发展有限公司招商银行总部大厦项目幕墙工程（北地块）的项目经理。涉嫌违反《危险性较大的分部分项工程安全管理规定》第二十一条第一款的规定。</t>
  </si>
  <si>
    <t>深南住建行罚立[2025]15号</t>
  </si>
  <si>
    <t>深南住建行罚决〔2025〕57号</t>
  </si>
  <si>
    <t>陈清辉</t>
  </si>
  <si>
    <t>技术负责人</t>
  </si>
  <si>
    <t>441481198102246095</t>
  </si>
  <si>
    <t>2025年3月12日，我局执法人员付泽正（19020416002）、米兰（19020416067）在监督执法抽查招商银行总部大厦项目幕墙工程（北地块）时发现，该项目现场北区T1栋首层南侧大堂雨棚上设置的操作平台（危险性较大的操作平台工程）已搭设完成，未经过验收已进入下一道工序，施工单位未按照规定组织危大工程验收。经查，该项目的施工单位为深圳市三鑫科技发展有限公司，当事人陈清辉是深圳市三鑫科技发展有限公司招商银行总部大厦项目幕墙工程（北地块）的项目技术负责人。涉嫌违反《危险性较大的分部分项工程安全管理规定》第二十一条第一款的规定。</t>
  </si>
  <si>
    <t>深南住建行罚立[2025]16号</t>
  </si>
  <si>
    <t>深南住建行罚决〔2025〕58号</t>
  </si>
  <si>
    <t>招商银行总部大厦幕墙工程南地块</t>
  </si>
  <si>
    <t>浙江中南建设集团有限公司</t>
  </si>
  <si>
    <t>91330108143250197K</t>
  </si>
  <si>
    <t>吴建荣</t>
  </si>
  <si>
    <t>2025年3月12日，我局执法人员付泽正（19020416002）、米兰（19020416067）在对招商银行总部大厦项目幕墙工程（南地块）施工工地现场进行监督执法抽查时发现，现场存在以下隐患：1、T2栋北侧幕墙板块吊装区域警戒封闭范围不足；2、T2、T3栋吊篮作业区域下方，物体打击半径范围未设置警戒封闭措施；3、吊篮上限位器被损坏。现场存在上述隐患且施工单位未采取措施消除此隐患。经查，招商银行总部大厦项目幕墙工程（南地块）的施工单位为浙江中南建设集团有限公司。施工单位浙江中南建设集团有限公司存在未采取措施消除事故隐患的违法行为，涉嫌违反《中华人民共和国安全生产法》第四十一条第二款的规定。</t>
  </si>
  <si>
    <t>深南住建行罚立[2025]13号</t>
  </si>
  <si>
    <t>深南住建行罚决〔2025〕46号</t>
  </si>
  <si>
    <t>安全生产管理人员未履行职责及时排查生产安全事故隐患（项目经理）</t>
  </si>
  <si>
    <t>湾涛世纪公馆主体工程</t>
  </si>
  <si>
    <t>李伟（江苏省华建建设股份有限公司）</t>
  </si>
  <si>
    <t>321284198705016433</t>
  </si>
  <si>
    <t>2025 年 3月12日，我局执法人员董继峰（19020416001）、罗元（19020416058）在对湾涛世纪公馆主体工程监督执法检查时发现，施工单位安全生产管理人员李伟未履行职责及时排查生产安全事故隐患。当事人的上述行为，涉嫌违反《中华人民共和国安全生产法》第二十五条第一款第（五）项的规定。</t>
  </si>
  <si>
    <t>深南住建行罚立[2025]29号</t>
  </si>
  <si>
    <t>深南住建行罚决〔2025〕53号</t>
  </si>
  <si>
    <t>董继峰、罗元（罗元）</t>
  </si>
  <si>
    <t>安全生产管理人员未履行职责及时排查生产安全事故隐患（安全员）</t>
  </si>
  <si>
    <t>夏红贤（江苏省华建建设股份有限公司）</t>
  </si>
  <si>
    <t>安全主任</t>
  </si>
  <si>
    <t>321028197208271832</t>
  </si>
  <si>
    <r>
      <rPr>
        <sz val="12"/>
        <rFont val="宋体"/>
        <charset val="134"/>
      </rPr>
      <t>2025</t>
    </r>
    <r>
      <rPr>
        <sz val="12"/>
        <rFont val="DejaVu Sans"/>
        <charset val="134"/>
      </rPr>
      <t> </t>
    </r>
    <r>
      <rPr>
        <sz val="12"/>
        <rFont val="宋体"/>
        <charset val="134"/>
      </rPr>
      <t>年</t>
    </r>
    <r>
      <rPr>
        <sz val="12"/>
        <rFont val="DejaVu Sans"/>
        <charset val="134"/>
      </rPr>
      <t> </t>
    </r>
    <r>
      <rPr>
        <sz val="12"/>
        <rFont val="宋体"/>
        <charset val="134"/>
      </rPr>
      <t>3月12日，我局执法人员董继峰（19020416001）、罗元（19020416058）在对湾涛世纪公馆主体工程监督执法检查时发现，施工单位安全生产管理人员夏红贤未履行职责及时排查生产安全事故隐患。当事人的上述行为，涉嫌违反《中华人民共和国安全生产法》第二十五条第一款第（五）项的规定。</t>
    </r>
  </si>
  <si>
    <t>深南住建行罚立[2025]30号</t>
  </si>
  <si>
    <t>深南住建行罚决〔2025〕54号</t>
  </si>
  <si>
    <t>（俞小明）深圳华粤城市建设工程设计有限公司</t>
  </si>
  <si>
    <t>总监理工程师</t>
  </si>
  <si>
    <t>340211196808310016</t>
  </si>
  <si>
    <t>2025 年 3月12日，我局执法人员董继峰（19020416001）、罗元（19020416058）在对湾涛世纪公馆主体工程监督执法检查时发现，监理机构的总监理工程师俞小明在履行职责时发现工程建设中存在施工安全隐患，未采取措施制止。当事人的上述行为，涉嫌违反《深圳经济特区建设工程监理条例》第三十七条的规定。</t>
  </si>
  <si>
    <t>深南住建行罚立[2025]31号</t>
  </si>
  <si>
    <t>深南住建行罚决〔2025〕55号</t>
  </si>
  <si>
    <t>施工单位未采取措施消除事故隐患（大地幕墙）</t>
  </si>
  <si>
    <t>深圳湾文化广场（深圳创意设计馆和深圳科技生活管）项目幕墙Ⅱ标段</t>
  </si>
  <si>
    <t>深圳市大地幕墙科技有限公司</t>
  </si>
  <si>
    <t>91440300567089974L</t>
  </si>
  <si>
    <t>周杰</t>
  </si>
  <si>
    <r>
      <rPr>
        <sz val="12"/>
        <rFont val="宋体"/>
        <charset val="134"/>
      </rPr>
      <t>2025</t>
    </r>
    <r>
      <rPr>
        <sz val="12"/>
        <color rgb="FF333333"/>
        <rFont val="DejaVu Sans"/>
        <charset val="134"/>
      </rPr>
      <t> </t>
    </r>
    <r>
      <rPr>
        <sz val="12"/>
        <color rgb="FF333333"/>
        <rFont val="仿宋_GB2312"/>
        <charset val="134"/>
      </rPr>
      <t>年3月</t>
    </r>
    <r>
      <rPr>
        <sz val="12"/>
        <color rgb="FF333333"/>
        <rFont val="DejaVu Sans"/>
        <charset val="134"/>
      </rPr>
      <t> </t>
    </r>
    <r>
      <rPr>
        <sz val="12"/>
        <color rgb="FF333333"/>
        <rFont val="仿宋_GB2312"/>
        <charset val="134"/>
      </rPr>
      <t>19</t>
    </r>
    <r>
      <rPr>
        <sz val="12"/>
        <color rgb="FF333333"/>
        <rFont val="DejaVu Sans"/>
        <charset val="134"/>
      </rPr>
      <t> </t>
    </r>
    <r>
      <rPr>
        <sz val="12"/>
        <color rgb="FF333333"/>
        <rFont val="仿宋_GB2312"/>
        <charset val="134"/>
      </rPr>
      <t>日，我局执法人员在对深圳湾文化广场（深圳创意设计馆和深圳科技生活管）项目幕墙Ⅱ标段进行现场监督执法抽查时发现，该项目摄云石西北侧中庭焊接动火作业时未对作业现场可燃物进行清理，施工单位未采取措施消除此隐患。经查，深圳湾文化广场（深圳创意设计馆和深圳科技生活管）项目幕墙Ⅱ标段的施工单位为深圳市大地幕墙科技有限公司。深圳市大地幕墙科技有限公司存在未采取措施消除事故隐患的违法行为，涉嫌违反《中华人民共和国安全生产法》第四十一条第二款的规定。</t>
    </r>
  </si>
  <si>
    <t>深南住建行罚立[2025]23号</t>
  </si>
  <si>
    <t>深南住建行罚决〔2025〕44号</t>
  </si>
  <si>
    <t>韩海亮、米兰（韩海亮）</t>
  </si>
  <si>
    <t>施工单位在施工工地未采取有效防尘 措施</t>
  </si>
  <si>
    <t>深港智汇风华产业园（二期）土石方与基坑支护工程</t>
  </si>
  <si>
    <t>广州东宇王建筑工程有限公司</t>
  </si>
  <si>
    <t>91440113MA59DR2A3G</t>
  </si>
  <si>
    <t>孟凡东</t>
  </si>
  <si>
    <t>施工单位在施工工地未采取有效防尘 措施（东宇王）</t>
  </si>
  <si>
    <t>2025年3月26日，我局执法人员在深港智汇风华产业园（二期）土石方与基坑支护工程项目进行执法检查时，发现施工单位在该工地存在未按照要求采取覆盖、洒水抑尘等有效防尘措施的行为。经查，该项目的施工单位为广州东宇王建筑工程有限公司。施工单位的上述行为涉嫌违反了《广东省环境保护条例》第四十条第二款的规定。</t>
  </si>
  <si>
    <t>深南住建行罚立[2025]32号</t>
  </si>
  <si>
    <t>深南住建行罚决〔2025〕43号</t>
  </si>
  <si>
    <t>施工单位项目负责人未按照规定在施工现场履职（施工单位）</t>
  </si>
  <si>
    <t>云山海公馆（西区）施工总承包工程-1栋、3栋住宅（地上部分）幕墙专业工程</t>
  </si>
  <si>
    <t>深圳中航幕墙工程有限公司</t>
  </si>
  <si>
    <t>91440300192191314N</t>
  </si>
  <si>
    <t>王新锋</t>
  </si>
  <si>
    <t>2025年03月21日，我局执法人员李新（19020416063）、刘百鑫（19020416059）在监督执法抽查云山海公馆（西区）施工总承包工程-1栋、3栋住宅（地上部分）发现，该项目幕墙工程属于危险性较大的分部分项工程，幕墙工程现场施工时项目负责人未按照规定在施工现场履职。经查，该项目的幕墙专业分包工程的施工单位为深圳中航幕墙工程有限公司。上述行为涉嫌违反《危险性较大的分部分项工程安全管理规定》第十七条第一款的规定。</t>
  </si>
  <si>
    <t>深南住建行罚立[2025]33号</t>
  </si>
  <si>
    <t>深南住建行罚决〔2025〕62号</t>
  </si>
  <si>
    <t>李新、刘百鑫（刘百鑫）</t>
  </si>
  <si>
    <t>施工单位项目负责人未按照规定在施工现场履职（项目负责人）</t>
  </si>
  <si>
    <t>朱江</t>
  </si>
  <si>
    <t>项目负责人</t>
  </si>
  <si>
    <t>342622198705284873</t>
  </si>
  <si>
    <t>2025年03月21日，我局执法人员李新（19020416063）、刘百鑫（19020416059）在监督执法抽查云山海公馆（西区）施工总承包工程-1栋、3栋住宅（地上部分）发现，该项目幕墙工程属于危险性较大的分部分项工程，现场施工时幕墙工程项目负责人未按照规定在施工现场履职。经查，该项目的幕墙工程的施工单位为深圳中航幕墙工程有限公司，当事人朱江是云山海公馆（西区）施工总承包工程-1栋、3栋住宅（地上部分）幕墙工程的项目负责人。上述行为涉嫌违反《危险性较大的分部分项工程安全管理规定》第十七条第一款的规定。</t>
  </si>
  <si>
    <t>深南住建行罚立[2025]34号</t>
  </si>
  <si>
    <t>深南住建行罚决〔2025〕63号</t>
  </si>
  <si>
    <t>自贸时代中心项目</t>
  </si>
  <si>
    <t>广州江河幕墙系统工程有限公司</t>
  </si>
  <si>
    <t>914401836618473561</t>
  </si>
  <si>
    <t>2025年3月26日，我局执法人员宗海根（19020416004）、韩海亮（19020416008）在监督执法抽查自贸时代中心项目T3塔楼及裙楼幕墙工程时发现，该项目现场T1栋南侧裙楼上设置的操作平台（危险性较大的操作平台工程）已搭设完成，未经过验收已进入下一道工序，施工单位未按照规定组织危大工程验收。经查，该项目的施工单位为广州江河幕墙系统工程有限公司。施工单位涉嫌违反《危险性较大的分部分项工程安全管理规定》第二十一条第一款的规定。</t>
  </si>
  <si>
    <t>深南住建行罚立[2025]35号</t>
  </si>
  <si>
    <t>深南住建行罚决〔2025〕78号</t>
  </si>
  <si>
    <t>韩海亮、宗海根（徐彦卿）</t>
  </si>
  <si>
    <t>邓清华</t>
  </si>
  <si>
    <t>431121199012118751</t>
  </si>
  <si>
    <t>2025年3月26日，我局执法人员宗海根（19020416004）、韩海亮（19020416008）在监督执法抽查自贸时代中心项目T3塔楼及裙楼幕墙工程时发现，该项目现场T1栋南侧裙楼上设置的操作平台（危险性较大的操作平台工程）已搭设完成，未经过验收已进入下一道工序，施工单位未按照规定组织危大工程验收。经查，该项目的施工单位为广州江河幕墙系统工程有限公司，当事人邓清华是广州江河幕墙系统工程有限公司自贸时代中心项目T3塔楼及裙楼幕墙工程的项目经理。涉嫌违反《危险性较大的分部分项工程安全管理规定》第二十一条第一款的规定。</t>
  </si>
  <si>
    <t>深南住建行罚立[2025]36号</t>
  </si>
  <si>
    <t>深南住建行罚决〔2025〕79号</t>
  </si>
  <si>
    <t>梁李军</t>
  </si>
  <si>
    <t>441723198509092457</t>
  </si>
  <si>
    <t>2025年3月26日，我局执法人员宗海根（19020416004）、韩海亮（19020416008）在监督执法抽查自贸时代中心项目T3塔楼及裙楼幕墙工程时发现，该项目现场T1栋南侧裙楼上设置的操作平台（危险性较大的操作平台工程）已搭设完成，未经过验收已进入下一道工序，施工单位未按照规定组织危大工程验收。经查，该项目的施工单位为广州江河幕墙系统工程有限公司，当事人梁李军是广州江河幕墙系统工程有限公司自贸时代中心项目T3塔楼及裙楼幕墙工程的项目技术负责人。涉嫌违反《危险性较大的分部分项工程安全管理规定》第二十一条第一款的规定。</t>
  </si>
  <si>
    <t>深南住建行罚立[2025]37号</t>
  </si>
  <si>
    <t>深南住建行罚决〔2025〕80号</t>
  </si>
  <si>
    <t>琅玥湾佳园主体工程</t>
  </si>
  <si>
    <t>91440300192184157N</t>
  </si>
  <si>
    <t>2025年03月25日我局执法人员李新（19020416063）、刘百鑫（19020416059）监督执法抽查赤湾琅玥湾佳园主体工程项目时，发现现场施工吊篮下方未设置警示隔离区等防止物体打击措施，施工单位未采取措施消除事故隐患。经查，赤湾琅玥湾佳园主体工程项目幕墙专业分包工程的施工单位为深圳市华辉装饰工程有限公司，施工单位深圳市华辉装饰工程有限公司的上述行为涉嫌违反《中华人民共和国安全生产法》第四十一条第二款的规定。</t>
  </si>
  <si>
    <t>深南住建行罚立[2025]38号</t>
  </si>
  <si>
    <t>深南住建行罚决〔2025〕47号</t>
  </si>
  <si>
    <t>施工单位安全生产管理人员未按照规定检查本单位的安全生产状况（黄从彬）</t>
  </si>
  <si>
    <t>山海雅居主体工程</t>
  </si>
  <si>
    <t>黄从彬</t>
  </si>
  <si>
    <t>511121197303274819</t>
  </si>
  <si>
    <t>2025年3月21日，我局执法人员李新（19020416063）、刘百鑫（19020416059）在监督执法抽查山海雅居主体工程发现，劳务分包施工单位四川汇通建筑劳务有限公司安全生产管理人员（专职安全员）黄从彬未检查本单位的安全生产状况。当事人的上述行为，涉嫌违反《中华人民共和国安全生产法》第二十五条第一款第（五）项的规定。</t>
  </si>
  <si>
    <t>深南住建行罚立[2025]39号</t>
  </si>
  <si>
    <t>深南住建行罚决〔2025〕87号</t>
  </si>
  <si>
    <t>施工单位安全生产管理人员未按照规定检查本单位的安全生产状况（张龙）</t>
  </si>
  <si>
    <t>张龙</t>
  </si>
  <si>
    <t>513901200005230417</t>
  </si>
  <si>
    <t>2025年3月21日，我局执法人员李新（19020416063）、刘百鑫（19020416059）在监督执法抽查山海雅居主体工程发现，施工单位安全生产管理人员（专职安全员）张龙未检查本单位的安全生产状况。当事人的上述行为，涉嫌违反《中华人民共和国安全生产法》第二十五条第一款第（五）项的规定。</t>
  </si>
  <si>
    <t>深南住建行罚立[2025]40号</t>
  </si>
  <si>
    <t>深南住建行罚决〔2025〕88号</t>
  </si>
  <si>
    <t>施工单位安全生产管理人员未按照规定检查本单位的安全生产状况（白振华）</t>
  </si>
  <si>
    <t>白振华</t>
  </si>
  <si>
    <t>411325198906146530</t>
  </si>
  <si>
    <t>2025年3月21日，我局执法人员李新（19020416063）、刘百鑫（19020416059）在监督执法抽查山海雅居主体工程发现，施工单位安全生产管理人员（专职安全员）白振华未检查本单位的安全生产状况。当事人的上述行为，涉嫌违反《中华人民共和国安全生产法》第二十五条第一款第（五）项的规定。</t>
  </si>
  <si>
    <t>深南住建行罚立[2025]41号</t>
  </si>
  <si>
    <t>深南住建行罚决〔2025〕89号</t>
  </si>
  <si>
    <t>华强方特大厦项目主体工程</t>
  </si>
  <si>
    <t>朱向东</t>
  </si>
  <si>
    <t>320321196810044233</t>
  </si>
  <si>
    <t>2025年3月26日，我局执法人员韩海亮（19020416008）、宗海根（19020416004）在监督执法抽查华强方特大厦项目主体工程时发现存在以下安全隐患：南侧一吊篮的限位装置已失效。监理单位总监理工程师对工程建设中存在质量或者施工安全隐患以及违法行为的，未采取措施制止。经查，该项目监理单位为深圳市长城工程项目管理有限公司，朱向东为该项目监理单位总监理工程师。总监理工程师朱向东的上述行为涉嫌违反《深圳经济特区建设工程监理条例》第三十七条的规定。</t>
  </si>
  <si>
    <t>深南住建行罚立[2025]42号</t>
  </si>
  <si>
    <t>深南住建行罚决〔2025〕77号</t>
  </si>
  <si>
    <t>施工单位未采取措施消除事故隐患（中深装）</t>
  </si>
  <si>
    <t>中建深圳装饰有限公司</t>
  </si>
  <si>
    <t>914403001922011803</t>
  </si>
  <si>
    <t>2025年3月26日，我局执法人员韩海亮（19020416008）、宗海根（19020416004）在对华强方特大厦项目主体工程进行现场监督执法抽查时发现存在以下安全隐患：南侧一吊篮的限位装置已失效，施工单位存在未采取措施消除该事故隐患的行为。经查，华强方特大厦项目主体工程幕墙工程的施工单位为中建深圳装饰有限公司，中建深圳装饰有限公司存在未采取措施消除事故隐患的违法行为，涉嫌违反《中华人民共和国安全生产法》第四十一条第二款的规定。</t>
  </si>
  <si>
    <t>深南住建行罚立[2025]43号</t>
  </si>
  <si>
    <t>深南住建行罚决〔2025〕74号</t>
  </si>
  <si>
    <t>熊为为</t>
  </si>
  <si>
    <t>42098319910206921X</t>
  </si>
  <si>
    <t>2025年3月26日，我局执法人员宗海根（19020416024）、韩海亮（19020416008）在监督执法抽查华强方特大厦项目主体工程时发现发现施工单位项目经理熊为为未检查本项目安全生产状况。经查，该项目施工单位为中建深圳装饰有限公司，熊为为是该项目施工单位的安全生产管理人员（项目经理）。施工单位项目经理熊为为的上述行为涉嫌违反《中华人民共和国安全生产法》第二十五条第一款第（五）项的规定。</t>
  </si>
  <si>
    <t>深南住建行罚立[2025]44号</t>
  </si>
  <si>
    <t>深南住建行罚决〔2025〕75号</t>
  </si>
  <si>
    <t>吴文谦</t>
  </si>
  <si>
    <t>460103199608291258</t>
  </si>
  <si>
    <t>2025年3月26日，我局执法人员韩海亮（19020416008）、宗海根（19020416004）在监督执法抽查华强方特大厦项目主体工程时发现,该项目施工单位专职安全生产管理人员未填写施工安全日志，存在未履行职责检查本单位安全生产状况的行为。经查，该项目的施工单位为中国建筑一局（集团）有限公司，吴文谦为该项目施工单位专职安全生产管理人员。吴文谦的上述行为涉嫌违反《中华人民共和国安全生产法》第二十五条第一款第（五）项的规定。</t>
  </si>
  <si>
    <t>深南住建行罚立[2025]45号</t>
  </si>
  <si>
    <t>深南住建行罚决〔2025〕76号</t>
  </si>
  <si>
    <t>安全生产管理人员未履行职责及时排查生产安全事故隐患（李亚帆）</t>
  </si>
  <si>
    <t>云海湾花园施工总承包工程</t>
  </si>
  <si>
    <t>李亚帆</t>
  </si>
  <si>
    <t>410823199608088617</t>
  </si>
  <si>
    <t>2025年3月27日，我局执法人员高广君（19020416009）、朱泽汇（19020416062）在对云海湾花园施工总承包工程监督执法检查时发现，施工单位安全生产管理人员李亚帆未履行职责及时排查生产安全事故隐患。当事人的上述行为，涉嫌违反《中华人民共和国安全生产法》第二十五条第一款第（五）项的规定。</t>
  </si>
  <si>
    <t>深南住建行罚立[2025]46号</t>
  </si>
  <si>
    <t>深南住建行罚决〔2025〕105号</t>
  </si>
  <si>
    <t>高广君、朱泽汇（朱泽汇）</t>
  </si>
  <si>
    <t>安全生产管理人员未履行职责及时排查生产安全事故隐患（孙敏）</t>
  </si>
  <si>
    <t>孙敏</t>
  </si>
  <si>
    <t>220582199708061110</t>
  </si>
  <si>
    <t>2025年3月27日，我局执法人员高广君（19020416009）、朱泽汇（19020416062）在对云海湾花园施工总承包工程监督执法检查时发现，施工单位安全生产管理人员孙敏未履行职责及时排查生产安全事故隐患。当事人的上述行为，涉嫌违反《中华人民共和国安全生产法》第二十五条第一款第（五）项的规定。</t>
  </si>
  <si>
    <t>深南住建行罚立[2025]48号</t>
  </si>
  <si>
    <t>深南住建行罚决〔2025〕106号</t>
  </si>
  <si>
    <t>安全生产管理人员未履行职责及时排查生产安全事故隐患（黄立鑫）</t>
  </si>
  <si>
    <t>云海湾花园项目园林景观工程</t>
  </si>
  <si>
    <t>黄立鑫</t>
  </si>
  <si>
    <t>440582199606106657</t>
  </si>
  <si>
    <t>2025年3月27日，我局执法人员高广君（19020416009）、朱泽汇（19020416062）在对云海湾花园项目园林景观工程监督执法检查时发现，施工单位安全生产管理人员黄立鑫未履行职责及时排查生产安全事故隐患。当事人的上述行为，涉嫌违反《中华人民共和国安全生产法》第二十五条第一款第（五）项的规定。</t>
  </si>
  <si>
    <t>深南住建行罚立[2025]49号</t>
  </si>
  <si>
    <t>深南住建行罚决〔2025〕107号</t>
  </si>
  <si>
    <t>安全生产管理人员未履行职责及时排查生产安全事故隐患（周凤惜）</t>
  </si>
  <si>
    <t>周凤惜</t>
  </si>
  <si>
    <t>422130197211103225</t>
  </si>
  <si>
    <t>2025年3月27日，我局执法人员高广君（19020416009）、朱泽汇（19020416062）在对云海湾花园项目园林景观工程监督执法检查时发现，施工单位安全生产管理人员周凤惜未履行职责及时排查生产安全事故隐患。当事人的上述行为，涉嫌违反《中华人民共和国安全生产法》第二十五条第一款第（五）项的规定。</t>
  </si>
  <si>
    <t>深南住建行罚立[2025]50号</t>
  </si>
  <si>
    <t>深南住建行罚决〔2025〕108号</t>
  </si>
  <si>
    <t>安全生产管理人员未履行职责及时排查生产安全事故隐患（王磊）</t>
  </si>
  <si>
    <t>柏悦湾商务中心主体工程</t>
  </si>
  <si>
    <t>王磊</t>
  </si>
  <si>
    <t>321088199204015773</t>
  </si>
  <si>
    <r>
      <rPr>
        <sz val="12"/>
        <rFont val="宋体"/>
        <charset val="134"/>
      </rPr>
      <t>2025</t>
    </r>
    <r>
      <rPr>
        <sz val="12"/>
        <rFont val="DejaVu Sans"/>
        <charset val="134"/>
      </rPr>
      <t> </t>
    </r>
    <r>
      <rPr>
        <sz val="12"/>
        <rFont val="宋体"/>
        <charset val="134"/>
      </rPr>
      <t>年</t>
    </r>
    <r>
      <rPr>
        <sz val="12"/>
        <rFont val="DejaVu Sans"/>
        <charset val="134"/>
      </rPr>
      <t> </t>
    </r>
    <r>
      <rPr>
        <sz val="12"/>
        <rFont val="宋体"/>
        <charset val="134"/>
      </rPr>
      <t>3月25日，我局执法人员董继峰（19020416001）、罗元（19020416058）在对柏悦湾商务中心主体工程监督执法检查时发现，施工现场1单元10层水平洞口存在未封闭防护的安全隐患，施工单位安全生产管理人员王磊未履行职责及时排查生产安全事故隐患。当事人的上述行为，涉嫌违反《中华人民共和国安全生产法》第二十五条第一款第（五）项的规定。</t>
    </r>
  </si>
  <si>
    <t>深南住建行罚立[2025]51号</t>
  </si>
  <si>
    <t>深南住建行罚决〔2025〕118号</t>
  </si>
  <si>
    <t>安全生产管理人员未履行职责及时排查生产安全事故隐患（徐选华）</t>
  </si>
  <si>
    <t>徐选华</t>
  </si>
  <si>
    <t>321088196712281855</t>
  </si>
  <si>
    <r>
      <rPr>
        <sz val="12"/>
        <rFont val="宋体"/>
        <charset val="134"/>
      </rPr>
      <t>2025</t>
    </r>
    <r>
      <rPr>
        <sz val="12"/>
        <rFont val="DejaVu Sans"/>
        <charset val="134"/>
      </rPr>
      <t> </t>
    </r>
    <r>
      <rPr>
        <sz val="12"/>
        <rFont val="宋体"/>
        <charset val="134"/>
      </rPr>
      <t>年</t>
    </r>
    <r>
      <rPr>
        <sz val="12"/>
        <rFont val="DejaVu Sans"/>
        <charset val="134"/>
      </rPr>
      <t> </t>
    </r>
    <r>
      <rPr>
        <sz val="12"/>
        <rFont val="宋体"/>
        <charset val="134"/>
      </rPr>
      <t>3月25日，我局执法人员董继峰（19020416001）、罗元（19020416058）在对柏悦湾商务中心主体工程监督执法检查时发现，1单元10层水平洞口存在未封闭防护的安全隐患，施工单位安全生产管理人员徐选华未履行职责及时排查生产安全事故隐患。当事人的上述行为，涉嫌违反《中华人民共和国安全生产法》第二十五条第一款第（五）项的规定。</t>
    </r>
  </si>
  <si>
    <t>深南住建行罚立[2025]52号</t>
  </si>
  <si>
    <t>深南住建行罚决〔2025〕119号</t>
  </si>
  <si>
    <t>柏悦湾商务中心主体工程幕墙专业分包工程</t>
  </si>
  <si>
    <t>中建不二幕墙装饰有限公司</t>
  </si>
  <si>
    <t>91430000616770791J</t>
  </si>
  <si>
    <t>施工单位未按照危险性较大的分部分项工程安全管理规定进行安全巡视</t>
  </si>
  <si>
    <t>2025年3月25日，我局执法人员董继峰（19020416001）、罗元（19020416058）在对柏悦湾商务中心主体工程监督执法检查时发现，3#楼吊篮装有2台独立的起升机构，存在未安装自动防倾斜装置的安全隐患，高处作业吊篮属于危险性较大的分部分项工程，该项目幕墙工程的施工单位未对危大工程施工实施专项巡视检查。经查，该项目幕墙工程的施工单位是中建不二幕墙装饰有限公司，当事人的上述行为，涉嫌违反《危险性较大的分部分项工程安全管理规定》第十七条第三款的规定。</t>
  </si>
  <si>
    <t>深南住建行罚立[2025]53号</t>
  </si>
  <si>
    <t>深南住建行罚决〔2025〕81号</t>
  </si>
  <si>
    <t>施工单位未按照规定对危大工程进行安全巡视（项目经理）</t>
  </si>
  <si>
    <t>梁洪溥</t>
  </si>
  <si>
    <t>450881199712185311</t>
  </si>
  <si>
    <t>2025年3月25日，我局执法人员董继峰（19020416001）、罗元（19020416058）在对柏悦湾商务中心主体工程监督执法检查时发现，施工现场3#楼吊篮装有2台独立的起升机构，存在未安装自动防倾斜装置的安全隐患，吊篮属于危险性较大的分部分项工程，该项目幕墙工程的施工单位未对危大工程施工实施专项巡视检查。经查，该项目幕墙工程的施工单位是中建不二幕墙装饰有限公司，梁洪溥系施工单位的项目经理。当事人的上述行为，涉嫌违反《危险性较大的分部分项工程安全管理规定》第十七条第三款的规定。</t>
  </si>
  <si>
    <t>深南住建行罚立[2025]54号</t>
  </si>
  <si>
    <t>深南住建行罚决〔2025〕82号</t>
  </si>
  <si>
    <t>施工单位未按照规定对危大工程进行安全巡视（安全主任）</t>
  </si>
  <si>
    <t>李欣</t>
  </si>
  <si>
    <t>130823199604141014</t>
  </si>
  <si>
    <t>2025年3月25日，我局执法人员董继峰（19020416001）、罗元（19020416058）在对柏悦湾商务中心主体工程监督执法检查时发现，施工现场3#楼吊篮装有2台独立的起升机构，存在未安装自动防倾斜装置的安全隐患，吊篮属于危险性较大的分部分项工程，该项目幕墙工程的施工单位未对危大工程施工实施专项巡视检查。经查，该项目幕墙工程的施工单位是中建不二幕墙装饰有限公司，李欣是施工单位的安全主任。当事人的上述行为，涉嫌违反《危险性较大的分部分项工程安全管理规定》第十七条第三款的规定。</t>
  </si>
  <si>
    <t>深南住建行罚立[2025]55号</t>
  </si>
  <si>
    <t>深南住建行罚决〔2025〕83号</t>
  </si>
  <si>
    <t>监理单位未对危大工程施工实施专项巡视检查</t>
  </si>
  <si>
    <t>深圳市中行建设工程顾问有限公司</t>
  </si>
  <si>
    <t>914403001922046212</t>
  </si>
  <si>
    <t>2025 年 3月25日，我局执法人员董继峰（19020416001）、罗元（19020416058）在对柏悦湾商务中心主体工程监督执法检查时发现，施工现场3#楼吊篮装有2台独立的起升机构，存在未安装自动防倾斜装置的安全隐患，高处作业吊篮属于危大工程，监理单位深圳市中行建设工程顾问有限公司未按规定对危大工程施工实施专项巡视检查。经查，该项目的监理单位为深圳市中行建设工程顾问有限公司，当事人的上述行为，涉嫌违反《危险性较大的分部分项工程安全管理规定》第十八条的规定。</t>
  </si>
  <si>
    <t>深南住建行罚立[2025]56号</t>
  </si>
  <si>
    <t>深南住建行罚决〔2025〕84号</t>
  </si>
  <si>
    <t>监理单位未对危大工程施工实施专项巡视检查（总监理工程师）</t>
  </si>
  <si>
    <t>张勇</t>
  </si>
  <si>
    <t>422422196612254317</t>
  </si>
  <si>
    <r>
      <rPr>
        <sz val="12"/>
        <rFont val="宋体"/>
        <charset val="134"/>
      </rPr>
      <t>2025</t>
    </r>
    <r>
      <rPr>
        <sz val="12"/>
        <rFont val="DejaVu Sans"/>
        <charset val="134"/>
      </rPr>
      <t> </t>
    </r>
    <r>
      <rPr>
        <sz val="12"/>
        <rFont val="宋体"/>
        <charset val="134"/>
      </rPr>
      <t>年</t>
    </r>
    <r>
      <rPr>
        <sz val="12"/>
        <rFont val="DejaVu Sans"/>
        <charset val="134"/>
      </rPr>
      <t> </t>
    </r>
    <r>
      <rPr>
        <sz val="12"/>
        <rFont val="宋体"/>
        <charset val="134"/>
      </rPr>
      <t>3月25日，我局执法人员董继峰（19020416001）、罗元（19020416058）在对柏悦湾商务中心主体工程监督执法检查时发现，施工现场3#楼吊篮装有2台独立的起升机构，存在未安装自动防倾斜装置的安全隐患，高处作业吊篮属于危大工程，监理单位深圳市中行建设工程顾问有限公司未按规定对危大工程施工实施专项巡视检查。经查，该项目的监理单位为深圳市中行建设工程顾问有限公司，总监理工程师为张勇。当事人的上述行为，涉嫌违反《危险性较大的分部分项工程安全管理规定》第十八条的规定。</t>
    </r>
  </si>
  <si>
    <t>深南住建行罚立[2025]57号</t>
  </si>
  <si>
    <t>深南住建行罚决〔2025〕85号</t>
  </si>
  <si>
    <t>施工单位未采取措施消除事故隐患 （中建不二幕墙）</t>
  </si>
  <si>
    <t>蛇口片区颐养康复医疗中心主体工程</t>
  </si>
  <si>
    <t>2025年03月25日我局执法人员李新（19020416063）、刘百鑫（19020416059）监督执法抽查蛇口片区颐养康复医疗中心主体工程时，发现现场工地东侧首层的汽车吊设置在园林施工作业的土方换填区，在未校核汽车吊的运行路线和作业位置承载能力的情况下强行冒险作业，存在重大事故隐患，施工单位未采取措施消除事故隐患。经查，蛇口片区颐养康复医疗中心主体工程项目幕墙专业分包工程的施工单位为中建不二幕墙装饰有限公司，施工单位的上述行为涉嫌违反《中华人民共和国安全生产法》第四十一条第二款的规定。</t>
  </si>
  <si>
    <t>深南住建行罚立[2025]58号</t>
  </si>
  <si>
    <t>深南住建行罚决〔2025〕68号</t>
  </si>
  <si>
    <t>桂庙新村城市更新单元01-01地块施工总承包工程（含桩基础工程）-模板、模板支撑体系工程</t>
  </si>
  <si>
    <t>深圳市重江建筑劳务有限公司</t>
  </si>
  <si>
    <t>91440300319705117W</t>
  </si>
  <si>
    <t>2025年4月10日，我局执法人员韩海亮（19020416008）、钱一舟（19020416064），监督执法抽查南山区粤海街道桂庙新村城市更新单元01-01地块施工总承包工程（含桩基础工程）的模板、模板支撑体系工程时，发现施工单位存在未为从业人员提供符合国家标准或者行业标准的劳动防护用品（安全带）的行为。经查，南山区粤海街道桂庙新村城市更新单元01-01地块施工总承包工程（含桩基础工程）的模板、模板支撑体系工程的施工单位为深圳市重江建筑劳务有限公司。上述行为涉嫌违反《中华人民共和国安全生产法》第四十五条的规定。</t>
  </si>
  <si>
    <t>深南住建行罚立[2025]62号</t>
  </si>
  <si>
    <t>深南住建行罚决〔2025〕120号</t>
  </si>
  <si>
    <t>韩海亮、钱一舟（钱一舟）</t>
  </si>
  <si>
    <t>天虹商场配送中心地块城市更新单元规划土石方及基坑支护工程</t>
  </si>
  <si>
    <t>深圳市鼎健建设工程有限公司</t>
  </si>
  <si>
    <t>91440300MA5GG5K09H</t>
  </si>
  <si>
    <t>2025年4月11日，我局执法人员韩海亮（19020416008）、钱一舟（19020416064）在监督执法抽查南山区沙河街道天虹商场配送中心地块城市更新单元规划土石方及基坑支护工程时发现，该工程施工现场钢筋加工区一名正在进行焊接作业的工人庞强未经专门的安全作业培训并取得相应资格，上岗作业。经查，工人庞强与该项目劳务分包单位深圳市鼎健建设工程有限公司签订了简易劳动合同，当事人深圳市鼎健建设工程有限公司的上述行为涉嫌违反《中华人民共和国安全生产法》第三十条第一款的规定。</t>
  </si>
  <si>
    <t>深南住建行罚立[2025]63号</t>
  </si>
  <si>
    <t>深南住建行罚决〔2025〕94号</t>
  </si>
  <si>
    <t>施工单位未采取措施消除事故隐患 （广州龙海建设）</t>
  </si>
  <si>
    <t>云启源境家园主体工程</t>
  </si>
  <si>
    <t>广州龙海建设集团有限公司</t>
  </si>
  <si>
    <t>9144011367776132XH</t>
  </si>
  <si>
    <t xml:space="preserve"> 2025年4月7日，我局执法人员高广君（19020416009）、朱泽汇（19020416062）监督执法抽查云启源境家园主体工程项目时，发现施工现场存在以下安全隐患：1号楼落地式脚手架连墙件设置不规范，部分连墙件未与工程结构连接牢固。且经我局执法人员核实，2025年3月31日约15时，该项目施工现场工地大货车占道卸货，钢管的绳索突然断裂，导致钢管坠落，造成一名学生右侧臀部被砸伤的情况属实。施工单位未对上述事故隐患采取措施进行消除。经查，云启源境家园主体工程的施工单位为广州龙海建设集团有限公司，施工单位的上述行为涉嫌违反《中华人民共和国安全生产法》第四十一条第二款的规定。</t>
  </si>
  <si>
    <t>深南住建行罚立[2025]70号</t>
  </si>
  <si>
    <t>深南住建行罚决〔2025〕95号</t>
  </si>
  <si>
    <t>施工单位未按照规定组织危大工程验收（深圳市天磊建设）</t>
  </si>
  <si>
    <t>云启源境家园主体工程-幕墙分包工程</t>
  </si>
  <si>
    <t>深圳市天磊建设工程有限公司</t>
  </si>
  <si>
    <t>91440300360242716T</t>
  </si>
  <si>
    <t>2025年4月7日，我局执法人员高广君（19020416009）、朱泽汇（19020416062）在监督执法抽查云启源境家园幕墙分包工程时发现，现场1号楼展示区幕墙作业的操作平台已搭设完成，未经过验收已进入下一道工序，操作平台工程属于危险性较大的分部分项工程，施工单位未按照规定组织危大工程验收。经查，该项目的幕墙工程施工单位为深圳市天磊建设工程有限公司。深圳市天磊建设工程有限公司上述行为涉嫌违反《危险性较大的分部分项工程安全管理规定》第二十一条第一款的规定。</t>
  </si>
  <si>
    <t>深南住建行罚立[2025]71号</t>
  </si>
  <si>
    <t>深南住建行罚决〔2025〕96号</t>
  </si>
  <si>
    <t>张利</t>
  </si>
  <si>
    <t>430923198306153510</t>
  </si>
  <si>
    <t>2025年4月7日，我局执法人员高广君（19020416009）、朱泽汇（19020416062）在监督执法抽查云启源境家园（润亚奕拓）全期首开区幕墙工程时发现，现场1号楼展示区幕墙作业的操作平台已搭设完成，未经过验收已进入下一道工序，操作平台工程属于危险性较大的分部分项工程，施工单位未按照规定组织危大工程验收。经查，云启源境家园（润亚奕拓）全期首开区幕墙工程施工单位为深圳市天磊建设工程有限公司。当事人张利是云启源境家园（润亚奕拓）全期首开区幕墙工程施工单位的项目经理。当事人涉嫌违反《危险性较大的分部分项工程安全管理规定》第二十一条第一款的规定。</t>
  </si>
  <si>
    <t>深南住建行罚立[2025]72号</t>
  </si>
  <si>
    <t>深南住建行罚决〔2025〕97号</t>
  </si>
  <si>
    <t>曹小林</t>
  </si>
  <si>
    <t>43041119730126103X</t>
  </si>
  <si>
    <t>2025年4月7日，我局执法人员高广君（19020416009）、朱泽汇（19020416062）在监督执法抽查云启源境家园（润亚奕拓）全期首开区幕墙工程时发现，现场1号楼展示区幕墙作业的操作平台已搭设完成，未经过验收已进入下一道工序，操作平台工程属于危险性较大的分部分项工程，施工单位未按照规定组织危大工程验收。经查，该项目的幕墙工程施工单位为深圳市天磊建设工程有限公司。当事人曹小林是云启源境家园（润亚奕拓）全期首开区幕墙工程施工单位的项目技术负责人。当事人涉嫌违反《危险性较大的分部分项工程安全管理规定》第二十一条第一款的规定。</t>
  </si>
  <si>
    <t>深南住建行罚立[2025]73号</t>
  </si>
  <si>
    <t>深南住建行罚决〔2025〕98号</t>
  </si>
  <si>
    <t>施工单位项目负责人未按照规定在施工现场履职（四川郴筑）</t>
  </si>
  <si>
    <t>深圳湾超级总部基地片区市政交通基础设施项目1标（EPC总承包）项目钢栈桥安拆工程</t>
  </si>
  <si>
    <t>四川郴筑建筑工程有限公司</t>
  </si>
  <si>
    <t>91510700MA69RK673A</t>
  </si>
  <si>
    <t>2025 年4 月14 日，我局执法人员付泽正（执法证号19020416002）、米兰（执法证号19020416067）在日常执法检查过程中发现，深圳湾超级总部基地片区市政交通基础设施项目1标（EPC总承包）项目钢栈桥安拆工程进行钢栈桥安装作业时项目负责人未按照规定在施工现场履职，钢栈桥安拆工程属于危险性较大的分部分项工程。经查，四川郴筑建筑工程有限公司是该项目钢栈桥安拆工程的施工单位,上述行为涉嫌违反了《危险性较大的分部分项工程安全管理规定》第十七条第一款的规定。</t>
  </si>
  <si>
    <t>深南住建行罚立[2025]79号</t>
  </si>
  <si>
    <t>深南住建行罚决〔2025〕91号</t>
  </si>
  <si>
    <t>付泽正、米兰（刘丹龙）</t>
  </si>
  <si>
    <t>施工单位项目负责人未按照规定在施 工现场履职(雷旭忠)</t>
  </si>
  <si>
    <t>雷旭忠</t>
  </si>
  <si>
    <t>法定代表人</t>
  </si>
  <si>
    <t>432826197402091218</t>
  </si>
  <si>
    <t>2025 年4 月14 日，我局执法人员付泽正（执法证号19020416002）、米兰（执法证号19020416067）在日常执法检查过程中发现，深圳湾超级总部基地片区市政交通基础设施项目1标（EPC总承包）项目钢栈桥安拆工程进行钢栈桥安装作业时，项目负责人未按照规定在施工现场履职，钢栈桥安拆工程属于危险性较大的分部分项工程。经查，四川郴筑建筑工程有限公司是该项目钢栈桥安拆工程的施工单位，雷旭忠是四川郴筑建筑工程有限公司的法定代表人，系该项目的直接责任人员。上述行为涉嫌违反了《危险性较大的分部分项工程安全管理规定》第十七条第一款的规定。</t>
  </si>
  <si>
    <t>深南住建行罚立[2025]80号</t>
  </si>
  <si>
    <t>深南住建行罚决〔2025〕86号</t>
  </si>
  <si>
    <t>施工单位未按照危险性较大的分部分项工程安全管理规定进行安全巡视（江河幕墙）</t>
  </si>
  <si>
    <t>前海中集国际商务中心（T102-0342）一期工程</t>
  </si>
  <si>
    <t>2025年4月22日，我局执法人员付泽正（19020416002）、米兰（19020416067）在对前海中集国际商务中心（T102-0342）一期工程监督执法检查时发现，幕墙安装工程施工现场存在藤本楼幕墙安装部位首层曲臂车作业区域警戒封闭缺失、外立面未设置安全大绳等安全隐患。建筑幕墙安装工程属于危险性较大的分部分项工程，该项目建筑幕墙安装工程的施工单位未对危大工程进行安全巡视。经查，该项目建筑幕墙安装工程的施工单位是广州江河幕墙系统工程有限公司，当事人的上述行为，涉嫌违反《危险性较大的分部分项工程安全管理规定》第十七条第三款的规定。</t>
  </si>
  <si>
    <t>深南住建行罚立[2025]83号</t>
  </si>
  <si>
    <t>深南住建行罚决〔2025〕130号</t>
  </si>
  <si>
    <t>施工单位未按照危险性较大的分部分项工程安全管理规定进行安全巡视（项目经理）</t>
  </si>
  <si>
    <t>肖清桂</t>
  </si>
  <si>
    <t>360726199105236015</t>
  </si>
  <si>
    <t>2025年4月22日，我局执法人员付泽正（19020416002）、米兰（19020416067）在对前海中集国际商务中心（T102-0342）一期工程监督执法检查时发现，藤本楼幕墙安装工程施工现场存在首层曲臂车作业区域警戒封闭缺失、外立面未设置安全绳、走廊玻璃安装部位多处洞口水平兜网破损、走廊部位安全绳缺失等安全隐患。建筑幕墙安装工程属于危险性较大的分部分项工程，该项目建筑幕墙安装工程的施工单位未对危大工程进行安全巡视。经查，该项目建筑幕墙安装工程的施工单位是广州江河幕墙系统工程有限公司，肖清桂系施工单位的项目经理。当事人的上述行为，涉嫌违反《危险性较大的分部分项工程安全管理规定》第十七条第三款的规定。</t>
  </si>
  <si>
    <t>深南住建行罚立[2025]84号</t>
  </si>
  <si>
    <t>深南住建行罚决〔2025〕131号</t>
  </si>
  <si>
    <t>施工单位未按照危险性较大的分部分项工程安全管理规定进行安全巡视（安全员）</t>
  </si>
  <si>
    <t>宋哲</t>
  </si>
  <si>
    <t>61052419900204449X</t>
  </si>
  <si>
    <t>2025年4月22日，我局执法人员付泽正（19020416002）、米兰（19020416067）在对前海中集国际商务中心（T102-0342）一期工程监督执法检查时发现，幕墙安装工程施工现场存在藤本楼幕墙安装部位首层曲臂车作业区域警戒封闭缺失、外立面未设置安全大绳等安全隐患。建筑幕墙安装工程属于危险性较大的分部分项工程，该项目建筑幕墙安装工程的施工单位未对危大工程进行安全巡视。经查，建筑幕墙安装工程的施工单位是广州江河幕墙系统工程有限公司，宋哲是施工单位的专职安全员。当事人的上述行为，涉嫌违反《危险性较大的分部分项工程安全管理规定》第十七条第三款的规定。</t>
  </si>
  <si>
    <t>深南住建行罚立[2025]85号</t>
  </si>
  <si>
    <t>深南住建行罚决〔2025〕132号</t>
  </si>
  <si>
    <t>施工单位未按照危险性较大的分部分项工程安全管理规定进行安全巡视（速安科）</t>
  </si>
  <si>
    <t>金诚公寓施工总承包工程-内支撑拆除工程</t>
  </si>
  <si>
    <r>
      <rPr>
        <sz val="12"/>
        <rFont val="宋体"/>
        <charset val="134"/>
      </rPr>
      <t>202</t>
    </r>
    <r>
      <rPr>
        <sz val="12"/>
        <color rgb="FF333333"/>
        <rFont val="仿宋_GB2312"/>
        <charset val="134"/>
      </rPr>
      <t>5年4月21日，我局执法人员付泽正</t>
    </r>
    <r>
      <rPr>
        <sz val="12"/>
        <color rgb="FF333333"/>
        <rFont val="宋体"/>
        <charset val="134"/>
        <scheme val="minor"/>
      </rPr>
      <t>（19020416002）、米兰（19020416067）在对金诚公寓施工总承包工程监督执法检查时发现，内支撑拆除施工现场存在绳锯锯条缺少防护罩、北侧车道内撑板支撑架个别立杆弯曲、西侧板下有局部未设置回顶架、北侧南侧封板上未设置安全绳等安全隐患，内支撑拆除作业属于危险性较大的分部分项工程，该项目内支撑拆除工程的施工单位未对危大工程进行安全巡视。经查，该项目内支撑拆除工程的施工单位是</t>
    </r>
    <r>
      <rPr>
        <sz val="12"/>
        <rFont val="宋体"/>
        <charset val="134"/>
        <scheme val="minor"/>
      </rPr>
      <t>广东速安科建筑工程有限公司</t>
    </r>
    <r>
      <rPr>
        <sz val="12"/>
        <color rgb="FF333333"/>
        <rFont val="宋体"/>
        <charset val="134"/>
        <scheme val="minor"/>
      </rPr>
      <t>，当事人的上述行为，涉嫌违反《危险性较大的分部分项工程安全管理规定》第十七条第三款的规定。</t>
    </r>
  </si>
  <si>
    <t>深南住建行罚立[2025]86号</t>
  </si>
  <si>
    <t>深南住建行罚决〔2025〕92号</t>
  </si>
  <si>
    <t>胡攀</t>
  </si>
  <si>
    <t>420702199501197375</t>
  </si>
  <si>
    <t>2025年4月21日，我局执法人员付泽正（19020416002）、米兰（19020416067）在对金诚公寓施工总承包工程监督执法检查时发现，内支撑拆除施工现场存在绳锯锯条缺少防护罩、北侧车道内撑板支撑架个别立杆弯曲、西侧板下有局部未设置回顶架、北侧南侧封板上未设置安全绳等安全隐患，内支撑拆除作业属于危险性较大的分部分项工程，该项目内支撑拆除工程的施工单位未对危大工程进行安全巡视。经查，该项目内支撑拆除工程的施工单位是广东速安科建筑工程有限公司，胡攀系施工单位的项目经理。当事人的上述行为，涉嫌违反《危险性较大的分部分项工程安全管理规定》第十七条第三款的规定。</t>
  </si>
  <si>
    <t>深南住建行罚立[2025]87号</t>
  </si>
  <si>
    <t>深南住建行罚决〔2025〕93号</t>
  </si>
  <si>
    <t>丁建明</t>
  </si>
  <si>
    <t>362522198810224010</t>
  </si>
  <si>
    <t>2025年4月21日，我局执法人员付泽正（19020416002）、米兰（19020416067）在对金诚公寓施工总承包工程监督执法检查时发现，内支撑拆除施工现场存在绳锯锯条缺少防护罩、北侧车道内撑板支撑架个别立杆弯曲、西侧板下有局部未设置回顶架、北侧南侧封板上未设置安全绳等安全隐患，内支撑拆除作业属于危险性较大的分部分项工程，该项目内支撑拆除工程的施工单位未对危大工程进行安全巡视。经查，该项目内支撑拆除工程的施工单位是广东速安科建筑工程有限公司，丁建明是施工单位的专职安全员。当事人的上述行为，涉嫌违反《危险性较大的分部分项工程安全管理规定》第十七条第三款的规定。</t>
  </si>
  <si>
    <t>深南住建行罚立[2025]88号</t>
  </si>
  <si>
    <t>深南住建行罚决〔2025〕71号</t>
  </si>
  <si>
    <t>监理单位和监理从业人员未严格履行监理职责（中联建）</t>
  </si>
  <si>
    <t>深圳市中联建工程项目管理有限公司</t>
  </si>
  <si>
    <t>9144030079049661XQ</t>
  </si>
  <si>
    <t>根据《南山招商山海雅居主体工程“12·12”一般窒息事故调查报告》，你单位深圳市中联建工程项目管理有限公司作为山海雅居主体工程的监理单位，未严格履行安全监理工作职责，未建立有限空间管理台账，未对施工现场有限空间进行巡查，对事故发生负有监理责任。当事人的上述行为，涉嫌违反《深圳经济特区建设工程监理条例》第三十五条的规定。</t>
  </si>
  <si>
    <t>深南住建行罚立[2025]89号</t>
  </si>
  <si>
    <t>深南住建行罚决〔2025〕115号</t>
  </si>
  <si>
    <t>监理单位和监理从业人员未严格履行监理职责（监理工程师）</t>
  </si>
  <si>
    <t>杜江凌</t>
  </si>
  <si>
    <t>监理工程师</t>
  </si>
  <si>
    <t>320203197207200031</t>
  </si>
  <si>
    <t>根据《南山招商山海雅居主体工程“12·12”一般窒息事故调查报告》，山海雅居主体工程监理单位监理工程师杜江凌，未严格履行安全监理工作职责，未建立有限空间管理台账，未对施工现场有限空间进行巡查，对事故发生负有监理责任。当事人的上述行为，涉嫌违反《深圳经济特区建设工程监理条例》第三十五条的规定。</t>
  </si>
  <si>
    <t>深南住建行罚立[2025]90号</t>
  </si>
  <si>
    <t>深南住建行罚决〔2025〕116号</t>
  </si>
  <si>
    <t>施工单位未采取措施消除事故隐患（海邻机械）</t>
  </si>
  <si>
    <t>深圳湾派出所项目施工总承包工程塔吊租赁工程</t>
  </si>
  <si>
    <t>深圳市海邻机械设备有限公司</t>
  </si>
  <si>
    <t>塔吊租赁公司</t>
  </si>
  <si>
    <t>91440300733046233Q</t>
  </si>
  <si>
    <t>2025年4月21日，我局执法人员韩海亮（19020416008）、钱一舟（19020416064）在对深圳湾派出所项目施工总承包工程进行现场监督执法抽查时发现1#塔式起重机起升钢丝绳上出现多处可见断丝，达到《GB/T 5972-2023》的报废标准，存在发生断裂导致吊钩及吊物坠落的安全隐患。经查，深圳湾派出所项目施工总承包工程塔吊租赁工程的施工单位为深圳市海邻机械设备有限公司，深圳市海邻机械设备有限公司存在未采取措施消除事故隐患的行为，涉嫌违反《中华人民共和国安全生产法》第四十一条第二款的规定。</t>
  </si>
  <si>
    <t>深南住建行罚立[2025]92号</t>
  </si>
  <si>
    <t>深南住建行罚决〔2025〕121号</t>
  </si>
  <si>
    <t>施工单位安全生产管理人员未检查本单位的安全生产状况，未及时排查高处作业人员安全带未有效系挂的生产安全事故隐患（许汉军）</t>
  </si>
  <si>
    <t>云山海公馆（西区）施工总承包工程-2栋住宅项目</t>
  </si>
  <si>
    <t>许汉军</t>
  </si>
  <si>
    <t>430981196812131116</t>
  </si>
  <si>
    <t>2025年05月07日，我局执法人员李新（19020416063）、刘百鑫（19020416059）在监督执法抽查云山海公馆（西区）施工总承包工程-2栋住宅项目时发现现场2名吊篮作业工人，违规翻越吊篮栏杆，站在空调飘板上冒险作业，存在高坠安全事故隐患。施工单位安全生产管理人员（专职安全员）许汉军在2025年04月28日、04月29日、04月30日未填写施工安全日志，未对幕墙吊篮高处作业区域进行巡查。施工单位安全生产管理人员（专职安全员）许汉军未检查本单位的安全生产状况，未及时排查高处作业生产安全事故隐患。当事人的上述行为，涉嫌违反《中华人民共和国安全生产法》第二十五条第一款第（五）项的规定。</t>
  </si>
  <si>
    <t>深南住建行罚立[2025]97号</t>
  </si>
  <si>
    <t>深南住建行罚决〔2025〕133号</t>
  </si>
  <si>
    <t>施工单位项目负责人未按照规定在施工现场履职（神丰工程机械）</t>
  </si>
  <si>
    <t>创新联合大厦项目2号塔吊安装工程</t>
  </si>
  <si>
    <t>广东神丰工程机械有限公司</t>
  </si>
  <si>
    <t>塔吊安装公司</t>
  </si>
  <si>
    <t>914401117577599595</t>
  </si>
  <si>
    <t>2025年04月10日，我局执法人员董继峰（19020416001）、罗元（19020416058）在监督执法抽查创新联合大厦项目2号塔吊安装过程发现，该项目塔吊安装工程属于危险性较大的分部分项工程，塔吊安装工程现场施工时项目负责人未按照规定在施工现场履职。经查，该项目的塔吊安装专业分包工程的施工单位为广东神丰工程机械有限公司。上述行为涉嫌违反《危险性较大的分部分项工程安全管理规定》第十七条第一款的规定。</t>
  </si>
  <si>
    <t>(深南住建行罚立[2025]98号</t>
  </si>
  <si>
    <t>深南住建行罚决〔2025〕100号</t>
  </si>
  <si>
    <t>董继峰、罗元（陈创茂）</t>
  </si>
  <si>
    <t>宁顺建</t>
  </si>
  <si>
    <t>430525197403224911</t>
  </si>
  <si>
    <t>2025年04月10日，我局执法人员董继峰（19020416001）、罗元（19020416058）在监督执法抽查创新联合大厦项目2号塔吊安装过程发现，该项目塔吊安装工程属于危险性较大的分部分项工程，现场施工时塔吊安装工程项目负责人未按照规定在施工现场履职。经查，该项目的塔吊安装专业分包工程的施工单位为广东神丰工程机械有限公司，当事人宁顺建是创新联合大厦项目塔吊安装工程施工单位的项目负责人。上述行为涉嫌违反《危险性较大的分部分项工程安全管理规定》第十七条第一款的规定。</t>
  </si>
  <si>
    <t>(深南住建行罚立[2025]99号</t>
  </si>
  <si>
    <t>深南住建行罚决〔2025〕101号</t>
  </si>
  <si>
    <t>施工单位项目负责人未按照规定在施工现场履职（中鑫阳建工）</t>
  </si>
  <si>
    <t>南山垃圾发电厂提升改造工程-配套回馈设施工程钢结构安装工程</t>
  </si>
  <si>
    <t>中鑫阳建工（深圳）有限公司</t>
  </si>
  <si>
    <t>钢结构安装公司</t>
  </si>
  <si>
    <t>91440300MA5HFWHJ4A</t>
  </si>
  <si>
    <t>2025年04月28日，我局执法人员李新（19020416063）、刘百鑫（19020416059）在监督执法抽查南山垃圾发电厂提升改造工程-配套回馈设施工程时发现，该项目钢结构起重吊装作业正在施工，按照《住房城乡建设部办公厅关于实施&lt;危险性较大的分部分项工程安全管理规定&gt;有关问题的通知》附件1第七条第（二）项规定，钢结构安装工程属于危险性较大的分部分项工程，钢结构起重吊装作业现场施工时项目负责人李明阳未按照规定在施工现场履职。经查，该项目的钢结构分包施工单位为中鑫阳建工（深圳）有限公司。上述行为涉嫌违反《危险性较大的分部分项工程安全管理规定》第十七条第一款的规定。</t>
  </si>
  <si>
    <t>(深南住建行罚立[2025]100号</t>
  </si>
  <si>
    <t>深南住建行罚决〔2025〕134号</t>
  </si>
  <si>
    <t>李明阳</t>
  </si>
  <si>
    <t>41132419830501117</t>
  </si>
  <si>
    <t>2025年04月28日，我局执法人员李新（19020416063）、刘百鑫（19020416059）在监督执法抽查南山垃圾发电厂提升改造工程-配套回馈设施工程时发现，该项目钢结构起重吊装作业按照《住房城乡建设部办公厅关于实施&lt;危险性较大的分部分项工程安全管理规定&gt;有关问题的通知》附件1第七条第（二）项规定，属于危险性较大的分部分项工程，钢结构起重吊装作业现场施工时项目负责人李明阳未按照规定在施工现场履职。经查，该项目的钢结构分包施工单位为中鑫阳建工（深圳）有限公司。上述行为涉嫌违反《危险性较大的分部分项工程安全管理规定》第十七条第一款的规定。</t>
  </si>
  <si>
    <t>(深南住建行罚立[2025]101号</t>
  </si>
  <si>
    <t>深南住建行罚决〔2025〕135号</t>
  </si>
  <si>
    <t>施工单位安全生产管理人员未检查本单位的安全生产状况（董超）</t>
  </si>
  <si>
    <t>南山垃圾发电厂提升改造工程-配套回馈设施工程项目</t>
  </si>
  <si>
    <t>董超</t>
  </si>
  <si>
    <t>安全管理人员</t>
  </si>
  <si>
    <t>420802198704300011</t>
  </si>
  <si>
    <r>
      <rPr>
        <sz val="12"/>
        <rFont val="宋体"/>
        <charset val="134"/>
      </rPr>
      <t>2025年04月28日，我局执法人员李新（19020416063）、刘百鑫（19020416059）在监督执法抽查南山垃圾发电厂提升改造工程-配套回馈设施工程</t>
    </r>
    <r>
      <rPr>
        <sz val="12"/>
        <rFont val="宋体"/>
        <charset val="134"/>
        <scheme val="minor"/>
      </rPr>
      <t>项目时发现，施工单位安全生产管理人员董超未参加2025年4月份第一周、第二周、第三周、第四周周检，未检查本单位的安全生产状况。当事人的上述行为，涉嫌违反《中华人民共和国安全生产法》第二十五条第一款第（五）项的规定。</t>
    </r>
  </si>
  <si>
    <t>(深南住建行罚立[2025]102号</t>
  </si>
  <si>
    <t>深南住建行罚决〔2025〕128号</t>
  </si>
  <si>
    <t>施工单位安全生产管理人员未检查本单位的安全生产状况（杨小威 ）</t>
  </si>
  <si>
    <t>杨小威</t>
  </si>
  <si>
    <t>429006199012210079</t>
  </si>
  <si>
    <t>2025年04月28日，我局执法人员李新（19020416063）、刘百鑫（19020416059）在监督执法抽查南山垃圾发电厂提升改造工程-配套回馈设施工程项目时发现，施工单位安全生产管理人员（项目经理）杨小威未参加2025年4月份第一周、第二周、第三周、第四周周检，未检查本单位的安全生产状况，未及时排查生产安全事故隐患。当事人的上述行为，涉嫌违反《中华人民共和国安全生产法》第二十五条第一款第（五）项的规定。</t>
  </si>
  <si>
    <t>(深南住建行罚立[2025]103号</t>
  </si>
  <si>
    <t>深南住建行罚决〔2025〕129号</t>
  </si>
  <si>
    <t>特种作业人员未按照规定经专门的安 全作业培训并取得相应资格，上岗作业</t>
  </si>
  <si>
    <t>前湾十单元九年一贯制学校项目施工总承包工程</t>
  </si>
  <si>
    <t>深圳市中柱装饰工程有限公司</t>
  </si>
  <si>
    <t>外立面工程专业分包施工单位</t>
  </si>
  <si>
    <t>914403000663371673</t>
  </si>
  <si>
    <t>2025 年 5 月 6 日，我局执法人员在前湾十单元九年一贯制学校项目施工总承包工程进行执法检查时，发现该工程图书馆9区五层北侧外架上一名正在进行焊接作业的工人蓝川生未按照规定经专门的安全作业培训并取得相应资格，已进行上岗作业。根据《特种作业人员安全技术培训考核管理规定》附件《特种作业目录》中第2项焊接与热切割作业，焊接作业属于特种作业范围，特种作业人员必须按照国家有关规定经专门的安全作业培训，取得相应资格，方可上岗作业。经查，该工程外立面工程专业分包的施工单位为深圳市中柱装饰工程有限公司。施工单位的上述行为涉嫌违反《中华人民共和国安全生产法》第三十条第一款的规定。</t>
  </si>
  <si>
    <t>(深南住建行罚立[2025]104号</t>
  </si>
  <si>
    <t>深南住建行罚决〔2025〕137号</t>
  </si>
  <si>
    <t>深圳市众冠劳务有限公司</t>
  </si>
  <si>
    <t>脚手架搭设施工单位</t>
  </si>
  <si>
    <t>91440300MA5HP09Y3R</t>
  </si>
  <si>
    <r>
      <rPr>
        <sz val="12"/>
        <rFont val="宋体"/>
        <charset val="134"/>
      </rPr>
      <t>2025</t>
    </r>
    <r>
      <rPr>
        <sz val="12"/>
        <rFont val="DejaVu Sans"/>
        <charset val="134"/>
      </rPr>
      <t> </t>
    </r>
    <r>
      <rPr>
        <sz val="12"/>
        <rFont val="宋体"/>
        <charset val="134"/>
      </rPr>
      <t>年</t>
    </r>
    <r>
      <rPr>
        <sz val="12"/>
        <rFont val="DejaVu Sans"/>
        <charset val="134"/>
      </rPr>
      <t> </t>
    </r>
    <r>
      <rPr>
        <sz val="12"/>
        <rFont val="宋体"/>
        <charset val="134"/>
      </rPr>
      <t>4月22日，我局执法人员董继峰（19020416001）、罗元（19020416058）在对观山海家园项目剩余工程（土石方工程、基坑支护工程、桩基础工程、主体总承包工程）监督执法检查时发现，脚手架搭设施工单位深圳市众冠劳务有限公司存在未为从业人员提供符合国家标准或者行业标准的劳动防护用品（安全带）的行为。当事人的上述行为，涉嫌违反《中华人民共和国安全生产法》第四十五条的规定。</t>
    </r>
  </si>
  <si>
    <t>(深南住建行罚立[2025]107号</t>
  </si>
  <si>
    <t>深南住建行罚决〔2025〕140号</t>
  </si>
  <si>
    <t>安全生产管理人员未履行职责及时排查生产安全事故隐患（孙红伟）</t>
  </si>
  <si>
    <t>孙红伟</t>
  </si>
  <si>
    <t>410302197010271515</t>
  </si>
  <si>
    <r>
      <rPr>
        <sz val="12"/>
        <rFont val="宋体"/>
        <charset val="134"/>
      </rPr>
      <t>2025</t>
    </r>
    <r>
      <rPr>
        <sz val="12"/>
        <rFont val="DejaVu Sans"/>
        <charset val="134"/>
      </rPr>
      <t> </t>
    </r>
    <r>
      <rPr>
        <sz val="12"/>
        <rFont val="宋体"/>
        <charset val="134"/>
      </rPr>
      <t>年</t>
    </r>
    <r>
      <rPr>
        <sz val="12"/>
        <rFont val="DejaVu Sans"/>
        <charset val="134"/>
      </rPr>
      <t> </t>
    </r>
    <r>
      <rPr>
        <sz val="12"/>
        <rFont val="宋体"/>
        <charset val="134"/>
      </rPr>
      <t>4月22日，我局执法人员董继峰（19020416001）、罗元（19020416058）在对观山海家园项目剩余工程（土石方工程、基坑支护工程、桩基础工程、主体总承包工程）监督执法检查时发现，公交场站施工区现场有一名脚手架搭设工人在二层脚手架上进行高处作业时未佩戴安全带，存在高处坠落的安全隐患，施工单位安全生产管理人员孙红伟未履行职责及时排查生产安全事故隐患。当事人的上述行为，涉嫌违反《中华人民共和国安全生产法》第二十五条第一款第（五）项的规定。</t>
    </r>
  </si>
  <si>
    <t>(深南住建行罚立[2025]108号</t>
  </si>
  <si>
    <t>深南住建行罚决〔2025〕142号</t>
  </si>
  <si>
    <t>安全生产管理人员未履行职责及时排查生产安全事故隐患（陈礼军）</t>
  </si>
  <si>
    <t>陈礼军</t>
  </si>
  <si>
    <t>320981198912255216</t>
  </si>
  <si>
    <r>
      <rPr>
        <sz val="12"/>
        <rFont val="宋体"/>
        <charset val="134"/>
      </rPr>
      <t>2025</t>
    </r>
    <r>
      <rPr>
        <sz val="12"/>
        <rFont val="DejaVu Sans"/>
        <charset val="134"/>
      </rPr>
      <t> </t>
    </r>
    <r>
      <rPr>
        <sz val="12"/>
        <rFont val="宋体"/>
        <charset val="134"/>
      </rPr>
      <t>年</t>
    </r>
    <r>
      <rPr>
        <sz val="12"/>
        <rFont val="DejaVu Sans"/>
        <charset val="134"/>
      </rPr>
      <t> </t>
    </r>
    <r>
      <rPr>
        <sz val="12"/>
        <rFont val="宋体"/>
        <charset val="134"/>
      </rPr>
      <t>4月22日，我局执法人员董继峰（19020416001）、罗元（19020416058）在对观山海家园项目剩余工程（土石方工程、基坑支护工程、桩基础工程、主体总承包工程）监督执法检查时发现，公交场站施工区现场有一名脚手架搭设工人在二层脚手架上进行高处作业时未佩戴安全带，存在高处坠落的安全隐患，施工单位安全生产管理人员陈礼军未履行职责及时排查生产安全事故隐患。当事人的上述行为，涉嫌违反《中华人民共和国安全生产法》第二十五条第一款第（五）项的规定。</t>
    </r>
  </si>
  <si>
    <t>(深南住建行罚立[2025]109号</t>
  </si>
  <si>
    <t>深南住建行罚决〔2025〕141号</t>
  </si>
  <si>
    <t>安全生产管理人员未履行职责及时排查生产安全事故隐患（王华华）</t>
  </si>
  <si>
    <t>松坪山高新宿舍37栋装饰装修工程</t>
  </si>
  <si>
    <t>王华华</t>
  </si>
  <si>
    <t>522122199504100813</t>
  </si>
  <si>
    <t>2025年4月29日，我局执法人员董继峰（19020416001）、罗元（19020416058）在对松坪山高新宿舍37栋装饰装修工程监督执法检查时发现，北侧外脚手架拆除作业时存在作业区域下方未设置安全警戒线、警戒标志，存在上方脚手架材料坠落打击伤害人员的安全隐患，施工单位安全生产管理人员王华华未履行职责及时排查生产安全事故隐患。当事人的上述行为，涉嫌违反《中华人民共和国安全生产法》第二十五条第一款第（五）项的规定。</t>
  </si>
  <si>
    <t>(深南住建行罚立[2025]110号</t>
  </si>
  <si>
    <t>深南住建行罚决〔2025〕144号</t>
  </si>
  <si>
    <t>安全生产管理人员未履行职责及时排查生产安全事故隐患（吴家杰）</t>
  </si>
  <si>
    <t>松坪山高新宿舍38栋装饰装修工程</t>
  </si>
  <si>
    <t>吴家杰</t>
  </si>
  <si>
    <t>441781198511200211</t>
  </si>
  <si>
    <t>2025 年 4月29日，我局执法人员董继峰（19020416001）、罗元（19020416058）在对松坪山高新宿舍37栋装饰装修工程监督执法检查时发现，北侧外脚手架拆除作业时存在作业区域下方未设置安全警戒线、警戒标志，存在上方脚手架材料坠落打击伤害人员的安全隐患，施工单位项目经理（安全生产管理人员）吴家杰未履行职责及时排查生产安全事故隐患。当事人的上述行为，涉嫌违反《中华人民共和国安全生产法》第二十五条第一款第（五）项的规定。</t>
  </si>
  <si>
    <t>(深南住建行罚立[2025]111号</t>
  </si>
  <si>
    <t>深南住建行罚决〔2025〕143号</t>
  </si>
  <si>
    <t>施工单位未采取覆盖、分段作业、择时施工、洒水抑尘、冲洗路面和车辆等有效防尘措施</t>
  </si>
  <si>
    <t>天健赤湾K104-0049项目基坑支护及土石方工程</t>
  </si>
  <si>
    <t>深圳市天健建工有限公司</t>
  </si>
  <si>
    <t>91440300MA5GPJ9N44</t>
  </si>
  <si>
    <t>违反《广东省环境保护条例》第四十条第二款的规定，处罚依据：</t>
  </si>
  <si>
    <r>
      <rPr>
        <sz val="12"/>
        <color rgb="FF000000"/>
        <rFont val="宋体"/>
        <charset val="134"/>
      </rPr>
      <t>我局执法人员李新（19020</t>
    </r>
    <r>
      <rPr>
        <sz val="10"/>
        <color rgb="FF000000"/>
        <rFont val="宋体"/>
        <charset val="134"/>
      </rPr>
      <t>416063）</t>
    </r>
    <r>
      <rPr>
        <sz val="12"/>
        <color rgb="FF000000"/>
        <rFont val="仿宋_GB2312"/>
        <charset val="134"/>
      </rPr>
      <t>、刘百鑫（190204160</t>
    </r>
    <r>
      <rPr>
        <sz val="10"/>
        <color rgb="FF000000"/>
        <rFont val="宋体"/>
        <charset val="134"/>
      </rPr>
      <t>59</t>
    </r>
    <r>
      <rPr>
        <sz val="12"/>
        <color rgb="FF000000"/>
        <rFont val="仿宋_GB2312"/>
        <charset val="134"/>
      </rPr>
      <t>）</t>
    </r>
    <r>
      <rPr>
        <sz val="10"/>
        <color rgb="FF000000"/>
        <rFont val="宋体"/>
        <charset val="134"/>
      </rPr>
      <t>2025</t>
    </r>
    <r>
      <rPr>
        <sz val="12"/>
        <color rgb="FF000000"/>
        <rFont val="仿宋_GB2312"/>
        <charset val="134"/>
      </rPr>
      <t>年</t>
    </r>
    <r>
      <rPr>
        <sz val="10"/>
        <color rgb="FF000000"/>
        <rFont val="宋体"/>
        <charset val="134"/>
      </rPr>
      <t>05</t>
    </r>
    <r>
      <rPr>
        <sz val="12"/>
        <color rgb="FF000000"/>
        <rFont val="仿宋_GB2312"/>
        <charset val="134"/>
      </rPr>
      <t>月</t>
    </r>
    <r>
      <rPr>
        <sz val="10"/>
        <color rgb="FF000000"/>
        <rFont val="宋体"/>
        <charset val="134"/>
      </rPr>
      <t>21</t>
    </r>
    <r>
      <rPr>
        <sz val="12"/>
        <color rgb="FF000000"/>
        <rFont val="仿宋_GB2312"/>
        <charset val="134"/>
      </rPr>
      <t>日监督执法抽查天健赤湾K104-0049项目基坑支护及土石方工程时，发现现场局部区域裸土未覆盖，施工单位未采取覆盖、分段作业、择时施工、洒水抑尘、冲洗路面和车辆等有效防尘措施。经查，天健赤湾K104-0049项目基坑支护及土石方工程施工单位为深圳市天健建工有限公司，该单位的上述行为涉嫌违反《广东省环境保护条例》第四十条第二款的规定。</t>
    </r>
  </si>
  <si>
    <t>(深南住建行罚立[2025]112号</t>
  </si>
  <si>
    <t>深南住建行罚决〔2025〕153号</t>
  </si>
  <si>
    <t>施工单位安全生产管理人员未检查本单位的安全生产状况，未及时排查生产安全事故隐患（高鑫）</t>
  </si>
  <si>
    <t>高鑫</t>
  </si>
  <si>
    <t>522425198609178116</t>
  </si>
  <si>
    <r>
      <rPr>
        <sz val="12"/>
        <color rgb="FF000000"/>
        <rFont val="宋体"/>
        <charset val="134"/>
      </rPr>
      <t>2025年05月06日</t>
    </r>
    <r>
      <rPr>
        <sz val="12"/>
        <color rgb="FF000000"/>
        <rFont val="仿宋"/>
        <charset val="134"/>
      </rPr>
      <t>，我局执法人员李新（19020416063）、刘百鑫（19020416059）在监督执法抽查</t>
    </r>
    <r>
      <rPr>
        <sz val="12"/>
        <color rgb="FF000000"/>
        <rFont val="仿宋_GB2312"/>
        <charset val="134"/>
      </rPr>
      <t>天健赤湾K104-0049项目主体工程项目</t>
    </r>
    <r>
      <rPr>
        <sz val="12"/>
        <color rgb="FF000000"/>
        <rFont val="仿宋"/>
        <charset val="134"/>
      </rPr>
      <t>时发现，该项目安全生产管理人员（项目经理）高鑫未参加2025年04月份第一周、第二周、第三周和第四周周检，施工单位安全生产管理人员（项目经理）高鑫未检查本单位的安全生产状况，未及时排查生产安全事故隐患。当事人的上述行为，涉嫌违反《中华人民共和国安全生产法》第二十五条第一款第（五）项的规定。</t>
    </r>
  </si>
  <si>
    <t>(深南住建行罚立[2025]113号</t>
  </si>
  <si>
    <t>深南住建行罚决〔2025〕146号</t>
  </si>
  <si>
    <t>施工单位安全生产管理人员未检查本单位的安全生产状况，未及时排查生产安全事故隐患（谢军卫）</t>
  </si>
  <si>
    <t>谢军卫</t>
  </si>
  <si>
    <t>420881198912085913</t>
  </si>
  <si>
    <r>
      <rPr>
        <sz val="12"/>
        <color rgb="FF000000"/>
        <rFont val="宋体"/>
        <charset val="134"/>
      </rPr>
      <t>2025年05月06日</t>
    </r>
    <r>
      <rPr>
        <sz val="12"/>
        <color rgb="FF000000"/>
        <rFont val="仿宋"/>
        <charset val="134"/>
      </rPr>
      <t>，我局执法人员李新（19020416063）、刘百鑫（19020416059）在监督执法抽查</t>
    </r>
    <r>
      <rPr>
        <sz val="12"/>
        <color rgb="FF000000"/>
        <rFont val="仿宋_GB2312"/>
        <charset val="134"/>
      </rPr>
      <t>天健赤湾K104-0049项目主体工程</t>
    </r>
    <r>
      <rPr>
        <sz val="12"/>
        <color rgb="FF000000"/>
        <rFont val="仿宋"/>
        <charset val="134"/>
      </rPr>
      <t>时发现，施工单位安全生产管理人员（安全员）谢军卫未填写2025年04月28日、04月29日、04月30日施工安全日志，未检查本单位的安全生产状况，未及时排查生产安全事故隐患。当事人的上述行为，涉嫌违反《中华人民共和国安全生产法》第二十五条第一款第（五）项的规定。</t>
    </r>
  </si>
  <si>
    <t>(深南住建行罚立[2025]114号</t>
  </si>
  <si>
    <t>深南住建行罚决〔2025〕145号</t>
  </si>
  <si>
    <t>恒裕金融中心（二期）主体总承包工程</t>
  </si>
  <si>
    <t>江苏省江建集团有限公司</t>
  </si>
  <si>
    <t>91321012608797601X</t>
  </si>
  <si>
    <t>违反条款：《中华人民共和国安全生产法》第四十一条第二款。处罚依据：《中华人民共和国安全生产法》第一百零二条。</t>
  </si>
  <si>
    <r>
      <rPr>
        <sz val="10"/>
        <color rgb="FF000000"/>
        <rFont val="宋体"/>
        <charset val="134"/>
      </rPr>
      <t>2025年</t>
    </r>
    <r>
      <rPr>
        <sz val="12"/>
        <color rgb="FF000000"/>
        <rFont val="仿宋_GB2312"/>
        <charset val="134"/>
      </rPr>
      <t>5月13日，我局</t>
    </r>
    <r>
      <rPr>
        <sz val="10"/>
        <color rgb="FF000000"/>
        <rFont val="宋体"/>
        <charset val="134"/>
      </rPr>
      <t>执法人员在对</t>
    </r>
    <r>
      <rPr>
        <sz val="12"/>
        <color rgb="FF000000"/>
        <rFont val="仿宋_GB2312"/>
        <charset val="134"/>
      </rPr>
      <t>恒裕金融中心（二期）主体总承包工程进行</t>
    </r>
    <r>
      <rPr>
        <sz val="10"/>
        <color rgb="FF000000"/>
        <rFont val="宋体"/>
        <charset val="134"/>
      </rPr>
      <t>现场监督执法抽查</t>
    </r>
    <r>
      <rPr>
        <sz val="12"/>
        <color rgb="FF000000"/>
        <rFont val="仿宋_GB2312"/>
        <charset val="134"/>
      </rPr>
      <t>时发现，该项目41层一工人在进行焊接作业，过程中未使用接火斗或采取其他防火措施，也未配置灭火器，未对作业现场下方的模板可燃物采取不燃材料对其进行覆盖或隔离，存在引燃下方模板导致火灾的风险，施工单位存在未采取措施消除该事故隐患的行为</t>
    </r>
    <r>
      <rPr>
        <sz val="10"/>
        <color rgb="FF000000"/>
        <rFont val="宋体"/>
        <charset val="134"/>
      </rPr>
      <t>。经查，</t>
    </r>
    <r>
      <rPr>
        <sz val="12"/>
        <color rgb="FF000000"/>
        <rFont val="仿宋_GB2312"/>
        <charset val="134"/>
      </rPr>
      <t>恒裕金融中心（二期）主体总承包工程</t>
    </r>
    <r>
      <rPr>
        <sz val="10"/>
        <color rgb="FF000000"/>
        <rFont val="宋体"/>
        <charset val="134"/>
      </rPr>
      <t>的施工单位为</t>
    </r>
    <r>
      <rPr>
        <sz val="12"/>
        <color rgb="FF000000"/>
        <rFont val="仿宋_GB2312"/>
        <charset val="134"/>
      </rPr>
      <t>江苏省江建集团有限公司，江苏省江建集团有限公司存在</t>
    </r>
    <r>
      <rPr>
        <sz val="10"/>
        <color rgb="FF000000"/>
        <rFont val="宋体"/>
        <charset val="134"/>
      </rPr>
      <t>未采取措施消除事故隐患</t>
    </r>
    <r>
      <rPr>
        <sz val="12"/>
        <color rgb="FF000000"/>
        <rFont val="仿宋_GB2312"/>
        <charset val="134"/>
      </rPr>
      <t>的违法行为</t>
    </r>
    <r>
      <rPr>
        <sz val="10"/>
        <color rgb="FF000000"/>
        <rFont val="宋体"/>
        <charset val="134"/>
      </rPr>
      <t>，涉嫌违反《中华人民共和国安全生产法》第四十一条第二款的规定。</t>
    </r>
  </si>
  <si>
    <t>(深南住建行罚立[2025]115号</t>
  </si>
  <si>
    <t>深南住建行罚决〔2025〕158号</t>
  </si>
  <si>
    <t>72</t>
  </si>
  <si>
    <t>施工单位未在有较大危险因素的生产经营场所和有关设施、设备上，设置明显的安全警示标志</t>
  </si>
  <si>
    <t>四海名邸总承包工程项目</t>
  </si>
  <si>
    <t>四川广厦建筑工程有限公司</t>
  </si>
  <si>
    <t>91510683694820950B</t>
  </si>
  <si>
    <t>违反条款：《中华人民共和国安全生产法》第三十五条。处罚依据：《中华人民共和国安全生产法》第九十九条第一项。</t>
  </si>
  <si>
    <r>
      <rPr>
        <sz val="10"/>
        <color rgb="FF000000"/>
        <rFont val="宋体"/>
        <charset val="134"/>
      </rPr>
      <t>2025年05</t>
    </r>
    <r>
      <rPr>
        <sz val="12"/>
        <color rgb="FF000000"/>
        <rFont val="仿宋_GB2312"/>
        <charset val="134"/>
      </rPr>
      <t>月</t>
    </r>
    <r>
      <rPr>
        <sz val="10"/>
        <color rgb="FF000000"/>
        <rFont val="宋体"/>
        <charset val="134"/>
      </rPr>
      <t>06日，我局执法人员</t>
    </r>
    <r>
      <rPr>
        <sz val="12"/>
        <color rgb="FF000000"/>
        <rFont val="仿宋"/>
        <charset val="134"/>
      </rPr>
      <t>李新（19020416063）、刘百鑫（19020416059）</t>
    </r>
    <r>
      <rPr>
        <sz val="12"/>
        <color rgb="FF000000"/>
        <rFont val="仿宋_GB2312"/>
        <charset val="134"/>
      </rPr>
      <t>监督执法抽查四海名邸总承包工程项目时，发现现场栈桥板侧壁肥槽有限空间区域危险源未设置有限空间警示标志，根据《房屋市政工程生产安全重大事故隐患判定标准（2024版）》第十一条第一款“未辨识施工现场有限空间，且未在显著位置设置警示标志”的规定，属于重大事故隐患。施工单位未在有较大危险因素的生产经营场所，设置明显的安全警示标志。经查，四海名邸总承包工程项目施工总承包单位为四川广厦建筑工程有限公司，施工单位的上述行为涉嫌违反《中华人民共和国安全生产法》第三十五条的规定。</t>
    </r>
  </si>
  <si>
    <t>(深南住建行罚立[2025]116号</t>
  </si>
  <si>
    <t>深南住建行罚决〔2025〕151号</t>
  </si>
  <si>
    <t>73</t>
  </si>
  <si>
    <t>20253000223</t>
  </si>
  <si>
    <t>施工单位安全生产管理人员未检查本单位的安全生产状况</t>
  </si>
  <si>
    <t>丁涛</t>
  </si>
  <si>
    <t>320830197702210036</t>
  </si>
  <si>
    <t>违反条款：《中华人民共和国安全生产法》第二十五条第一款第（五）项。处罚依据：《中华人民共和国安全生产法》第九十六条。</t>
  </si>
  <si>
    <r>
      <rPr>
        <sz val="10"/>
        <color rgb="FF000000"/>
        <rFont val="宋体"/>
        <charset val="134"/>
      </rPr>
      <t>2025</t>
    </r>
    <r>
      <rPr>
        <sz val="12"/>
        <color rgb="FF000000"/>
        <rFont val="仿宋"/>
        <charset val="134"/>
      </rPr>
      <t>年</t>
    </r>
    <r>
      <rPr>
        <sz val="10"/>
        <color rgb="FF000000"/>
        <rFont val="宋体"/>
        <charset val="134"/>
      </rPr>
      <t>05</t>
    </r>
    <r>
      <rPr>
        <sz val="12"/>
        <color rgb="FF000000"/>
        <rFont val="仿宋"/>
        <charset val="134"/>
      </rPr>
      <t>月</t>
    </r>
    <r>
      <rPr>
        <sz val="10"/>
        <color rgb="FF000000"/>
        <rFont val="宋体"/>
        <charset val="134"/>
      </rPr>
      <t>06</t>
    </r>
    <r>
      <rPr>
        <sz val="12"/>
        <color rgb="FF000000"/>
        <rFont val="仿宋"/>
        <charset val="134"/>
      </rPr>
      <t>日，我局执法人员李新（19020416</t>
    </r>
    <r>
      <rPr>
        <sz val="10"/>
        <color rgb="FF000000"/>
        <rFont val="宋体"/>
        <charset val="134"/>
      </rPr>
      <t>063</t>
    </r>
    <r>
      <rPr>
        <sz val="12"/>
        <color rgb="FF000000"/>
        <rFont val="仿宋"/>
        <charset val="134"/>
      </rPr>
      <t>）、刘百鑫（190204160</t>
    </r>
    <r>
      <rPr>
        <sz val="10"/>
        <color rgb="FF000000"/>
        <rFont val="宋体"/>
        <charset val="134"/>
      </rPr>
      <t>59</t>
    </r>
    <r>
      <rPr>
        <sz val="12"/>
        <color rgb="FF000000"/>
        <rFont val="仿宋"/>
        <charset val="134"/>
      </rPr>
      <t>）在监督执法抽查</t>
    </r>
    <r>
      <rPr>
        <sz val="12"/>
        <color rgb="FF000000"/>
        <rFont val="仿宋_GB2312"/>
        <charset val="134"/>
      </rPr>
      <t>四海名邸总承包工程项目</t>
    </r>
    <r>
      <rPr>
        <sz val="12"/>
        <color rgb="FF000000"/>
        <rFont val="仿宋"/>
        <charset val="134"/>
      </rPr>
      <t>时发现，施工单位安全生产管理人员（项目经理）丁涛未参加2025年4月份第一周、第二周、第三周周检，未检查本单位的安全生产状况。当事人的上述行为，涉嫌违反《中华人民共和国安全生产法》第二十五条第一款第（五）项的规定。</t>
    </r>
  </si>
  <si>
    <t>(深南住建行罚立[2025]117号</t>
  </si>
  <si>
    <t>深南住建行罚决〔2025〕155号</t>
  </si>
  <si>
    <t>20253000224</t>
  </si>
  <si>
    <t>杨露</t>
  </si>
  <si>
    <t>510622198909237219</t>
  </si>
  <si>
    <r>
      <rPr>
        <sz val="10"/>
        <color rgb="FF000000"/>
        <rFont val="宋体"/>
        <charset val="134"/>
      </rPr>
      <t>2025</t>
    </r>
    <r>
      <rPr>
        <sz val="12"/>
        <color rgb="FF000000"/>
        <rFont val="仿宋"/>
        <charset val="134"/>
      </rPr>
      <t>年</t>
    </r>
    <r>
      <rPr>
        <sz val="10"/>
        <color rgb="FF000000"/>
        <rFont val="宋体"/>
        <charset val="134"/>
      </rPr>
      <t>05</t>
    </r>
    <r>
      <rPr>
        <sz val="12"/>
        <color rgb="FF000000"/>
        <rFont val="仿宋"/>
        <charset val="134"/>
      </rPr>
      <t>月</t>
    </r>
    <r>
      <rPr>
        <sz val="10"/>
        <color rgb="FF000000"/>
        <rFont val="宋体"/>
        <charset val="134"/>
      </rPr>
      <t>06</t>
    </r>
    <r>
      <rPr>
        <sz val="12"/>
        <color rgb="FF000000"/>
        <rFont val="仿宋"/>
        <charset val="134"/>
      </rPr>
      <t>日，我局执法人员李新（19020416</t>
    </r>
    <r>
      <rPr>
        <sz val="10"/>
        <color rgb="FF000000"/>
        <rFont val="宋体"/>
        <charset val="134"/>
      </rPr>
      <t>063</t>
    </r>
    <r>
      <rPr>
        <sz val="12"/>
        <color rgb="FF000000"/>
        <rFont val="仿宋"/>
        <charset val="134"/>
      </rPr>
      <t>）、刘百鑫（190204160</t>
    </r>
    <r>
      <rPr>
        <sz val="10"/>
        <color rgb="FF000000"/>
        <rFont val="宋体"/>
        <charset val="134"/>
      </rPr>
      <t>59</t>
    </r>
    <r>
      <rPr>
        <sz val="12"/>
        <color rgb="FF000000"/>
        <rFont val="仿宋"/>
        <charset val="134"/>
      </rPr>
      <t>）在监督执法抽查</t>
    </r>
    <r>
      <rPr>
        <sz val="12"/>
        <color rgb="FF000000"/>
        <rFont val="仿宋_GB2312"/>
        <charset val="134"/>
      </rPr>
      <t>四海名邸总承包工程项目</t>
    </r>
    <r>
      <rPr>
        <sz val="12"/>
        <color rgb="FF000000"/>
        <rFont val="仿宋"/>
        <charset val="134"/>
      </rPr>
      <t>时发现，施工单位安全生产管理人员（安全员）杨露2025年4月23日、4月24日、4月25日未填写施工安全日志，未检查本单位的安全生产状况。当事人的上述行为，涉嫌违反《中华人民共和国安全生产法》第二十五条第一款第（五）项的规定。</t>
    </r>
  </si>
  <si>
    <t>(深南住建行罚立[2025]118号</t>
  </si>
  <si>
    <t>深南住建行罚决〔2025〕156号</t>
  </si>
  <si>
    <t>20253000225</t>
  </si>
  <si>
    <t>深圳市广建装饰工程有限公司</t>
  </si>
  <si>
    <t>91440300349871896U</t>
  </si>
  <si>
    <t>违反条款：《危险性较大的分部分项工程安全管理规定》第十七条第一款。处罚依据：《危险性较大的分部分项工程安全管理规定》第三十五条第一项。</t>
  </si>
  <si>
    <r>
      <rPr>
        <sz val="10"/>
        <color rgb="FF000000"/>
        <rFont val="宋体"/>
        <charset val="134"/>
      </rPr>
      <t>2025</t>
    </r>
    <r>
      <rPr>
        <sz val="12"/>
        <color rgb="FF000000"/>
        <rFont val="仿宋"/>
        <charset val="134"/>
      </rPr>
      <t>年</t>
    </r>
    <r>
      <rPr>
        <sz val="10"/>
        <color rgb="FF000000"/>
        <rFont val="宋体"/>
        <charset val="134"/>
      </rPr>
      <t>05</t>
    </r>
    <r>
      <rPr>
        <sz val="12"/>
        <color rgb="FF000000"/>
        <rFont val="仿宋"/>
        <charset val="134"/>
      </rPr>
      <t>月</t>
    </r>
    <r>
      <rPr>
        <sz val="10"/>
        <color rgb="FF000000"/>
        <rFont val="宋体"/>
        <charset val="134"/>
      </rPr>
      <t>19</t>
    </r>
    <r>
      <rPr>
        <sz val="12"/>
        <color rgb="FF000000"/>
        <rFont val="仿宋"/>
        <charset val="134"/>
      </rPr>
      <t>日，我局执法人员李新（190204160</t>
    </r>
    <r>
      <rPr>
        <sz val="10"/>
        <color rgb="FF000000"/>
        <rFont val="宋体"/>
        <charset val="134"/>
      </rPr>
      <t>63</t>
    </r>
    <r>
      <rPr>
        <sz val="12"/>
        <color rgb="FF000000"/>
        <rFont val="仿宋"/>
        <charset val="134"/>
      </rPr>
      <t>）、刘百鑫（190204160</t>
    </r>
    <r>
      <rPr>
        <sz val="10"/>
        <color rgb="FF000000"/>
        <rFont val="宋体"/>
        <charset val="134"/>
      </rPr>
      <t>59</t>
    </r>
    <r>
      <rPr>
        <sz val="12"/>
        <color rgb="FF000000"/>
        <rFont val="仿宋"/>
        <charset val="134"/>
      </rPr>
      <t>）在监督执法抽查山海丹华府施工总承包工程发现，该项目幕墙工程吊篮正在高处施工作业，根据《住房城乡建设部办公厅关于实施&lt;危险性较大的分部分项工程安全管理规定&gt;有关问题的通知》附件1第七条第（一）项的规定，建筑幕墙安装工程属于危险性较大的分部分项工程，幕墙工程现场施工时项目负责人林望斌未按照规定在施工现场履职。经查，该项目的幕墙专业分包工程的施工单位为深圳市广建装饰工程有限公司。上述行为涉嫌违反《危险性较大的分部分项工程安全管理规定》第十七条第一款的规定。</t>
    </r>
  </si>
  <si>
    <t>深南住建行罚立[2025]122号</t>
  </si>
  <si>
    <t>深南住建行罚决〔2025〕152号</t>
  </si>
  <si>
    <t>林望斌</t>
  </si>
  <si>
    <t>440102197209204074</t>
  </si>
  <si>
    <t>(深南住建行罚立[2025]119号</t>
  </si>
  <si>
    <t>深南住建行罚决〔2025〕154号</t>
  </si>
  <si>
    <t>20253000233</t>
  </si>
  <si>
    <t>施工单位未采取措施消除事故隐患（汇诚幕墙）</t>
  </si>
  <si>
    <t>颐城瑧湾悦家园（T102-0338宗地）</t>
  </si>
  <si>
    <r>
      <rPr>
        <sz val="10"/>
        <color rgb="FF000000"/>
        <rFont val="宋体"/>
        <charset val="134"/>
      </rPr>
      <t>2025</t>
    </r>
    <r>
      <rPr>
        <sz val="12"/>
        <color rgb="FF000000"/>
        <rFont val="仿宋_GB2312"/>
        <charset val="134"/>
      </rPr>
      <t>年5月15日，我局执法人员宗海根（19020416004）、米兰（19020416067）在监督执法抽查颐城瑧湾悦家园（T102-0338宗地）幕墙工程时发现，现场存在以下隐患：施工现场3号楼裙楼首层操作平台未设置防护栏杆，，存在高处人员坠落以及坠物伤人的安全事故隐患，施工单位未采取措施消除事故隐患。经查，颐城瑧湾悦家园（T102-0338宗地）幕墙工程的施工单位为深圳市汇诚幕墙科技有限公司。施工单位深圳市汇诚幕墙科技有限公司存在未采取措施消除事故隐患的违法行为，涉嫌违反《中华人民共和国安全生产法》第四十一条第二款的规定。</t>
    </r>
  </si>
  <si>
    <t>(深南住建行罚立[2025]125号</t>
  </si>
  <si>
    <t>深南住建行罚决〔2025〕157号</t>
  </si>
  <si>
    <t>宗海根、米兰</t>
  </si>
  <si>
    <t>20253000237</t>
  </si>
  <si>
    <t>施工单位未采取措施消除事故隐患（河南升晨）</t>
  </si>
  <si>
    <t>红花岭工业南区更新单元（暂定名）-02-02地块施工总承包工程</t>
  </si>
  <si>
    <t>河南升晨安装⼯程有限公司</t>
  </si>
  <si>
    <t>91410105MA3X63214D</t>
  </si>
  <si>
    <t>2025年5月15日，我局执法人员宗海根（19020416004）、米兰（19020416067）在监督执法抽查桃源街道红花岭工业南区更新单元（暂定名）-02-02地块施工总承包工程时发现，现场存在以下隐患：1号施工升降机已安装97.5米，第三方检测报告（报告编号2025SZSCJ0254）中1号施工升降机导轨架垂直度偏差110mm，超过《建筑施工升降机安装、使用、拆卸安全技术规程》（JGJ215-2010）第4.2.8条规定要求的施工升降机安装垂直度偏差70mm，存在吊笼运行晃动、偏斜、坠落导致物体伤害人员的安全事故隐患。经查，桃源街道红花岭工业南区更新单元（暂定名）-02-02地块施工总承包工程的专业分包施工单位为河南升晨安装⼯程有限公司。施工单位河南升晨安装⼯程有限公司存在未采取措施消除事故隐患的违法行为，涉嫌违反《中华人民共和国安全生产法》第四十一条第二款的规定。</t>
  </si>
  <si>
    <t>(深南住建行罚立[2025]128号</t>
  </si>
  <si>
    <t>深南住建行罚决〔2025〕148号</t>
  </si>
  <si>
    <t>20253000238</t>
  </si>
  <si>
    <t>安全生产管理人员未履行职责，未检查本单位安全生产状况（张艺）</t>
  </si>
  <si>
    <t>深圳市蛇口育才教育集团育才中学桃源校区（桃花源学校（高中）项目施工总承包）</t>
  </si>
  <si>
    <t>张艺</t>
  </si>
  <si>
    <t>511025199708298033</t>
  </si>
  <si>
    <t>2025年5月22日，我局执法人员宗海根（19020416004）、米兰（19020416067）在监督执法抽查深圳市蛇口育才教育集团育才中学桃源校区（桃花源学校（高中）项目施工总承包）时发现，施工单位专职安全生产管理人员在2025年5月15日、5月16日、5月21日未按照要求对施工现场进行安全生产状况检查，未检查本项目安全生产状况。经查，该项目施工单位为中建二局第二建筑工程有限公司，张艺为该项目施工单位专职安全生产管理人员。专职安全生产管理人员张艺的上述行为涉嫌违反《中华人民共和国安全生产法》第二十五条第一款第（五）项的规定。</t>
  </si>
  <si>
    <t>(深南住建行罚立[2025]129号</t>
  </si>
  <si>
    <t>深南住建行罚决〔2025〕150号</t>
  </si>
  <si>
    <t>20253000239</t>
  </si>
  <si>
    <t>安全生产管理人员未履行职责，未检查本单位安全生产状况（廖述碑）</t>
  </si>
  <si>
    <t>红花岭工业南区更新单元施工总承包工程</t>
  </si>
  <si>
    <t>廖述碑</t>
  </si>
  <si>
    <t>432624197501295116</t>
  </si>
  <si>
    <t>2025年5月6日，我局执法人员宗海根（19020416004）、米兰（19020416067）在监督执法抽查桃源街道红花岭工业南区更新单元施工总承包工程时发现，施工单位专职安全生产管理人员在2025年4月23日、4月28日、4月29日未填写施工安全日志，未检查本项目安全生产状况。经查，该项目施工单位为深圳市建工集团股份有限公司，廖述碑为该项目施工单位专职安全生产管理人员。专职安全生产管理人员廖述碑的上述行为涉嫌违反《中华人民共和国安全生产法》第二十五条第一款第（五）项的规定。</t>
  </si>
  <si>
    <t>(深南住建行罚立[2025]130号</t>
  </si>
  <si>
    <t>深南住建行罚决〔2025〕147号</t>
  </si>
  <si>
    <t>施工单位未采用密闭式封尘网遮盖建筑土方、建筑垃圾、渣土和散装物料</t>
  </si>
  <si>
    <t>深铁熙府上盖A地块园林景观工程</t>
  </si>
  <si>
    <t>深圳中航腾辉建设有限公司</t>
  </si>
  <si>
    <t>91440300MA5EKNAF7L</t>
  </si>
  <si>
    <t>违反条款：《广东省环境保护条例》第四十条第二款。处罚依据：《中华人民共和国安全生产法》第九十六条。处罚依据：《广东省环境保护条例》第七十四条第一款第（一）项</t>
  </si>
  <si>
    <t>我局执法人员李新（19020416063）、刘百鑫（19020416059）2025年06月05日监督执法抽查深铁熙府上盖A地块园林景观工程时，发现施工工地现场局部区域裸土未覆盖，堆存的工程渣土、建筑土方等物料裸露，施工单位未采取密闭式防尘网遮盖裸露的工程渣土、建筑土方等物料。经查，深铁熙府上盖A地块园林景观工程土石方专业分包施工单位为深圳中航腾辉建设有限公司，该单位的上述行为涉嫌违反《广东省环境保护条例》第四十条第二款的规定。</t>
  </si>
  <si>
    <t>深南住建行罚立[2025]132号</t>
  </si>
  <si>
    <t>深南住建行罚决〔2025〕168号</t>
  </si>
  <si>
    <t>20253000250</t>
  </si>
  <si>
    <t>安全生产管理人员（项目经理）未履行职责及时排查生产安全事故隐患（李继祯）</t>
  </si>
  <si>
    <t>深圳博物馆(原国深博物馆)幕墙及泛光照明工程</t>
  </si>
  <si>
    <t>李继祯</t>
  </si>
  <si>
    <t>安全生产管理人员（项目经理）</t>
  </si>
  <si>
    <t>420983198810254438</t>
  </si>
  <si>
    <r>
      <rPr>
        <sz val="12"/>
        <color rgb="FF333333"/>
        <rFont val="仿宋_GB2312"/>
        <charset val="134"/>
      </rPr>
      <t>202</t>
    </r>
    <r>
      <rPr>
        <sz val="10"/>
        <color rgb="FF000000"/>
        <rFont val="宋体"/>
        <charset val="134"/>
      </rPr>
      <t>5年5月24日，</t>
    </r>
    <r>
      <rPr>
        <sz val="12"/>
        <color rgb="FF333333"/>
        <rFont val="仿宋_GB2312"/>
        <charset val="134"/>
      </rPr>
      <t>我局</t>
    </r>
    <r>
      <rPr>
        <sz val="10"/>
        <color rgb="FF000000"/>
        <rFont val="宋体"/>
        <charset val="134"/>
      </rPr>
      <t>执法人员</t>
    </r>
    <r>
      <rPr>
        <sz val="12"/>
        <color rgb="FF333333"/>
        <rFont val="仿宋_GB2312"/>
        <charset val="134"/>
      </rPr>
      <t>付泽正</t>
    </r>
    <r>
      <rPr>
        <sz val="10"/>
        <color rgb="FF000000"/>
        <rFont val="宋体"/>
        <charset val="134"/>
      </rPr>
      <t>（19020416002）、</t>
    </r>
    <r>
      <rPr>
        <sz val="12"/>
        <color rgb="FF333333"/>
        <rFont val="仿宋_GB2312"/>
        <charset val="134"/>
      </rPr>
      <t>米兰</t>
    </r>
    <r>
      <rPr>
        <sz val="10"/>
        <color rgb="FF000000"/>
        <rFont val="宋体"/>
        <charset val="134"/>
      </rPr>
      <t>（19020416067）在对</t>
    </r>
    <r>
      <rPr>
        <sz val="12"/>
        <color rgb="FF333333"/>
        <rFont val="仿宋_GB2312"/>
        <charset val="134"/>
      </rPr>
      <t>深圳博物馆(原国深博物馆)幕墙及泛光照明工程</t>
    </r>
    <r>
      <rPr>
        <sz val="10"/>
        <color rgb="FF000000"/>
        <rFont val="宋体"/>
        <charset val="134"/>
      </rPr>
      <t>监督执法检查时发现，</t>
    </r>
    <r>
      <rPr>
        <sz val="12"/>
        <color rgb="FF333333"/>
        <rFont val="仿宋_GB2312"/>
        <charset val="134"/>
      </rPr>
      <t>劳务分包单位深圳市明诚兴建筑劳务有限公司目前有施工人员166人，只配备1名专职安全生产管理人员，未按照《建筑施工企业安全生产管理机构设置及专职安全生产管理人员配备办法》（2008修订）第十四条第（二）项的规定足额配备专职安全生产管理人员，根据《房屋市政工程生产安全重大事故隐患判定标准（2024版）》第四条第（二）项规定属于重大事故隐患。总包施工单位安全生产管理人员（项目经理）李继祯未履行职责及时排查生产安全事故隐患。当事人的上述行为，涉嫌违反《中华人民共和国安全生产法》第二十五条第一款第（五）项的规定。</t>
    </r>
  </si>
  <si>
    <t>深南住建行罚立[2025]133号</t>
  </si>
  <si>
    <t>深南住建行罚决〔2025〕175号</t>
  </si>
  <si>
    <t>施工单位未按规定配备安全生产管理人员</t>
  </si>
  <si>
    <t>深圳市明诚兴建筑劳务有限公司</t>
  </si>
  <si>
    <t>91440300MA5FF1U48Q</t>
  </si>
  <si>
    <t>违反条款：《中华人民共和国安全生产法》第二十四条第一款。处罚依据：《中华人民共和国安全生产法》第九十七条第一项。</t>
  </si>
  <si>
    <t>2025年5月24日，我局执法人员在监督执法抽查深圳博物馆(原国深博物馆)幕墙及泛光照明工程时发现，劳务分包施工单位深圳市明诚兴建筑劳务有限公司目前有施工人员166人，只配备1名专职安全生产管理人员。未按照《建筑施工企业安全生产管理机构设置及专职安全生产管理人员配备办法》（2008修订）（建质[2008]91号）第十四条第（二）项“劳务分包单位施工人员在50人以下的，应当配备1名专职安全生产管理人员；50人-200人的，应当配备2名专职安全生产管理人员；200人及以上的，应当配备3名及以上专职安全生产管理人员，并根据所承担的分部分项工程施工危险实际情况增加，不得少于工程施工人员总人数的5‰”。经查，深圳博物馆(原国深博物馆)幕墙及泛光照明工程的劳务分包施工单位为深圳市明诚兴建筑劳务有限公司，施工单位存在未按规定配备安全生产管理人员的违法行为，违反了《中华人民共和国安全生产法》第二十四条第一款的规定，以上事实，有《询问笔录》《视听资料》《现场检查（勘验）笔录》《建筑工程施工许可证》等为证。依据《中华人民共和国行政处罚法》第二十八条第一款和《中华人民共和国安全生产法》九十七条第（一）项的规定</t>
  </si>
  <si>
    <t>深南住建行罚立[2025]150号</t>
  </si>
  <si>
    <t>深南住建行罚决〔2025〕176号</t>
  </si>
  <si>
    <t>荔园北加油站工程</t>
  </si>
  <si>
    <t>广东永烨智建建筑科技有限公司</t>
  </si>
  <si>
    <t>91441300794692829L</t>
  </si>
  <si>
    <t>违反条款：《危险性较大的分部分项工程安全管理规定》第十七条第三款。处罚依据：《危险性较大的分部分项工程安全管理规定》第三十五条第二项</t>
  </si>
  <si>
    <t>经查，深圳市南山区深南大道与南海大道东南角荔园北加油站工程的施工单位为广东永烨智建建筑科技有限公司，我局执法人员钱一舟（19020416064、韩海亮（19020416008）2025年5月27日监督执法检查该项目时发现施工现场加油站楼存在混凝土模板支撑工程，属于危大工程，施工单位未按照规定对其安全巡视。施工单位的上述行为涉嫌违反《危险性较大的分部分项工程安全管理规定》第十七条第三款的规定。</t>
  </si>
  <si>
    <t>深南住建行罚立[2025]138号</t>
  </si>
  <si>
    <t>深南住建行罚决〔2025〕171号</t>
  </si>
  <si>
    <t>施工单位未按照规定对危大工程进行安全巡视（项目负责人）</t>
  </si>
  <si>
    <t>御成府项目装修工程</t>
  </si>
  <si>
    <t>白胜</t>
  </si>
  <si>
    <r>
      <rPr>
        <sz val="10"/>
        <color rgb="FF000000"/>
        <rFont val="宋体"/>
        <charset val="134"/>
      </rPr>
      <t>513524197404073074</t>
    </r>
    <r>
      <rPr>
        <sz val="10"/>
        <color rgb="FF000000"/>
        <rFont val="宋体"/>
        <charset val="134"/>
      </rPr>
      <t xml:space="preserve"> </t>
    </r>
  </si>
  <si>
    <t>我局执法人员钱一舟（19020416064）、韩海亮（19020416008）2025年5月27日监督执法检查荔园北加油站工程时发现施工现场加油站楼存在混凝土模板支撑工程，属于危大工程，施工单位未按照规定对其安全巡视。经查该工程施工单位为广东永烨智建建筑科技有限公司，当事人白胜是广东永烨智建建筑科技有限公司任命的荔园北加油站项目负责人。施工单位的上述行为涉嫌违反《危险性较大的分部分项工程安全管理规定》第十七条第三款的规定，项目负责人白胜应承担相应的管理责任。</t>
  </si>
  <si>
    <r>
      <rPr>
        <sz val="10"/>
        <color rgb="FF000000"/>
        <rFont val="宋体"/>
        <charset val="134"/>
      </rPr>
      <t>(</t>
    </r>
    <r>
      <rPr>
        <sz val="14"/>
        <color rgb="FF000000"/>
        <rFont val="仿宋_GB2312"/>
        <charset val="134"/>
      </rPr>
      <t>深南住建行罚立[2025]139号</t>
    </r>
    <r>
      <rPr>
        <sz val="10"/>
        <color rgb="FF000000"/>
        <rFont val="宋体"/>
        <charset val="134"/>
      </rPr>
      <t>)</t>
    </r>
  </si>
  <si>
    <t>深南住建行罚决〔2025〕172号</t>
  </si>
  <si>
    <t>施工单位未按照规定对危大工程进行安全巡视（其他直接负责人）</t>
  </si>
  <si>
    <t>谭先文</t>
  </si>
  <si>
    <t>512222197203208219</t>
  </si>
  <si>
    <t>我局执法人员钱一舟（19020416064）、韩海亮（19020416008）2025年5月27日监督执法检查荔园北加油站工程时发现施工现场加油站楼存在混凝土模板支撑工程，属于危大工程，施工单位未按照规定对其安全巡视。经查该工程施工单位为广东永烨智建建筑科技有限公司，当事人谭先文是广东永烨智建建筑科技有限公司任命的荔园北加油站工程的安全员。施工单位的上述行为涉嫌违反《危险性较大的分部分项工程安全管理规定》第十七条第三款的规定，安全员谭先文作为其他直接责任人员应承担相应责任。</t>
  </si>
  <si>
    <t>(深南住建行罚立[2025]140号)</t>
  </si>
  <si>
    <t>深南住建行罚决〔2025〕173号</t>
  </si>
  <si>
    <t>安全生产管理人员未履行职责及时排查生产安全事故隐患，检查本单位的安全生产状况（杨兴文）</t>
  </si>
  <si>
    <t>杨兴文</t>
  </si>
  <si>
    <t>440421198608078175</t>
  </si>
  <si>
    <t>2025 年 5月29日，我局执法人员董继峰（19020416001）、罗元（19020416058）在对深圳市南山区御成府项目装修工程监督执法检查时发现，7层雨棚部位正在施工作业，现场存在吊篮悬吊平台停放区域临空一侧未设置防护栏杆的安全隐患，深圳市南山区御成府项目装修工程的空调安装施工单位项目经理杨兴文未在现场检查本单位的安全生产状况，施工单位项目经理（安全生产管理人员）杨兴文未履行职责及时排查生产安全事故隐患，检查本单位的安全生产状况。当事人的上述行为，涉嫌违反《中华人民共和国安全生产法》第二十五条第一款第（五）项的规定。</t>
  </si>
  <si>
    <t>深南住建行罚立[2025]141号</t>
  </si>
  <si>
    <t>深南住建行罚决〔2025〕177号</t>
  </si>
  <si>
    <t>2025/9/22</t>
  </si>
  <si>
    <t>H410-0035宗地置换用地土石方、基坑支护工程项目</t>
  </si>
  <si>
    <t>深圳市鹏森建设工程有限公司</t>
  </si>
  <si>
    <t>91440300MA5FC72P1W</t>
  </si>
  <si>
    <t>2025年6月12日，我局执法人员在深圳市东湖实业发展有限公司H410-0035宗地置换用地土石方、基坑支护工程项目进行执法检查时，发现施工单位在该工地存在未按照要求采取覆盖、洒水抑尘等有效防尘措施的行为。经查，该项目的施工单位为深圳市鹏森建设工程有限公司。施工单位的上述行为涉嫌违反了《广东省环境保护条例》第四十条第二款的规定。</t>
  </si>
  <si>
    <t>深南住建行罚立[2025]148号</t>
  </si>
  <si>
    <t>深南住建行罚决〔2025〕193号</t>
  </si>
  <si>
    <t>20253000285</t>
  </si>
  <si>
    <t>后海中心区M-07地块总部用地项目</t>
  </si>
  <si>
    <t>深圳嘉芬建设工程有限公司</t>
  </si>
  <si>
    <t>91440300MA5HD2B75L</t>
  </si>
  <si>
    <t>违反条款：《中华人民共和国安全生产法》第三十条第一款。处罚依据：《中华人民共和国安全生产法》第九十七条第七项。</t>
  </si>
  <si>
    <r>
      <rPr>
        <sz val="12"/>
        <color rgb="FF000000"/>
        <rFont val="SimSun"/>
        <charset val="134"/>
      </rPr>
      <t>2025年6月17日，我局执法人员钱一舟（19020416064）、韩海亮（19020416008）在监督执法抽查2023年后海中心区M-07地块总部用地项目（暂定名）土石方、基坑支护工程时发现该工程大门边一名正在进行焊接作业的工人邹平波未经专门的安全作业培训并取得相应资格，上岗作业。经查，当事人深圳嘉芬建设工程有限公司为该项目的劳务分包单位。当事人的上述行为涉嫌违反《中华人民共和国安全生产法》第三十条第一款的规定。</t>
    </r>
    <r>
      <rPr>
        <sz val="12"/>
        <color rgb="FF000000"/>
        <rFont val="SimSun"/>
        <charset val="134"/>
      </rPr>
      <t xml:space="preserve"> </t>
    </r>
  </si>
  <si>
    <t>(深南住建行罚立[2025]151号)</t>
  </si>
  <si>
    <t>深南住建行罚决〔2025〕195号</t>
  </si>
  <si>
    <t>20253000286</t>
  </si>
  <si>
    <t>深圳湾超级总部基地片区市政交通基础设施项目1标（EPC总承包）工程</t>
  </si>
  <si>
    <t>黄贤坤</t>
  </si>
  <si>
    <t>320322196611267334</t>
  </si>
  <si>
    <t>违反条款：《《深圳经济特区建设工程监理条例》（2019年修订）》第三十七条。处罚依据：《《深圳经济特区建设工程监理条例》（2019年修订）》第四十五条第三项。</t>
  </si>
  <si>
    <t>2025年5月22日，我局执法人员付泽正（19020416002）、米兰（19020416067）在监督执法抽查深圳湾超级总部基地片区市政交通基础设施项目1标（EPC总承包）工程项目时发现存在以下安全隐患：6#履带吊副钩起升钢丝绳多处绳股挤出散股，到达报废标准。监理单位总监理工程师对工程建设中存在质量或者施工安全隐患以及违法行为的，未采取措施制止。经查，该项目监理单位为上海建科工程咨询有限公司，黄贤坤为该项目监理单位总监理工程师。总监理工程师黄贤坤的上述行为涉嫌违反《深圳经济特区建设工程监理条例》第三十七条的规定。</t>
  </si>
  <si>
    <t>深南住建行罚立[2025]152号</t>
  </si>
  <si>
    <t>深南住建行罚决〔2025〕164号</t>
  </si>
  <si>
    <t>安全生产管理人员（安全员）未履行职责及时排查生产安全事故隐患</t>
  </si>
  <si>
    <t>张志远</t>
  </si>
  <si>
    <t>410728199411033512</t>
  </si>
  <si>
    <t>违反条款：《中华人民共和国安全生产法》第二十五条第一款第五项。处罚依据：《中华人民共和国安全生产法》第九十六条。</t>
  </si>
  <si>
    <t>2025年5月22日，我局执法人员付泽正（19020416002）、米兰（19020416067）在对深圳湾超级总部基地片区市政交通基础设施项目1标（EPC总承包）工程监督执法检查时发现，该工程存在以下安全隐患：6#履带吊副钩起升钢丝绳多处绳股挤出散股，到达报废标准，施工单位安全生产管理人员（安全员）张志远未履行职责及时排查生产安全事故隐患，未检查本单位的安全生产状况。当事人的上述行为，涉嫌违反《中华人民共和国安全生产法》第二十五条第一款第（五）项的规定。</t>
  </si>
  <si>
    <t>深南住建行罚立[2025]153号</t>
  </si>
  <si>
    <t>深南住建行罚决〔2025〕165号</t>
  </si>
  <si>
    <t>安全生产管理人员（项目经理）未履行职责及时排查生产安全事故隐患</t>
  </si>
  <si>
    <t>畅东东</t>
  </si>
  <si>
    <t>622425199106011611</t>
  </si>
  <si>
    <t>2025年5月22日，我局执法人员付泽正（19020416002）、米兰（19020416067）在对深圳湾超级总部基地片区市政交通基础设施项目1标（EPC总承包）工程监督执法检查时，现场发现存在以下安全隐患：6#履带吊副钩起升钢丝绳多处绳股挤出散股，到达报废标准。施工单位安全生产管理人员（项目经理）畅东东未履行职责及时排查生产安全事故隐患，未检查本单位的安全生产状况。当事人的上述行为，涉嫌违反《中华人民共和国安全生产法》第二十五条第一款第（五）项的规定。</t>
  </si>
  <si>
    <t>深南住建行罚立[2025]154号</t>
  </si>
  <si>
    <t>深南住建行罚决〔2025〕166号</t>
  </si>
  <si>
    <t>深圳穗丰建设工程有限公司</t>
  </si>
  <si>
    <t>91440300561529051F</t>
  </si>
  <si>
    <t>2025年5月22日，我局执法人员付泽正（19020416002）、米兰（19020416067）在监督执法抽查深圳湾超级总部基地片区市政交通基础设施项目1标（EPC总承包）桩基及基坑支护工程时发现，现场存在以下隐患：6#履带吊副钩起升钢丝绳多处绳股挤出散股，达到报废标准。现场存在上述隐患且施工单位未采取措施消除此隐患。经查，深圳湾超级总部基地片区市政交通基础设施项目1标（EPC总承包）桩基及基坑支护工程的施工单位为深圳穗丰建设工程有限公司。施工单位深圳穗丰建设工程有限公司存在未采取措施消除事故隐患的行为，涉嫌违反《中华人民共和国安全生产法》第四十一条第二款的规定。</t>
  </si>
  <si>
    <t>深南住建行罚立[2025]155号</t>
  </si>
  <si>
    <t>深南住建行罚决〔2025〕167号</t>
  </si>
  <si>
    <t>中兴通讯总部大厦（三期）桩基础及主体工程</t>
  </si>
  <si>
    <t>吴炳富</t>
  </si>
  <si>
    <t>36242519861120343X</t>
  </si>
  <si>
    <t>违反条款：《中华人民共和国安全生产法》第二十五条第一款第（五）项。处罚依据：《中华人民共和国安全生产法》第九十六。</t>
  </si>
  <si>
    <t>2025年5月21日，我局执法人员付泽正（19020416002）、米兰（19020416067）在对中兴通讯总部大厦（三期）桩基础及主体工程监督执法检查时发现，现场存在1号楼东侧29#吊篮安全锁被麻绳捆绑，安全锁失效的事故隐患。幕墙专业分包工程施工单位安全生产管理人员（项目经理）吴炳富未履行职责及时排查生产安全事故隐患。当事人的上述行为，涉嫌违反《中华人民共和国安全生产法》第二十五条第一款第（五）项的规定。</t>
  </si>
  <si>
    <t>深南住建行罚立[2025]156号</t>
  </si>
  <si>
    <t>深南住建行罚决〔2025〕163号</t>
  </si>
  <si>
    <t>广东汇航建筑劳务有限公司</t>
  </si>
  <si>
    <t>91440300MA5FGB0K06</t>
  </si>
  <si>
    <t>2025年5月21日，我局执法人员付泽正（19020416002）、米兰（19020416067）在监督执法抽查中兴通讯总部大厦（三期）桩基础及主体工程时发现，现场1号楼29层存在以下隐患：1、材料堆放在防护棚上；2、楼层边钢丝绳张拉到位，端头固定不牢固；3、楼层边未设置临边防护栏杆。现场存在上述隐患且施工单位未采取措施消除此隐患。经查，中兴通讯总部大厦（三期）桩基础及主体工程脚手架工程的施工单位为广东汇航建筑劳务有限公司。施工单位广东汇航建筑劳务有限公司存在未采取措施消除事故隐患的违法行为，涉嫌违反《中华人民共和国安全生产法》第四十一条第二款的规定。</t>
  </si>
  <si>
    <r>
      <rPr>
        <sz val="12"/>
        <color rgb="FF000000"/>
        <rFont val="SimSun"/>
        <charset val="134"/>
      </rPr>
      <t>深南住建行罚立[2025]157号</t>
    </r>
    <r>
      <rPr>
        <sz val="12"/>
        <color rgb="FF000000"/>
        <rFont val="SimSun"/>
        <charset val="134"/>
      </rPr>
      <t xml:space="preserve"> </t>
    </r>
  </si>
  <si>
    <t>深南住建行罚决〔2025〕162号</t>
  </si>
  <si>
    <t>深圳大学总医院保障性租赁住房项目主体工程</t>
  </si>
  <si>
    <t>浙江省建设工程机械集团有限公司</t>
  </si>
  <si>
    <t>91330100712534043M</t>
  </si>
  <si>
    <t>2025年6月23日，我局执法人员宗海根（19020416004）、韩海亮（19020416008）在监督执法抽查深圳大学总医院保障性租赁住房项目主体工程时发现，现场存在以下隐患：1号塔吊引进小车型号（7035）与塔机型号（7022）不一致。经查，深圳大学总医院保障性租赁住房项目主体工程的专业分包施工单位为浙江省建设工程机械集团有限公司。施工单位浙江省建设工程机械集团有限公司未采取措施消除事故隐患的行为涉嫌违反《中华人民共和国安全生产法》第四十一条第二款的规定。</t>
  </si>
  <si>
    <t>深南住建行罚立[2025]173号</t>
  </si>
  <si>
    <t>深南住建行罚决〔2025〕186号</t>
  </si>
  <si>
    <t>宗海根、韩海亮(徐彦卿)</t>
  </si>
  <si>
    <t>安全生产管理人员未履行职责及时排查生产安全事故隐患（吴悠）</t>
  </si>
  <si>
    <t>吴悠</t>
  </si>
  <si>
    <t>安全生产管理人员</t>
  </si>
  <si>
    <t>420114198909261930</t>
  </si>
  <si>
    <r>
      <rPr>
        <sz val="12"/>
        <color rgb="FF333333"/>
        <rFont val="SimSun"/>
        <charset val="134"/>
      </rPr>
      <t>202</t>
    </r>
    <r>
      <rPr>
        <sz val="12"/>
        <color rgb="FF000000"/>
        <rFont val="SimSun"/>
        <charset val="134"/>
      </rPr>
      <t>5年6月30日，</t>
    </r>
    <r>
      <rPr>
        <sz val="12"/>
        <color rgb="FF333333"/>
        <rFont val="SimSun"/>
        <charset val="134"/>
      </rPr>
      <t>我局</t>
    </r>
    <r>
      <rPr>
        <sz val="12"/>
        <color rgb="FF000000"/>
        <rFont val="SimSun"/>
        <charset val="134"/>
      </rPr>
      <t>执法人员</t>
    </r>
    <r>
      <rPr>
        <sz val="12"/>
        <color rgb="FF333333"/>
        <rFont val="SimSun"/>
        <charset val="134"/>
      </rPr>
      <t>高广君</t>
    </r>
    <r>
      <rPr>
        <sz val="12"/>
        <color rgb="FF000000"/>
        <rFont val="SimSun"/>
        <charset val="134"/>
      </rPr>
      <t>（19020416009）、</t>
    </r>
    <r>
      <rPr>
        <sz val="12"/>
        <color rgb="FF333333"/>
        <rFont val="SimSun"/>
        <charset val="134"/>
      </rPr>
      <t>朱泽汇</t>
    </r>
    <r>
      <rPr>
        <sz val="12"/>
        <color rgb="FF000000"/>
        <rFont val="SimSun"/>
        <charset val="134"/>
      </rPr>
      <t>（19020416062）在对</t>
    </r>
    <r>
      <rPr>
        <sz val="12"/>
        <color rgb="FF333333"/>
        <rFont val="SimSun"/>
        <charset val="134"/>
      </rPr>
      <t>云启源境家园主体工程</t>
    </r>
    <r>
      <rPr>
        <sz val="12"/>
        <color rgb="FF000000"/>
        <rFont val="SimSun"/>
        <charset val="134"/>
      </rPr>
      <t>监督执法检查时发现，施工单位安全生产管理人员吴悠未</t>
    </r>
    <r>
      <rPr>
        <sz val="12"/>
        <color rgb="FF333333"/>
        <rFont val="SimSun"/>
        <charset val="134"/>
      </rPr>
      <t>履行职</t>
    </r>
    <r>
      <rPr>
        <sz val="12"/>
        <color rgb="FF000000"/>
        <rFont val="SimSun"/>
        <charset val="134"/>
      </rPr>
      <t>责及时排查生产安全事故隐患。当事人的上述行为，涉嫌违反《中华人民共和国安全生产法》第二十五条第一款第（五）项的规定。</t>
    </r>
  </si>
  <si>
    <t>深南住建行罚立[2025]166号</t>
  </si>
  <si>
    <t>深南住建行罚决〔2025〕196号</t>
  </si>
  <si>
    <t>安全生产管理人员未履行职责及时排查生产安全事故隐患（刘力）</t>
  </si>
  <si>
    <t>刘力</t>
  </si>
  <si>
    <t>421087198911250011</t>
  </si>
  <si>
    <t>2025年6月5日，我局执法人员高广君（19020416009）、朱泽汇（19020416062）在对云启源境家园主体工程监督执法检查时发现，现场局部防护栏杆缺失，1-2座负二层坡道上部未设置防护栏杆，存在高处坠落的安全隐患，施工单位安全生产管理人员刘力未履行职责及时排查生产安全事故隐患。当事人的上述行为，涉嫌违反《中华人民共和国安全生产法》第二十五条第一款第（五）项的规定。</t>
  </si>
  <si>
    <t>深南住建行罚立[2025]170号</t>
  </si>
  <si>
    <t>深南住建行罚决〔2025〕198号</t>
  </si>
  <si>
    <t>安全生产管理人员未履行职责及时排查生产安全事故隐患（汤山青）</t>
  </si>
  <si>
    <t>汤山青</t>
  </si>
  <si>
    <t>432930197501014672</t>
  </si>
  <si>
    <t>2025年6月5日，我局执法人员高广君（19020416009）、朱泽汇（19020416062）在对云启源境家园主体工程监督执法检查时发现，施工现场局部防护栏杆缺失，1-2座负二层坡道上部未设置防护栏杆，存在高处坠落的安全隐患，施工单位安全生产管理人员汤山青未履行职责及时排查生产安全事故隐患。当事人的上述行为，涉嫌违反《中华人民共和国安全生产法》第二十五条第一款第（五）项的规定。</t>
  </si>
  <si>
    <t>深南住建行罚立[2025]171号</t>
  </si>
  <si>
    <t>深南住建行罚决〔2025〕197号</t>
  </si>
  <si>
    <t>安全生产管理人员未履行职责及时排查生产安全事故隐患（龚旭）</t>
  </si>
  <si>
    <t>前海石公园桂湾段（含双界河河口）项目桂湾段建筑总承包工程</t>
  </si>
  <si>
    <t>龚旭</t>
  </si>
  <si>
    <t>430722199311172676</t>
  </si>
  <si>
    <t>2025年6月9日，我局执法人员高广君（19020416009）、朱泽汇（19020416062）在对前海石公园桂湾段（含双界河河口）项目桂湾段建筑总承包工程监督执法检查时发现，施工现场移动式操作平台未设置防护栏杆，未设置供人上下的扶梯，存在施工人员高处坠落伤害的事故隐患，施工单位安全生产管理人员（项目经理）龚旭未履行职责及时排查生产安全事故隐患。当事人的上述行为，涉嫌违反《中华人民共和国安全生产法》第二十五条第一款第（五）项的规定。</t>
  </si>
  <si>
    <t>深南住建行罚立[2025]167号</t>
  </si>
  <si>
    <t>深南住建行罚决〔2025〕200号</t>
  </si>
  <si>
    <t>安全生产管理人员未履行职责及时排查生产安全事故隐患（吴肖润）</t>
  </si>
  <si>
    <t>吴肖润</t>
  </si>
  <si>
    <t>450521199709198733</t>
  </si>
  <si>
    <r>
      <rPr>
        <sz val="12"/>
        <color rgb="FF333333"/>
        <rFont val="SimSun"/>
        <charset val="134"/>
      </rPr>
      <t>2025年6月9日，我局执法人员高广君（19020416009）、朱泽汇（19020416062）在对前海石公园桂湾段（含双界河河口）项目桂湾段建筑总承包工程监督执法检查时发现，施工现场移动式操作平台未设置防护栏杆，未设置供人上下的扶梯，存在施工人员高处坠落伤害的事故隐患，施工单位安全生产管理人员</t>
    </r>
    <r>
      <rPr>
        <sz val="12"/>
        <color rgb="FF000000"/>
        <rFont val="SimSun"/>
        <charset val="134"/>
      </rPr>
      <t>吴肖润</t>
    </r>
    <r>
      <rPr>
        <sz val="12"/>
        <color rgb="FF333333"/>
        <rFont val="SimSun"/>
        <charset val="134"/>
      </rPr>
      <t>未履行职</t>
    </r>
    <r>
      <rPr>
        <sz val="12"/>
        <color rgb="FF000000"/>
        <rFont val="SimSun"/>
        <charset val="134"/>
      </rPr>
      <t>责及时排查生产安全事故隐患。当事人的上述行为，涉嫌违反《中华</t>
    </r>
    <r>
      <rPr>
        <sz val="12"/>
        <color rgb="FF333333"/>
        <rFont val="SimSun"/>
        <charset val="134"/>
      </rPr>
      <t>人民共和国安全生产法》第二十五条第一款第（五）项的规定。</t>
    </r>
  </si>
  <si>
    <t>深南住建行罚立[2025]168号</t>
  </si>
  <si>
    <t>深南住建行罚决〔2025〕199号</t>
  </si>
  <si>
    <t>施工单位安全生产管理人员未及时排查生产安全事故隐患（顾业鸿）</t>
  </si>
  <si>
    <t>万星林花园（二期）主体工程</t>
  </si>
  <si>
    <t>顾业鸿</t>
  </si>
  <si>
    <t>安全生产管理人员（专职安全员）</t>
  </si>
  <si>
    <t>522634200004212112</t>
  </si>
  <si>
    <t>2025年07月10日，我局执法人员李新（19020416063）、刘百鑫（19020416059）在监督执法抽查万星林花园（二期）主体工程时，发现现场起吊物违规采用钢丝绑扎，且摆放位置不平整，存在倾覆物体打击风险，施工单位安全生产管理人员（专职安全员）顾业鸿未及时排查生产安全事故隐患。当事人的上述行为，涉嫌违反《中华人民共和国安全生产法》第二十五条第一款第（五）项的规定。</t>
  </si>
  <si>
    <t>深南住建行罚立[2025]179号</t>
  </si>
  <si>
    <t>深南住建行罚决〔2025〕208号</t>
  </si>
  <si>
    <t>施工单位安全生产管理人员未及时排查生产安全事故隐患（代超）</t>
  </si>
  <si>
    <t>代超</t>
  </si>
  <si>
    <t>施工单位安全生产管理人员（项目经理）</t>
  </si>
  <si>
    <t>420802199106091613</t>
  </si>
  <si>
    <t>2025年07月10日，我局执法人员李新（19020416063）、刘百鑫（19020416059）在监督执法抽查万星林花园（二期）主体工程时发现，施工现场7栋作业面临边防护不到位，2栋转料平台人员出入口未设防护棚，2栋高处作业人员未系挂安全带，施工单位安全生产管理人员（项目经理）代超未及时排查生产安全事故隐患。当事人的上述行为，涉嫌违反《中华人民共和国安全生产法》第二十五条第一款第（五）项的规定。</t>
  </si>
  <si>
    <t>深南住建行罚立[2025]180号</t>
  </si>
  <si>
    <t>深南住建行罚决〔2025〕209号</t>
  </si>
  <si>
    <t>施工单位发生险情或者事故时，未采取应急处置措施（深圳华创建筑装饰股份有限公司）</t>
  </si>
  <si>
    <t>深圳市公安消防支队赤湾消防站(上盖保障性住房)项目精装修、机电(含高低压变配电)、智能化、消防等工程</t>
  </si>
  <si>
    <t>深圳华创建筑装饰股份有限公司</t>
  </si>
  <si>
    <t>91440300774117675T</t>
  </si>
  <si>
    <t>违反条款：《危险性较大的分部分项工程安全管理规定》第二十二条。处罚依据：《危险性较大的分部分项工程安全管理规定》第三十五条第四项。</t>
  </si>
  <si>
    <t>2025年06月28日，深圳市公安消防支队赤湾消防站(上盖保障性住房)项目精装修、机电(含高低压变配电)、智能化、消防等工程发生一起险情，两名工人被困于吊篮中，经消防救援后安全脱险。险情发生后，该项目施工单位未向工程所在地住房城乡建设主管单位报告，未按吊篮工程应急预案采取应急处置措施。经查，深圳市公安消防支队赤湾消防站(上盖保障性住房)项目精装修、机电(含高低压变配电)、智能化、消防等工程施工单位为深圳华创建筑装饰股份有限公司和深圳市中深装建设集团有限公司的联合体，施工现场由深圳华创建筑装饰股份有限公司负责管理，施工单位深圳华创建筑装饰股份有限公司的上述行为涉嫌违反《危险性较大的分部分项工程安全管理规定》第二十二条的规定。</t>
  </si>
  <si>
    <t>深南住建行罚立[2025]181号</t>
  </si>
  <si>
    <t>施工单位发生险情或者事故时，未采取应急处置措施 （徐荣斌）</t>
  </si>
  <si>
    <t>徐荣斌</t>
  </si>
  <si>
    <t>450521198109114458</t>
  </si>
  <si>
    <t>2025年06月28日，深圳市公安消防支队赤湾消防站(上盖保障性住房)项目精装修、机电(含高低压变配电)、智能化、消防等工程发生一起险情，两名工人被困于吊篮中，经消防救援后安全脱险。险情发生后，该项目施工单位未向工程所在地住房城乡建设主管单位报告，未按吊篮工程应急预案采取应急处置措施。经查，深圳市公安消防支队赤湾消防站(上盖保障性住房)项目精装修、机电(含高低压变配电)、智能化、消防等工程施工单位为深圳华创建筑装饰股份有限公司和深圳市中深装建设集团有限公司的联合体，施工现场由深圳华创建筑装饰股份有限公司负责管理，深圳华创建筑装饰股份有限公司在险情发生后，未及时向工程所在地住房城乡建设主管单位报告，未按吊篮工程应急预案采取应急处置措施。 施工单位的上述行为涉嫌违反《危险性较大的分部分项工程安全管理规定》第二十二条的规定，项目经理徐荣斌应承担相应的管理责任。</t>
  </si>
  <si>
    <t>深南住建行罚立[2025]182号</t>
  </si>
  <si>
    <t>施工单位在施工工地未采取有效防尘措施（深圳市闽渝工程有限公司）</t>
  </si>
  <si>
    <t>山区沙河街道天虹商场配送中心地块城市更新单元规划土石方及基坑支护工程项目</t>
  </si>
  <si>
    <t>深圳市闽渝工程有限公司</t>
  </si>
  <si>
    <t>91440300359567011L</t>
  </si>
  <si>
    <t>违反条款：《广东省环境保护条例》第四十条第二款。处罚依据：《广东省环境保护条例》第七十四条第一款第一项</t>
  </si>
  <si>
    <t>2025年7月1日，我局执法人员在南山区沙河街道天虹商场配送中心地块城市更新单元规划土石方及基坑支护工程项目进行执法检查时，发现该工地施工现场内未对车行道路采取硬化、覆盖、洒水抑尘等有效防尘措施，存在未按照要求采取覆盖、洒水抑尘等有效防尘措施的情况。经查，该项目的施工单位为深圳市闽渝工程有限公司。施工单位的上述行为涉嫌违反了《广东省环境保护条例》第四十条第二款的规定。</t>
  </si>
  <si>
    <t>深南住建行罚立[2025]183号</t>
  </si>
  <si>
    <t>深南住建行罚决〔2025〕213号</t>
  </si>
  <si>
    <t>施工单位未采取措施消除事故隐患（深圳市方大建科集团有限公司）</t>
  </si>
  <si>
    <t>幕墙分包施工单位</t>
  </si>
  <si>
    <t>魏越兴</t>
  </si>
  <si>
    <t>2025年7月2日，我局执法人员高广君（19020416009）、朱泽汇（19020416062）监督执法抽查建滔总部大厦总包工程时，查明施工现场存在以下安全隐患：2025年6月30日，建滔总部大厦项目发生幕墙板块坠落事故。当日项目塔吊因停电造成幕墙板块悬停高空，悬停期间幕墙百叶板块被风吹晃动未设置固定措施，最终板块坠落在大厦东侧。事件未造成人员伤亡。施工单位未对上述事故隐患采取措施进行消除。经查，建滔总部大厦总包工程的幕墙分包施工单位为深圳市方大建科集团有限公司，施工单位的上述行为涉嫌违反《中华人民共和国安全生产法》第四十一条第二款的规定。</t>
  </si>
  <si>
    <t>深南住建行罚立[2025]184号</t>
  </si>
  <si>
    <t>深南住建行罚决〔2025〕216号</t>
  </si>
  <si>
    <t>施工单位安全生产管理人员未及时排查生产安全事故隐患（许宁博）</t>
  </si>
  <si>
    <t>臻熙大厦项目(总承包工程)</t>
  </si>
  <si>
    <t>许宁博</t>
  </si>
  <si>
    <t>412721200002175811</t>
  </si>
  <si>
    <t>2025年07月16日，我局执法人员李新（19020416063）、刘百鑫（19020416059）在监督执法抽查臻熙大厦项目(总承包工程)时，发现现场吊装作业未设置安全保护区域及警示标识，存在物体打击风险，施工单位安全生产管理人员（专职安全员）许宁博未及时排查生产安全事故隐患。当事人的上述行为，涉嫌违反《中华人民共和国安全生产法》第二十五条第一款第（五）项的规定。</t>
  </si>
  <si>
    <t>深南住建行罚立[2025]185号</t>
  </si>
  <si>
    <t>深南住建行罚决〔2025〕215号</t>
  </si>
  <si>
    <t>深铁熙府A地块幕墙及系统门窗工程1标</t>
  </si>
  <si>
    <t>深圳市中装建设集团股份有限公司</t>
  </si>
  <si>
    <t>914403001922663713</t>
  </si>
  <si>
    <r>
      <rPr>
        <sz val="10"/>
        <color rgb="FF000000"/>
        <rFont val="SimSun"/>
        <charset val="134"/>
      </rPr>
      <t>2025</t>
    </r>
    <r>
      <rPr>
        <sz val="12"/>
        <color rgb="FF000000"/>
        <rFont val="仿宋"/>
        <charset val="134"/>
      </rPr>
      <t>年</t>
    </r>
    <r>
      <rPr>
        <sz val="10"/>
        <color rgb="FF000000"/>
        <rFont val="SimSun"/>
        <charset val="134"/>
      </rPr>
      <t>07</t>
    </r>
    <r>
      <rPr>
        <sz val="12"/>
        <color rgb="FF000000"/>
        <rFont val="仿宋"/>
        <charset val="134"/>
      </rPr>
      <t>月</t>
    </r>
    <r>
      <rPr>
        <sz val="10"/>
        <color rgb="FF000000"/>
        <rFont val="SimSun"/>
        <charset val="134"/>
      </rPr>
      <t>25</t>
    </r>
    <r>
      <rPr>
        <sz val="12"/>
        <color rgb="FF000000"/>
        <rFont val="仿宋"/>
        <charset val="134"/>
      </rPr>
      <t>日，我局执法人员李新（19020416</t>
    </r>
    <r>
      <rPr>
        <sz val="10"/>
        <color rgb="FF000000"/>
        <rFont val="SimSun"/>
        <charset val="134"/>
      </rPr>
      <t>063</t>
    </r>
    <r>
      <rPr>
        <sz val="12"/>
        <color rgb="FF000000"/>
        <rFont val="仿宋"/>
        <charset val="134"/>
      </rPr>
      <t>）、刘百鑫（190204160</t>
    </r>
    <r>
      <rPr>
        <sz val="10"/>
        <color rgb="FF000000"/>
        <rFont val="SimSun"/>
        <charset val="134"/>
      </rPr>
      <t>59</t>
    </r>
    <r>
      <rPr>
        <sz val="12"/>
        <color rgb="FF000000"/>
        <rFont val="仿宋"/>
        <charset val="134"/>
      </rPr>
      <t>）在监督执法抽查</t>
    </r>
    <r>
      <rPr>
        <sz val="12"/>
        <color rgb="FF000000"/>
        <rFont val="仿宋_GB2312"/>
        <charset val="134"/>
      </rPr>
      <t>深铁熙府A地块幕墙及系统门窗工程1标</t>
    </r>
    <r>
      <rPr>
        <sz val="12"/>
        <color rgb="FF000000"/>
        <rFont val="仿宋"/>
        <charset val="134"/>
      </rPr>
      <t>时发现，施工现场吊篮施工与下方作业人员垂直交叉作业未设置安全隔离措施，存在物体打</t>
    </r>
    <r>
      <rPr>
        <sz val="12"/>
        <color rgb="FF000000"/>
        <rFont val="仿宋_GB2312"/>
        <charset val="134"/>
      </rPr>
      <t>击风险，施工单位未采取措施消除事故隐患。经查，深铁熙府A地块幕墙及系统门窗工</t>
    </r>
    <r>
      <rPr>
        <sz val="12"/>
        <color rgb="FF000000"/>
        <rFont val="仿宋"/>
        <charset val="134"/>
      </rPr>
      <t>程1标的施工单位为深圳市中装建设集团股份有限公司，施工单位的上述行为涉嫌违反《</t>
    </r>
    <r>
      <rPr>
        <sz val="12"/>
        <color rgb="FF000000"/>
        <rFont val="仿宋_GB2312"/>
        <charset val="134"/>
      </rPr>
      <t>中华人民共和国安全生产法》第四十一条第二款的规定。</t>
    </r>
  </si>
  <si>
    <t>深南住建行罚立[2025]198号</t>
  </si>
  <si>
    <t>深南住建行罚决〔2025〕210号</t>
  </si>
  <si>
    <t>珑瀚公馆工程</t>
  </si>
  <si>
    <t>深圳长田名匠工程有限公司</t>
  </si>
  <si>
    <t>幕墙工程分包施工单位</t>
  </si>
  <si>
    <t>91440300MA5F3P7766</t>
  </si>
  <si>
    <t>林晓洁</t>
  </si>
  <si>
    <r>
      <rPr>
        <sz val="10"/>
        <color rgb="FF000000"/>
        <rFont val="SimSun"/>
        <charset val="134"/>
      </rPr>
      <t>2025</t>
    </r>
    <r>
      <rPr>
        <sz val="12"/>
        <color rgb="FF000000"/>
        <rFont val="仿宋_GB2312"/>
        <charset val="134"/>
      </rPr>
      <t>年</t>
    </r>
    <r>
      <rPr>
        <sz val="10"/>
        <color rgb="FF000000"/>
        <rFont val="SimSun"/>
        <charset val="134"/>
      </rPr>
      <t>7</t>
    </r>
    <r>
      <rPr>
        <sz val="12"/>
        <color rgb="FF000000"/>
        <rFont val="仿宋_GB2312"/>
        <charset val="134"/>
      </rPr>
      <t>月</t>
    </r>
    <r>
      <rPr>
        <sz val="10"/>
        <color rgb="FF000000"/>
        <rFont val="SimSun"/>
        <charset val="134"/>
      </rPr>
      <t>23</t>
    </r>
    <r>
      <rPr>
        <sz val="12"/>
        <color rgb="FF000000"/>
        <rFont val="仿宋_GB2312"/>
        <charset val="134"/>
      </rPr>
      <t>日，我局执法人员高广君（19020416009）、朱泽汇（190204160</t>
    </r>
    <r>
      <rPr>
        <sz val="10"/>
        <color rgb="FF000000"/>
        <rFont val="SimSun"/>
        <charset val="134"/>
      </rPr>
      <t>62</t>
    </r>
    <r>
      <rPr>
        <sz val="12"/>
        <color rgb="FF000000"/>
        <rFont val="仿宋_GB2312"/>
        <charset val="134"/>
      </rPr>
      <t>）监督执法抽查珑瀚公馆工程时，发现施工现场存在以下安全隐患：项目1栋四单元东侧，现场动火作业前，未对作业现场可燃物进行清理，施工现场存在发生火灾的安全事故隐患。施工单位未采取措施消除事故隐患。经查，珑瀚公馆工程的幕墙工程分包施工单位为深圳长田名匠工程有限公司，施工单位的上述行为涉嫌违反《中华人民共和国安全生产法》第四十一条第二款的规定。</t>
    </r>
  </si>
  <si>
    <t>深南住建行罚立[2025]202号</t>
  </si>
  <si>
    <t>深南住建行罚决〔2025〕220号</t>
  </si>
  <si>
    <r>
      <rPr>
        <sz val="10"/>
        <color rgb="FF000000"/>
        <rFont val="SimSun"/>
        <charset val="134"/>
      </rPr>
      <t>安全生产管理人员未履行职责</t>
    </r>
    <r>
      <rPr>
        <sz val="12"/>
        <color rgb="FF000000"/>
        <rFont val="仿宋_GB2312"/>
        <charset val="134"/>
      </rPr>
      <t>及时排查生产安全事故隐患</t>
    </r>
  </si>
  <si>
    <t>珑瀚公馆项目幕墙工程</t>
  </si>
  <si>
    <t>蔡浪</t>
  </si>
  <si>
    <t>安全生产管理人员（（项目执行经理））</t>
  </si>
  <si>
    <t>430624199206197318</t>
  </si>
  <si>
    <r>
      <rPr>
        <sz val="12"/>
        <color rgb="FF333333"/>
        <rFont val="仿宋_GB2312"/>
        <charset val="134"/>
      </rPr>
      <t>202</t>
    </r>
    <r>
      <rPr>
        <sz val="10"/>
        <color rgb="FF000000"/>
        <rFont val="SimSun"/>
        <charset val="134"/>
      </rPr>
      <t>5年7月15日，</t>
    </r>
    <r>
      <rPr>
        <sz val="12"/>
        <color rgb="FF333333"/>
        <rFont val="仿宋_GB2312"/>
        <charset val="134"/>
      </rPr>
      <t>我局</t>
    </r>
    <r>
      <rPr>
        <sz val="10"/>
        <color rgb="FF000000"/>
        <rFont val="SimSun"/>
        <charset val="134"/>
      </rPr>
      <t>执法人员</t>
    </r>
    <r>
      <rPr>
        <sz val="12"/>
        <color rgb="FF333333"/>
        <rFont val="仿宋_GB2312"/>
        <charset val="134"/>
      </rPr>
      <t>高广君</t>
    </r>
    <r>
      <rPr>
        <sz val="10"/>
        <color rgb="FF000000"/>
        <rFont val="SimSun"/>
        <charset val="134"/>
      </rPr>
      <t>（19020416009）、</t>
    </r>
    <r>
      <rPr>
        <sz val="12"/>
        <color rgb="FF333333"/>
        <rFont val="仿宋_GB2312"/>
        <charset val="134"/>
      </rPr>
      <t>朱泽汇</t>
    </r>
    <r>
      <rPr>
        <sz val="10"/>
        <color rgb="FF000000"/>
        <rFont val="SimSun"/>
        <charset val="134"/>
      </rPr>
      <t>（19020416062）</t>
    </r>
    <r>
      <rPr>
        <sz val="12"/>
        <color rgb="FF333333"/>
        <rFont val="仿宋_GB2312"/>
        <charset val="134"/>
      </rPr>
      <t>监督执法抽查珑瀚公馆项目幕墙工程时，发现施工现场存在以下安全隐患：项目1栋四单元东侧吊篮作业区域防物体打击措施不到位，存在物体打击风险的事故隐患，施工单位安全生产管理人员</t>
    </r>
    <r>
      <rPr>
        <sz val="10"/>
        <color rgb="FF000000"/>
        <rFont val="SimSun"/>
        <charset val="134"/>
      </rPr>
      <t>蔡浪</t>
    </r>
    <r>
      <rPr>
        <sz val="12"/>
        <color rgb="FF333333"/>
        <rFont val="仿宋_GB2312"/>
        <charset val="134"/>
      </rPr>
      <t>未履行职责及时排查生产安全事故隐患。当事人的上述行为，涉嫌违反《中华人民共和国安全生产法》第二十五条第一</t>
    </r>
    <r>
      <rPr>
        <sz val="10"/>
        <color rgb="FF000000"/>
        <rFont val="SimSun"/>
        <charset val="134"/>
      </rPr>
      <t>款第（五）项的规定。</t>
    </r>
  </si>
  <si>
    <t>深南住建行罚立[2025]203号</t>
  </si>
  <si>
    <t>深南住建行罚决〔2025〕221号</t>
  </si>
  <si>
    <t>深铁前海国际枢纽中心T2和T10栋幕墙工程</t>
  </si>
  <si>
    <t>欧阳勃</t>
  </si>
  <si>
    <t>431023198201228119</t>
  </si>
  <si>
    <r>
      <rPr>
        <sz val="12"/>
        <color rgb="FF333333"/>
        <rFont val="仿宋_GB2312"/>
        <charset val="134"/>
      </rPr>
      <t>202</t>
    </r>
    <r>
      <rPr>
        <sz val="10"/>
        <color rgb="FF000000"/>
        <rFont val="SimSun"/>
        <charset val="134"/>
      </rPr>
      <t>5年7月15日，</t>
    </r>
    <r>
      <rPr>
        <sz val="12"/>
        <color rgb="FF333333"/>
        <rFont val="仿宋_GB2312"/>
        <charset val="134"/>
      </rPr>
      <t>我局</t>
    </r>
    <r>
      <rPr>
        <sz val="10"/>
        <color rgb="FF000000"/>
        <rFont val="SimSun"/>
        <charset val="134"/>
      </rPr>
      <t>执法人员</t>
    </r>
    <r>
      <rPr>
        <sz val="12"/>
        <color rgb="FF333333"/>
        <rFont val="仿宋_GB2312"/>
        <charset val="134"/>
      </rPr>
      <t>高广君</t>
    </r>
    <r>
      <rPr>
        <sz val="10"/>
        <color rgb="FF000000"/>
        <rFont val="SimSun"/>
        <charset val="134"/>
      </rPr>
      <t>（19020416009）、</t>
    </r>
    <r>
      <rPr>
        <sz val="12"/>
        <color rgb="FF333333"/>
        <rFont val="仿宋_GB2312"/>
        <charset val="134"/>
      </rPr>
      <t>朱泽汇</t>
    </r>
    <r>
      <rPr>
        <sz val="10"/>
        <color rgb="FF000000"/>
        <rFont val="SimSun"/>
        <charset val="134"/>
      </rPr>
      <t>（19020416062）在对</t>
    </r>
    <r>
      <rPr>
        <sz val="12"/>
        <color rgb="FF333333"/>
        <rFont val="仿宋_GB2312"/>
        <charset val="134"/>
      </rPr>
      <t>深铁前海国际枢纽中心T2和T10栋幕墙工程</t>
    </r>
    <r>
      <rPr>
        <sz val="10"/>
        <color rgb="FF000000"/>
        <rFont val="SimSun"/>
        <charset val="134"/>
      </rPr>
      <t>监督执法检查时发</t>
    </r>
    <r>
      <rPr>
        <sz val="12"/>
        <color rgb="FF333333"/>
        <rFont val="仿宋_GB2312"/>
        <charset val="134"/>
      </rPr>
      <t>现，项目环轨安装区域外侧，临边防护不到位，存在高处坠落的安全事故隐患，</t>
    </r>
    <r>
      <rPr>
        <sz val="10"/>
        <color rgb="FF000000"/>
        <rFont val="SimSun"/>
        <charset val="134"/>
      </rPr>
      <t>施工单位安全生产管理人员</t>
    </r>
    <r>
      <rPr>
        <sz val="12"/>
        <color rgb="FF000000"/>
        <rFont val="仿宋_GB2312"/>
        <charset val="134"/>
      </rPr>
      <t>欧阳勃</t>
    </r>
    <r>
      <rPr>
        <sz val="10"/>
        <color rgb="FF000000"/>
        <rFont val="SimSun"/>
        <charset val="134"/>
      </rPr>
      <t>未</t>
    </r>
    <r>
      <rPr>
        <sz val="12"/>
        <color rgb="FF333333"/>
        <rFont val="仿宋_GB2312"/>
        <charset val="134"/>
      </rPr>
      <t>履行职</t>
    </r>
    <r>
      <rPr>
        <sz val="12"/>
        <color rgb="FF000000"/>
        <rFont val="仿宋_GB2312"/>
        <charset val="134"/>
      </rPr>
      <t>责及时排查生产安全事故隐患。当事人的上述行为，涉嫌违反《中华</t>
    </r>
    <r>
      <rPr>
        <sz val="10"/>
        <color rgb="FF000000"/>
        <rFont val="SimSun"/>
        <charset val="134"/>
      </rPr>
      <t>人民共和国安全生产法》第二十五条第一款第（五）项的规定。</t>
    </r>
  </si>
  <si>
    <t>深南住建行罚立[2025]204号</t>
  </si>
  <si>
    <t>深南住建行罚决〔2025〕218号</t>
  </si>
  <si>
    <t>胡立森</t>
  </si>
  <si>
    <r>
      <rPr>
        <sz val="12"/>
        <color rgb="FF333333"/>
        <rFont val="仿宋_GB2312"/>
        <charset val="134"/>
      </rPr>
      <t>202</t>
    </r>
    <r>
      <rPr>
        <sz val="10"/>
        <color rgb="FF000000"/>
        <rFont val="SimSun"/>
        <charset val="134"/>
      </rPr>
      <t>5年7月15日，</t>
    </r>
    <r>
      <rPr>
        <sz val="12"/>
        <color rgb="FF333333"/>
        <rFont val="仿宋_GB2312"/>
        <charset val="134"/>
      </rPr>
      <t>我局</t>
    </r>
    <r>
      <rPr>
        <sz val="10"/>
        <color rgb="FF000000"/>
        <rFont val="SimSun"/>
        <charset val="134"/>
      </rPr>
      <t>执法人员</t>
    </r>
    <r>
      <rPr>
        <sz val="12"/>
        <color rgb="FF333333"/>
        <rFont val="仿宋_GB2312"/>
        <charset val="134"/>
      </rPr>
      <t>高广君</t>
    </r>
    <r>
      <rPr>
        <sz val="10"/>
        <color rgb="FF000000"/>
        <rFont val="SimSun"/>
        <charset val="134"/>
      </rPr>
      <t>（19020416009）、</t>
    </r>
    <r>
      <rPr>
        <sz val="12"/>
        <color rgb="FF333333"/>
        <rFont val="仿宋_GB2312"/>
        <charset val="134"/>
      </rPr>
      <t>朱泽汇</t>
    </r>
    <r>
      <rPr>
        <sz val="10"/>
        <color rgb="FF000000"/>
        <rFont val="SimSun"/>
        <charset val="134"/>
      </rPr>
      <t>（19020416062）在对</t>
    </r>
    <r>
      <rPr>
        <sz val="12"/>
        <color rgb="FF333333"/>
        <rFont val="仿宋_GB2312"/>
        <charset val="134"/>
      </rPr>
      <t>深铁前海国际枢纽中心T2和T10栋幕墙工程</t>
    </r>
    <r>
      <rPr>
        <sz val="10"/>
        <color rgb="FF000000"/>
        <rFont val="SimSun"/>
        <charset val="134"/>
      </rPr>
      <t>监督执法检查时发</t>
    </r>
    <r>
      <rPr>
        <sz val="12"/>
        <color rgb="FF333333"/>
        <rFont val="仿宋_GB2312"/>
        <charset val="134"/>
      </rPr>
      <t>现，项目南侧吊篮作业区域防物体打击措施不到位，存在物体打击风险的事故隐患，</t>
    </r>
    <r>
      <rPr>
        <sz val="10"/>
        <color rgb="FF000000"/>
        <rFont val="SimSun"/>
        <charset val="134"/>
      </rPr>
      <t>施工单位安全生产管理人员</t>
    </r>
    <r>
      <rPr>
        <sz val="12"/>
        <color rgb="FF000000"/>
        <rFont val="仿宋_GB2312"/>
        <charset val="134"/>
      </rPr>
      <t>胡立森</t>
    </r>
    <r>
      <rPr>
        <sz val="10"/>
        <color rgb="FF000000"/>
        <rFont val="SimSun"/>
        <charset val="134"/>
      </rPr>
      <t>未</t>
    </r>
    <r>
      <rPr>
        <sz val="12"/>
        <color rgb="FF333333"/>
        <rFont val="仿宋_GB2312"/>
        <charset val="134"/>
      </rPr>
      <t>履行职</t>
    </r>
    <r>
      <rPr>
        <sz val="12"/>
        <color rgb="FF000000"/>
        <rFont val="仿宋_GB2312"/>
        <charset val="134"/>
      </rPr>
      <t>责及时排查生产安全事故隐患。当事人的上述行为，涉嫌违反《中华</t>
    </r>
    <r>
      <rPr>
        <sz val="10"/>
        <color rgb="FF000000"/>
        <rFont val="SimSun"/>
        <charset val="134"/>
      </rPr>
      <t>人民共和国安全生产法》第二十五条第一款第（五）项的规定。</t>
    </r>
  </si>
  <si>
    <t>深南住建行罚立[2025]205号</t>
  </si>
  <si>
    <t>深南住建行罚决〔2025〕219号</t>
  </si>
  <si>
    <t>腾创未来项目主体工程机电专业分包工程</t>
  </si>
  <si>
    <t>贵阳德逊劳务有限公司</t>
  </si>
  <si>
    <t>机电工程劳务分包单位</t>
  </si>
  <si>
    <t>91520114078464286P</t>
  </si>
  <si>
    <t>张忠立</t>
  </si>
  <si>
    <t>违反条款：《中华人民共和国安全生产法》第四十五条。处罚依据：《中华人民共和国安全生产法》第九十九条第（五）项。</t>
  </si>
  <si>
    <t>2025年7月25日，我局执法人员韩海亮（19020416008）、宗海根（19020416004），监督执法抽查腾创未来项目主体工程机电专业分包工程2#塔楼，裙楼及地下室区域电气工程、给排水工程时，发现施工单位存在未为从业人员提供符合国家标准或者行业标准的劳动防护用品（安全带）的行为，经查，该项目的施工单位为贵阳德逊劳务有限公司，上述行为涉嫌违反《中华人民共和国安全生产法》第四十五条的规定。</t>
  </si>
  <si>
    <t>深南住建行罚立[2025]210号</t>
  </si>
  <si>
    <t>深南住建行罚决〔2025〕211号</t>
  </si>
  <si>
    <t>春晓科技大厦基坑支护及土石方工程</t>
  </si>
  <si>
    <t>廖桓宇</t>
  </si>
  <si>
    <t>421083198702284594</t>
  </si>
  <si>
    <t>2025年7月29日，我局执法人员在春晓科技大厦基坑支护及土石方工程进行执法检查时，发现该工程西南角一名正在进行钢立柱焊接作业的工人廖杰够未按照规定经专门的安全作业培训并取得相应资格，已进行上岗作业。根据《特种作业人员安全技术培训考核管理规定》附件《特种作业目录》中第2项焊接与热切割作业，焊接作业属于特种作业范围，特种作业人员必须按照国家有关规定经专门的安全作业培训，取得相应资格，方可上岗作业。该工程施工总承包单位安全生产管理人员（项目经理）廖桓宇未履行职责及时排查该生产安全事故隐患。当事人的上述行为，涉嫌违反《中华人民共和国安全生产法》第二十五条第一款第（五）项的规定。</t>
  </si>
  <si>
    <t>深南住建行罚立[2025]212号</t>
  </si>
  <si>
    <r>
      <rPr>
        <sz val="12"/>
        <color rgb="FF000000"/>
        <rFont val="SimSun"/>
        <charset val="134"/>
      </rPr>
      <t>深圳市钢祥建筑工程有限公司</t>
    </r>
    <r>
      <rPr>
        <sz val="12"/>
        <color rgb="FF000000"/>
        <rFont val="SimSun"/>
        <charset val="134"/>
      </rPr>
      <t xml:space="preserve"> </t>
    </r>
  </si>
  <si>
    <t>混凝土内支撑拆除工程分包单位</t>
  </si>
  <si>
    <t>91441304MA56DB2PX7</t>
  </si>
  <si>
    <t>郑罗钢</t>
  </si>
  <si>
    <t>2025年7月29日，我局执法人员在春晓科技大厦基坑支护及土石方工程进行执法检查时，发现该工程西南角一名正在进行钢立柱焊接作业的工人廖杰够未按照规定经专门的安全作业培训并取得相应资格，已进行上岗作业。根据《特种作业人员安全技术培训考核管理规定》附件《特种作业目录》中第2项焊接与热切割作业，焊接作业属于特种作业范围，特种作业人员必须按照国家有关规定经专门的安全作业培训，取得相应资格，方可上岗作业。经查，该工程混凝土内支撑拆除工程专业分包的施工单位为深圳市钢祥建筑工程有限公司。施工单位的上述行为涉嫌违反《中华人民共和国安全生产法》第三十条第一款的规定。</t>
  </si>
  <si>
    <t>深南住建行罚立[2025]213号</t>
  </si>
  <si>
    <t>杨建</t>
  </si>
  <si>
    <t>2025年08月15日，我局执法人员李新（19020416063）、刘百鑫（19020416059）监督执法抽查四海名邸总承包工程项目时，发现现场售楼部首层楼梯支模架搭设为高处作业，1名高处作业人员未佩戴并系挂安全带，存在高坠事故隐患，施工单位未采取措施消除事故隐患。经查，四海名邸总承包工程项目施工单位为四川广厦建筑工程有限公司，施工单位的上述行为涉嫌违反《中华人民共和国安全生产法》第四十一条第二款的规定。</t>
  </si>
  <si>
    <t>深南住建行罚立[2025]218号</t>
  </si>
  <si>
    <t>施工单位安全生产管理人员未及时排查生产安全事故隐患</t>
  </si>
  <si>
    <t>云山海公馆(东区)施工总承包工程</t>
  </si>
  <si>
    <t>徐长发</t>
  </si>
  <si>
    <t>45032219770126101X</t>
  </si>
  <si>
    <t>根据《南山招商云山海公馆(东区)施工总承包工程“5·19”一般高坠事故调查报告》，云山海公馆(东区)施工总承包工程施工单位项目负责人徐长发，未认真履行安全生产管理责任，未全面排查项目存在的安全隐患，未及时发现施工现场存在无证作业行为，对事故发生负有责任。当事人的上述行为，涉嫌违反《中华人民共和国安全生产法》第二十五条第一款第（五）项的规定。</t>
  </si>
  <si>
    <t>深南住建行罚立[2025]219号</t>
  </si>
  <si>
    <t>山海丹华府施工总承包工程项目</t>
  </si>
  <si>
    <t>曾繁平</t>
  </si>
  <si>
    <t>2025年08月26日，我局执法人员李新（19020416063）、刘百鑫（19020416059）在监督执法抽查山海丹华府施工总承包工程项目时发现，上方吊篮工程施工与下方施工人员垂直交叉作业时，下方未设置警示隔离区，存在交叉作业物体打击风险，2名吊篮工人违规踩踏吊篮防护栏杆施工作业，存在高处坠落风险，施工单位未采取措施消除事故隐患。经查，山海丹华府施工总承包项目幕墙工程的施工单位为深圳市广建装饰工程有限公司，施工单位的上述行为涉嫌违反《中华人民共和国安全生产法》第四十一条第二款的规定。</t>
  </si>
  <si>
    <t>深南住建行罚立[2025]223号</t>
  </si>
  <si>
    <t>安全生产管理人员（项目经理张念慈）未履行职责及时排查生产安全事故隐患</t>
  </si>
  <si>
    <t>招商银行总部大厦项目精装修工程（南地块2栋一单元、2栋二单元(T5)裙楼会议中心）</t>
  </si>
  <si>
    <t>张念慈</t>
  </si>
  <si>
    <t>320684198304126675</t>
  </si>
  <si>
    <t>2025年8月19日，我局执法人员在招商银行总部大厦项目精装修工程（南地块2栋一单元、2栋二单元(T5)裙楼会议中心）进行执法检查时，发现该工程T2栋19层一名接电作业工人康强未持有建筑电工特种作业人员操作资格证书，已进行上岗作业。根据《建筑施工特种作业人员管理规定》，建筑电工属于建筑施工特种作业范围，特种作业人员必须按照国家有关规定经专门的安全作业培训，取得相应资格，方可上岗作业。根据《房屋市政工程生产安全重大事故隐患判定标准（2024版）》第四条第（三）项规定：“建筑施工特种作业人员未取得有效特种作业人员操作资格证书上岗作业”属于重大事故隐患。该工程施工总承包单位安全生产管理人员（项目经理）张念慈未履行职责及时排查该生产安全事故隐患。当事人的上述行为，涉嫌违反《中华人民共和国安全生产法》第二十五条第一款第（五）项的规定。</t>
  </si>
  <si>
    <t>深南住建行罚立〔2025〕228号</t>
  </si>
  <si>
    <t>付泽正、徐彦卿（徐彦卿）</t>
  </si>
  <si>
    <t>特种作业人员未按照规定经专门的安全作业培训并取得相应资格，上岗作业-青岛尚力建达</t>
  </si>
  <si>
    <t>青岛尚力建达建设工程有限公司</t>
  </si>
  <si>
    <t>91370202MA3UFNEP8A</t>
  </si>
  <si>
    <t>邓熙麟</t>
  </si>
  <si>
    <t>2025年8月19日，我局执法人员在招商银行总部大厦项目精装修工程（南地块2栋一单元、2栋二单元(T5)裙楼会议中心）进行执法检查时，发现该工程T2栋19层一名接电作业工人康强未持有建筑电工特种作业人员操作资格证书，已进行上岗作业。根据《建筑施工特种作业人员管理规定》，建筑电工属于建筑施工特种作业范围，特种作业人员必须按照国家有关规定经专门的安全作业培训，取得相应资格，方可上岗作业。经查，该工程劳务分包单位为青岛尚力建达建设工程有限公司。施工单位的上述行为涉嫌违反《中华人民共和国安全生产法》第三十条第一款的规定。</t>
  </si>
  <si>
    <t>深南住建行罚立〔2025〕229号</t>
  </si>
  <si>
    <t>南山垃圾发电厂提升改造工程-配套回馈设施工程</t>
  </si>
  <si>
    <t>广东雍鑫建设有限公司</t>
  </si>
  <si>
    <t>精装修专业分包施工单位</t>
  </si>
  <si>
    <t>91441302MA55DP2616</t>
  </si>
  <si>
    <t>陈锡敏</t>
  </si>
  <si>
    <t>2025年09月01日，我局执法人员李新（19020416063）、刘百鑫（19020416059）监督执法抽查南山垃圾发电厂提升改造工程-配套回馈设施工程时，发现现场1#楼4层楼梯间落地式操作平台脚手板未满铺，1名工人在平台上作业，存在高坠事故隐患，施工单位未采取措施消除事故隐患。经查，南山垃圾发电厂提升改造工程-配套回馈设施工程精装修专业分包施工单位为广东雍鑫建设有限公司，施工单位的上述行为涉嫌违反《中华人民共和国安全生产法》第四十一条第二款的规定。</t>
  </si>
  <si>
    <t>深南住建行罚立[2025]237号</t>
  </si>
  <si>
    <t>杨子奇</t>
  </si>
  <si>
    <t>410522200208082219</t>
  </si>
  <si>
    <t>2025年09月02日，我局执法人员李新（19020416063）、刘百鑫（19020416059）在监督执法抽查万星林花园（二期）主体工程时，发现现场12号楼西侧首层高大模板多数立杆自由端超长，施工单位安全生产管理人员（专职安全员）杨子奇未及时排查生产安全事故隐患。当事人的上述行为，涉嫌违反《中华人民共和国安全生产法》第二十五条第一款第（五）项的规定。</t>
  </si>
  <si>
    <t>深南住建行罚立[2025]238号</t>
  </si>
  <si>
    <t>施工单位未按照规定组织危大工程验收-广东承睿</t>
  </si>
  <si>
    <t>科技产业协同创新促进中心大楼基坑支护土石方工程</t>
  </si>
  <si>
    <t>广东承睿建设有限公司</t>
  </si>
  <si>
    <t>91441602MA550LM67R</t>
  </si>
  <si>
    <t>赵钟汉</t>
  </si>
  <si>
    <t>违反条款：《危险性较大的分部分项工程安全管理规定》第二十一条第一款。处罚依据：《危险性较大的分部分项工程安全管理规定》第三十五条第三项。</t>
  </si>
  <si>
    <t>2025年8月25日，我局执法人员韩海亮（19020416008）、钱一舟（19020416064）在监督执法抽查科技产业协同创新促进中心大楼基坑支护土石方支撑梁及拆撑工程时发现，该项目现场基坑内一脚手架已搭设完成，未经过验收已进入下一道工序，该脚手架工程属于危险性较大的分部分项工程，施工单位未按照规定组织危大工程验收。经查，该项目的支撑梁及拆撑工程施工单位为广东承睿建设有限公司。涉嫌违反《危险性较大的分部分项工程安全管理规定》第二十一条第一款的规定。</t>
  </si>
  <si>
    <t>（深南住建行罚立〔2025〕 2420号）</t>
  </si>
  <si>
    <t>施工单位未按照规定组织危大工程验收（项目负责人杨志成）</t>
  </si>
  <si>
    <t>杨志成</t>
  </si>
  <si>
    <t>安全生产管理人员（项目负责人）</t>
  </si>
  <si>
    <t>430522196711234878</t>
  </si>
  <si>
    <r>
      <rPr>
        <sz val="12"/>
        <color rgb="FF000000"/>
        <rFont val="SimSun"/>
        <charset val="134"/>
      </rPr>
      <t>2025年8月25日，我局执法人员韩海亮（19020416008）、钱一舟（19020416064）在监督执法抽查科技产业协同创新促进中心大楼基坑支护土石方</t>
    </r>
    <r>
      <rPr>
        <u/>
        <sz val="12"/>
        <color rgb="FF000000"/>
        <rFont val="SimSun"/>
        <charset val="134"/>
      </rPr>
      <t>支撑梁及拆撑工程</t>
    </r>
    <r>
      <rPr>
        <sz val="12"/>
        <color rgb="FF000000"/>
        <rFont val="SimSun"/>
        <charset val="134"/>
      </rPr>
      <t>时发现，该项目现场基坑内一脚手架已搭设完成，未经过验收已进入下一道工序，该脚手架工程属于危险性较大的分部分项工程，施工单位未按照规定组织危大工程验收。经查，该项目的支撑梁及拆撑工程施工单位为广东承睿建设有限公司，当事人杨志成是广东承睿建设有限公司在科技产业协同创新促进中心大楼基坑支护土石方工程施工单位的项目经理。施工单位的上述行为涉嫌违反《危险性较大的分部分项工程安全管理规定》第二十一条第一款的规定，当事人作为项目经理应承担相应的管理责任。</t>
    </r>
  </si>
  <si>
    <t>深南住建行罚立〔2025〕 242 号</t>
  </si>
  <si>
    <t>施工单位未按照规定组织危大工程验收（项目技术负责人赵钟汉）</t>
  </si>
  <si>
    <t>安全生产管理人员（项目技术负责人）</t>
  </si>
  <si>
    <t>440524197410080018</t>
  </si>
  <si>
    <r>
      <rPr>
        <sz val="12"/>
        <color rgb="FF000000"/>
        <rFont val="SimSun"/>
        <charset val="134"/>
      </rPr>
      <t>2025年8月25日，我局执法人员韩海亮（19020416008）、钱一舟（19020416064）在监督执法抽查科技产业协同创新促进中心大楼基坑支护土石方</t>
    </r>
    <r>
      <rPr>
        <u/>
        <sz val="12"/>
        <color rgb="FF000000"/>
        <rFont val="SimSun"/>
        <charset val="134"/>
      </rPr>
      <t>支撑梁及拆撑工程</t>
    </r>
    <r>
      <rPr>
        <sz val="12"/>
        <color rgb="FF000000"/>
        <rFont val="SimSun"/>
        <charset val="134"/>
      </rPr>
      <t>时发现，该项目现场基坑内一脚手架已搭设完成，未经过验收已进入下一道工序，该脚手架工程属于危险性较大的分部分项工程，施工单位未按照规定组织危大工程验收。该项目的支撑梁及拆撑工程施工单位为广东承睿建设有限公司,当事人赵钟汉是广东承睿建设有限公司在科技产业协同创新促进中心大楼基坑支护土石方工程施工单位的项目技术负责人,施工单位的上述行为涉嫌违反《危险性较大的分部分项工程安全管理规定》第二十一条第一款的规定，当事人作为项目技术负责人应承担相应的管理责任。</t>
    </r>
  </si>
  <si>
    <t>（深南住建行罚立〔2025〕 241 号）</t>
  </si>
  <si>
    <t>前海时代项目7-2号地块幕墙工程二标段工程</t>
  </si>
  <si>
    <t>邹国宽</t>
  </si>
  <si>
    <t>210727197004155114</t>
  </si>
  <si>
    <t>2025年8月26日，我局执法人员高广君（19020416009）、朱泽汇（19020416062）在对前海时代项目7-2号地块幕墙工程二标段工程监督执法检查时发现，项目59栋3单元吊篮作业时，坠落半径内下方有作业人员，吊篮作业区域防物体打击措施不到位，存在物体打击风险的安全事故隐患，施工单位安全生产管理人员邹国宽未履行职责及时排查生产安全事故隐患。当事人的上述行为，涉嫌违反《中华人民共和国安全生产法》第二十五条第一款第（五）项的规定。</t>
  </si>
  <si>
    <t>深南住建行罚立[2025]243号</t>
  </si>
  <si>
    <t>前海听海大道（桂湾段）地下空间工程项目（前海湾站段）二期施工工程</t>
  </si>
  <si>
    <t>陈和顺</t>
  </si>
  <si>
    <t>412728199301097330</t>
  </si>
  <si>
    <t>2025年8月27日，我局执法人员高广君（19020416009）、朱泽汇（19020416062）在对前海听海大道（桂湾段）地下空间工程项目（前海湾站段）二期施工工程监督执法检查时发现，项目二区腾讯下沉广场区域临边防护缺失，存在高处坠落的安全事故隐患，施工单位安全生产管理人员陈和顺未履行职责及时排查生产安全事故隐患。当事人的上述行为，涉嫌违反《中华人民共和国安全生产法》第二十五条第一款第（五）项的规定。</t>
  </si>
  <si>
    <t>深南住建行罚立[2025]244号</t>
  </si>
  <si>
    <t>陈戈</t>
  </si>
  <si>
    <t>安全生产管理人员（安全总监）</t>
  </si>
  <si>
    <t>500228199503246317</t>
  </si>
  <si>
    <t>2025年8月27日，我局执法人员高广君（19020416009）、朱泽汇（19020416062）在对前海听海大道（桂湾段）地下空间工程项目（前海湾站段）二期施工工程监督执法检查时发现，施工现场作业脚手架防护栏杆缺失，脚手板未满铺，存在施工人员高处坠落伤害的事故隐患，施工单位安全生产管理人员陈戈未履行职责及时排查生产安全事故隐患。当事人的上述行为，涉嫌违反《中华人民共和国安全生产法》第二十五条第一款第（五）项的规定。</t>
  </si>
  <si>
    <t>深南住建行罚立[2025]245号</t>
  </si>
  <si>
    <t>元湾府（一期）主体工程</t>
  </si>
  <si>
    <t>卢帅</t>
  </si>
  <si>
    <t>372922199008034779</t>
  </si>
  <si>
    <t>2025年09月05日，我局执法人员李新（19020416063）、刘百鑫（19020416059）在监督执法抽查元湾府（一期）主体工程发现现场B栋钢筋绑扎作业面存在4名工人安全带未有效挂设，存在高坠安全事故隐患。施工单位安全生产管理人员卢帅未及时排查高处作业生产安全事故隐患。当事人的上述行为，涉嫌违反《中华人民共和国安全生产法》第二十五条第一款第（五）项的规定。</t>
  </si>
  <si>
    <t>深南住建行罚立〔2025〕248号</t>
  </si>
  <si>
    <t>安全生产管理人员未履行职责及时排查生产安全事故隐患，检查本单位的安全生产状况</t>
  </si>
  <si>
    <t>山樾湾花园施工总承包工程</t>
  </si>
  <si>
    <t>罗杰</t>
  </si>
  <si>
    <t>430725199705228010</t>
  </si>
  <si>
    <t>2025 年8月12日，我局执法人员董继峰（19020416001）、罗元（19020416058）在对山樾湾花园施工总承包工程监督执法检查时发现，1栋B座西侧吊篮施工作业下方存在未设置警戒线或安全护栏，存在上方材料坠落打击伤害人员的安全隐患，施工单位安全生产管理人员罗杰未履行职责及时排查生产安全事故隐患，检查本单位的安全生产状况。当事人的上述行为，涉嫌违反《中华人民共和国安全生产法》第二十五条第一款第（五）项的规定。</t>
  </si>
  <si>
    <t>深南住建行罚立〔2025〕246号</t>
  </si>
  <si>
    <t>智启联合广场（3栋）及地下室总承包工程</t>
  </si>
  <si>
    <t>秦旺</t>
  </si>
  <si>
    <t>142727199303011076</t>
  </si>
  <si>
    <t>2025 年8月13日，我局执法人员董继峰（19020416001）、罗元（19020416058）在对智启联合广场（3栋）及地下室总承包工程监督执法检查时发现，3栋负三层顶板板面楼梯口未安装防护栏杆，存在人员高处坠落的安全隐患，施工单位安全生产管理人员秦旺未履行职责及时排查生产安全事故隐患，检查本单位的安全生产状况。当事人的上述行为，涉嫌违反《中华人民共和国安全生产法》第二十五条第一款第（五）项的规定。</t>
  </si>
  <si>
    <t>深南住建行罚立〔2025〕247号</t>
  </si>
  <si>
    <r>
      <rPr>
        <sz val="10"/>
        <color rgb="FF000000"/>
        <rFont val="SimSun"/>
        <charset val="134"/>
      </rPr>
      <t>91</t>
    </r>
    <r>
      <rPr>
        <sz val="12"/>
        <color rgb="FF000000"/>
        <rFont val="仿宋_GB2312"/>
        <charset val="134"/>
      </rPr>
      <t>330108143250197K</t>
    </r>
  </si>
  <si>
    <t>违反条款：《危险性较大的分部分项工程安全管理规定》第十七条第三款。处罚依据：《危险性较大的分部分项工程安全管理规定》第三十五条第二项。</t>
  </si>
  <si>
    <r>
      <rPr>
        <sz val="12"/>
        <color rgb="FF333333"/>
        <rFont val="仿宋_GB2312"/>
        <charset val="134"/>
      </rPr>
      <t>2025年8月20日，我局执法人员董继峰（19020416001）、罗元（19020416058）在对普联技术有限公司T501-0091宗地项目总承包工程监督执法检查时发现，现场存在吊篮作业下方警戒隔离区设置不到位、工人进入隔离区的安全隐患，高处作业吊篮属于危险性较大的分部分项工程，该项目幕墙工程的施工单位未</t>
    </r>
    <r>
      <rPr>
        <sz val="12"/>
        <color rgb="FF018FFB"/>
        <rFont val="仿宋_GB2312"/>
        <charset val="134"/>
      </rPr>
      <t>对危大工程</t>
    </r>
    <r>
      <rPr>
        <sz val="12"/>
        <color rgb="FF333333"/>
        <rFont val="仿宋_GB2312"/>
        <charset val="134"/>
      </rPr>
      <t>进行安全巡视。经查，该项目幕墙工程的施工单位是</t>
    </r>
    <r>
      <rPr>
        <sz val="12"/>
        <color rgb="FF000000"/>
        <rFont val="仿宋_GB2312"/>
        <charset val="134"/>
      </rPr>
      <t>浙江中南建设集团有限公司</t>
    </r>
    <r>
      <rPr>
        <sz val="12"/>
        <color rgb="FF333333"/>
        <rFont val="仿宋_GB2312"/>
        <charset val="134"/>
      </rPr>
      <t>，当事人的上述行为，涉嫌违反《危险性较大的分部分项工程安全管理规定》第十七条第三款的规定。</t>
    </r>
  </si>
  <si>
    <t>深南住建行罚立[2025]249号</t>
  </si>
  <si>
    <t>余周伟</t>
  </si>
  <si>
    <t>340121199312223710</t>
  </si>
  <si>
    <r>
      <rPr>
        <sz val="12"/>
        <color rgb="FF333333"/>
        <rFont val="仿宋_GB2312"/>
        <charset val="134"/>
      </rPr>
      <t>2025年8月20日，我局执法人员董继峰（19020416001）、罗元（19020416058）在对普联技术有限公司T501-0091宗地项目总承包工程监督执法检查时发现，现场存在吊篮作业下方警戒隔离区设置不到位、工人进入隔离区的安全隐患，高处作业吊篮属于危险性较大的分部分项工程，该项目幕墙工程的施工单位未</t>
    </r>
    <r>
      <rPr>
        <sz val="12"/>
        <color rgb="FF018FFB"/>
        <rFont val="仿宋_GB2312"/>
        <charset val="134"/>
      </rPr>
      <t>对危大工程</t>
    </r>
    <r>
      <rPr>
        <sz val="12"/>
        <color rgb="FF333333"/>
        <rFont val="仿宋_GB2312"/>
        <charset val="134"/>
      </rPr>
      <t>进行安全巡视。经查，该项目幕墙工程的施工单位是</t>
    </r>
    <r>
      <rPr>
        <sz val="12"/>
        <color rgb="FF000000"/>
        <rFont val="仿宋_GB2312"/>
        <charset val="134"/>
      </rPr>
      <t>浙江中南建设集团有限公司</t>
    </r>
    <r>
      <rPr>
        <sz val="12"/>
        <color rgb="FF333333"/>
        <rFont val="仿宋_GB2312"/>
        <charset val="134"/>
      </rPr>
      <t>，</t>
    </r>
    <r>
      <rPr>
        <sz val="12"/>
        <color rgb="FF000000"/>
        <rFont val="仿宋_GB2312"/>
        <charset val="134"/>
      </rPr>
      <t>余周伟是</t>
    </r>
    <r>
      <rPr>
        <sz val="12"/>
        <color rgb="FF333333"/>
        <rFont val="仿宋_GB2312"/>
        <charset val="134"/>
      </rPr>
      <t>施工单位的项目经理。施工单位的上述行为，涉嫌违反《危险性较大的分部分项工程安全管理规定》第十七条第三款的规定，</t>
    </r>
    <r>
      <rPr>
        <sz val="12"/>
        <color rgb="FF000000"/>
        <rFont val="仿宋_GB2312"/>
        <charset val="134"/>
      </rPr>
      <t>余周伟应承担相应的管理责任</t>
    </r>
    <r>
      <rPr>
        <sz val="12"/>
        <color rgb="FF333333"/>
        <rFont val="仿宋_GB2312"/>
        <charset val="134"/>
      </rPr>
      <t>。</t>
    </r>
  </si>
  <si>
    <t>深南住建行罚立[2025]250号</t>
  </si>
  <si>
    <t>郝建</t>
  </si>
  <si>
    <t>安全生产管理人员（安全主任）</t>
  </si>
  <si>
    <t>410224200003044215</t>
  </si>
  <si>
    <r>
      <rPr>
        <sz val="12"/>
        <color rgb="FF333333"/>
        <rFont val="仿宋_GB2312"/>
        <charset val="134"/>
      </rPr>
      <t>2025年8月20日，我局执法人员董继峰（19020416001）、罗元（19020416058）在对普联技术有限公司T501-0091宗地项目总承包工程监督执法检查时发现，现场存在吊篮作业下方警戒隔离区设置不到位、工人进入隔离区的安全隐患，高处作业吊篮属于危险性较大的分部分项工程，该项目幕墙工程的施工单位未</t>
    </r>
    <r>
      <rPr>
        <sz val="12"/>
        <color rgb="FF018FFB"/>
        <rFont val="仿宋_GB2312"/>
        <charset val="134"/>
      </rPr>
      <t>对危大工程</t>
    </r>
    <r>
      <rPr>
        <sz val="12"/>
        <color rgb="FF333333"/>
        <rFont val="仿宋_GB2312"/>
        <charset val="134"/>
      </rPr>
      <t>进行安全巡视。经查，该项目幕墙工程的施工单位是</t>
    </r>
    <r>
      <rPr>
        <sz val="12"/>
        <color rgb="FF000000"/>
        <rFont val="仿宋_GB2312"/>
        <charset val="134"/>
      </rPr>
      <t>浙江中南建设集团有限公司</t>
    </r>
    <r>
      <rPr>
        <sz val="12"/>
        <color rgb="FF333333"/>
        <rFont val="仿宋_GB2312"/>
        <charset val="134"/>
      </rPr>
      <t>，</t>
    </r>
    <r>
      <rPr>
        <sz val="12"/>
        <color rgb="FF000000"/>
        <rFont val="仿宋_GB2312"/>
        <charset val="134"/>
      </rPr>
      <t>郝建是</t>
    </r>
    <r>
      <rPr>
        <sz val="12"/>
        <color rgb="FF333333"/>
        <rFont val="仿宋_GB2312"/>
        <charset val="134"/>
      </rPr>
      <t>施工单位的安全主任。施工单位的上述行为，涉嫌违反《危险性较大的分部分项工程安全管理规定》第十七条第三款的规定，</t>
    </r>
    <r>
      <rPr>
        <sz val="12"/>
        <color rgb="FF000000"/>
        <rFont val="仿宋_GB2312"/>
        <charset val="134"/>
      </rPr>
      <t>郝建应承担相应的管理责任</t>
    </r>
    <r>
      <rPr>
        <sz val="12"/>
        <color rgb="FF333333"/>
        <rFont val="仿宋_GB2312"/>
        <charset val="134"/>
      </rPr>
      <t>。</t>
    </r>
  </si>
  <si>
    <t>深南住建行罚立[2025]251号</t>
  </si>
  <si>
    <r>
      <rPr>
        <sz val="12"/>
        <color rgb="FF000000"/>
        <rFont val="SimSun"/>
        <charset val="134"/>
      </rPr>
      <t>安全生产管理人员未履行职责</t>
    </r>
    <r>
      <rPr>
        <sz val="12"/>
        <color rgb="FF000000"/>
        <rFont val="仿宋_GB2312"/>
        <charset val="134"/>
      </rPr>
      <t>及时排查生产安全事故隐患</t>
    </r>
  </si>
  <si>
    <t>天源华府</t>
  </si>
  <si>
    <t>蒋飞跃</t>
  </si>
  <si>
    <t>512926197005075877</t>
  </si>
  <si>
    <r>
      <rPr>
        <sz val="12"/>
        <color rgb="FF333333"/>
        <rFont val="仿宋_GB2312"/>
        <charset val="134"/>
      </rPr>
      <t>2025年9月5日，我局执法人员高广君（19020416009）、朱泽汇（19020416062）在对天源华府监督执法检查时发现，施工现场3号楼4层至5层楼梯间休息平台临边防护缺失，存在施工人员高处坠落伤害的事故隐患，施工单位安全生产管理人员</t>
    </r>
    <r>
      <rPr>
        <sz val="12"/>
        <color rgb="FF000000"/>
        <rFont val="仿宋_GB2312"/>
        <charset val="134"/>
      </rPr>
      <t>蒋飞跃</t>
    </r>
    <r>
      <rPr>
        <sz val="12"/>
        <color rgb="FF333333"/>
        <rFont val="仿宋_GB2312"/>
        <charset val="134"/>
      </rPr>
      <t>未履行职</t>
    </r>
    <r>
      <rPr>
        <sz val="12"/>
        <color rgb="FF000000"/>
        <rFont val="仿宋_GB2312"/>
        <charset val="134"/>
      </rPr>
      <t>责及时排查生产安全事故隐患。当事人的上述行为，涉嫌违反《中华</t>
    </r>
    <r>
      <rPr>
        <sz val="12"/>
        <color rgb="FF333333"/>
        <rFont val="仿宋_GB2312"/>
        <charset val="134"/>
      </rPr>
      <t>人民共和国安全生产法》第二十五条第一款第（五）项的规定。</t>
    </r>
  </si>
  <si>
    <t>深南住建行罚立[2025]257号</t>
  </si>
  <si>
    <t>前海综合交通枢纽及上盖物业项目±0.00以下土建工程-变电站及土建预留工程</t>
  </si>
  <si>
    <t>方文</t>
  </si>
  <si>
    <t>230523200108010413</t>
  </si>
  <si>
    <r>
      <rPr>
        <sz val="12"/>
        <color rgb="FF333333"/>
        <rFont val="仿宋_GB2312"/>
        <charset val="134"/>
      </rPr>
      <t>2025年9月5日，我局执法人员高广君（19020416009）、朱泽汇（19020416062）在对前海综合交通枢纽及上盖物业项目±0.00以下土建工程-变电站及土建预留工程监督执法检查时发现，施工现场北区西侧负一层支撑脚手架存在斜拉杆和水平杆缺失的现象，存在局部坍塌的安全事故隐患，施工单位安全生产管理人员</t>
    </r>
    <r>
      <rPr>
        <sz val="12"/>
        <color rgb="FF000000"/>
        <rFont val="仿宋_GB2312"/>
        <charset val="134"/>
      </rPr>
      <t>方文</t>
    </r>
    <r>
      <rPr>
        <sz val="12"/>
        <color rgb="FF333333"/>
        <rFont val="仿宋_GB2312"/>
        <charset val="134"/>
      </rPr>
      <t>未履行职</t>
    </r>
    <r>
      <rPr>
        <sz val="12"/>
        <color rgb="FF000000"/>
        <rFont val="仿宋_GB2312"/>
        <charset val="134"/>
      </rPr>
      <t>责及时排查生产安全事故隐患。当事人的上述行为，涉嫌违反《中华</t>
    </r>
    <r>
      <rPr>
        <sz val="12"/>
        <color rgb="FF333333"/>
        <rFont val="仿宋_GB2312"/>
        <charset val="134"/>
      </rPr>
      <t>人民共和国安全生产法》第二十五条第一款第（五）项的规定。</t>
    </r>
  </si>
  <si>
    <t>深南住建行罚立[2025]258号</t>
  </si>
  <si>
    <t>腾创未来项目主体工程</t>
  </si>
  <si>
    <t>2025年9月8日，我局执法人员钱一舟（19020416064）、韩海亮（19020416008）在监督执法抽查腾创未来项目主体工程时发现该工程2栋地下室负二层一名正在进行焊接作业的工人陈德康未经专门的安全作业培训并取得相应资格，上岗作业。经查，当事人贵阳德逊劳务有限公司为该项目的专业分包单位，陈德康是贵阳德逊劳务有限公司的焊接工人。当事人的上述行为涉嫌违反《中华人民共和国安全生产法》第三十条第一款的规定。</t>
  </si>
  <si>
    <t>深南住建行罚立[2025]259号</t>
  </si>
  <si>
    <t>深圳市科苑大道地下空间综合开发主体工程基坑与土石方、桩基础工程</t>
  </si>
  <si>
    <t>深圳市工勘基础工程有限公司</t>
  </si>
  <si>
    <t>基坑支护工程专业分包施工单位</t>
  </si>
  <si>
    <t>91440300792597385T</t>
  </si>
  <si>
    <t>莫森升</t>
  </si>
  <si>
    <t>2025年9月9日，我局执法人员钱一舟（19020416064）、韩海亮（19020416008）在监督执法抽查深圳市科苑大道地下空间综合开发主体工程基坑与土石方、桩基础工程时发现该工程围挡边一名正在进行捆绑挂钩作业的工人陈冠忠未经专门的安全作业培训并取得相应资格，上岗作业。经查，当事人深圳市工勘基础工程有限公司为该项目的专业分包单位，陈冠忠是深圳市工勘基础工程有限公司的工人。当事人的上述行为涉嫌违反《中华人民共和国安全生产法》第三十条第一款的规定。</t>
  </si>
  <si>
    <t>深南住建行罚立[2025]260号</t>
  </si>
  <si>
    <t>后海沄玺花园（一期）主体工程支撑梁表面清理及装饰工程</t>
  </si>
  <si>
    <t>深圳中易安建设有限公司</t>
  </si>
  <si>
    <t>支撑梁表面清理及装饰工程专业分包施工单位</t>
  </si>
  <si>
    <t>914403003985445929</t>
  </si>
  <si>
    <t>陈文广</t>
  </si>
  <si>
    <t>2025年8月30日，我局执法人员韩海亮（19020416008）、钱一舟（19020416064）在监督执法抽查后海沄玺花园（一期）主体工程时发现，现场存在以下隐患：施工单位在工地西侧围挡边使用一挖机吊运材料，吊运所用钢丝绳已严重锈蚀、散股、断丝，达到《GB/T 5972-2023》的报废标准，存在发生断裂导致吊物坠落的安全隐患。经查，后海沄玺花园（一期）主体工程支撑梁表面清理及装饰工程的专业分包施工单位为深圳中易安建设有限公司。施工单位深圳中易安建设有限公司存在未采取措施消除事故隐患的违法行为，涉嫌违反《中华人民共和国安全生产法》第四十一条第二款的规定。</t>
  </si>
  <si>
    <t>深南住建行罚立[2025]261号</t>
  </si>
  <si>
    <t>广东珍浩园林建设工程有限公司</t>
  </si>
  <si>
    <t>园林专业分包施工单位</t>
  </si>
  <si>
    <t>914403007741265981</t>
  </si>
  <si>
    <t>唐思化</t>
  </si>
  <si>
    <t>2025 年9月9日，我局执法人员董继峰（19020416001）、罗元（19020416058）在对柏悦湾商务中心主体工程监督执法检查时发现，园林专业分包施工单位广东珍浩园林建设工程有限公司现场违规采用挖掘机进行吊运作业，施工单位未采取措施消除事故隐患。当事人的上述行为，涉嫌违反《中华人民共和国安全生产法》第四十一条第二款的规定。</t>
  </si>
  <si>
    <t>深南住建行罚立[2025]263号</t>
  </si>
  <si>
    <t>上海市建设工程监理咨询有限公司</t>
  </si>
  <si>
    <t>自贸时代中心项目T3塔楼及裙楼幕墙工程</t>
  </si>
  <si>
    <t>91310230631413987X</t>
  </si>
  <si>
    <t>违反条款：《危险性较大的分部分项工程安全管理规定》第十八条。处罚依据：《危险性较大的分部分项工程安全管理规定》第三十七条第二项。</t>
  </si>
  <si>
    <t>2025年9月12日，我局执法人员宗海根（19020416004）、徐彦卿（19020416076）在对自贸时代中心项目T3塔楼及裙楼幕墙工程监督执法检查时发现，T3塔楼建筑幕墙安装工程属于危险性较大的分部分项工程，监理单位上海市建设工程监理咨询有限公司未按规定对危大工程施工实施专项巡视检查。经查，该项目的监理单位为上海市建设工程监理咨询有限公司，当事人的上述行为，涉嫌违反《危险性较大的分部分项工程安全管理规定》第十八条的规定。</t>
  </si>
  <si>
    <t>深南住建行罚立[2025]264号</t>
  </si>
  <si>
    <t>宗海根、徐彦卿（徐彦卿）</t>
  </si>
  <si>
    <t>游建波</t>
  </si>
  <si>
    <t>432322197504276616</t>
  </si>
  <si>
    <r>
      <rPr>
        <sz val="12"/>
        <rFont val="宋体"/>
        <charset val="134"/>
      </rPr>
      <t>202</t>
    </r>
    <r>
      <rPr>
        <sz val="12"/>
        <color rgb="FF333333"/>
        <rFont val="仿宋_GB2312"/>
        <charset val="134"/>
      </rPr>
      <t>5年9月12日，</t>
    </r>
    <r>
      <rPr>
        <sz val="12"/>
        <rFont val="仿宋_GB2312"/>
        <charset val="134"/>
      </rPr>
      <t>我局执法人员宗海根（19020416004）、徐彦卿</t>
    </r>
    <r>
      <rPr>
        <sz val="12"/>
        <color rgb="FF333333"/>
        <rFont val="仿宋_GB2312"/>
        <charset val="134"/>
      </rPr>
      <t>（19020416076）</t>
    </r>
    <r>
      <rPr>
        <sz val="12"/>
        <color rgb="FF333333"/>
        <rFont val="仿宋_GB2312"/>
        <charset val="134"/>
      </rPr>
      <t>在对</t>
    </r>
    <r>
      <rPr>
        <sz val="12"/>
        <rFont val="仿宋_GB2312"/>
        <charset val="134"/>
      </rPr>
      <t>自贸时代中心项目T3塔楼及裙楼幕墙工程</t>
    </r>
    <r>
      <rPr>
        <sz val="12"/>
        <color rgb="FF333333"/>
        <rFont val="仿宋_GB2312"/>
        <charset val="134"/>
      </rPr>
      <t>监督执法检查时发现，</t>
    </r>
    <r>
      <rPr>
        <sz val="12"/>
        <rFont val="仿宋_GB2312"/>
        <charset val="134"/>
      </rPr>
      <t>T3塔楼</t>
    </r>
    <r>
      <rPr>
        <sz val="12"/>
        <color rgb="FF333333"/>
        <rFont val="仿宋_GB2312"/>
        <charset val="134"/>
      </rPr>
      <t>建筑幕墙安装工程属于危险性较大的分部分项工程，监理单位上海市建设工程监理咨询有限公司未按规定对危大工程施工实施专项巡视检查。经查，该项目的监理单</t>
    </r>
    <r>
      <rPr>
        <sz val="12"/>
        <color rgb="FF333333"/>
        <rFont val="仿宋_GB2312"/>
        <charset val="134"/>
      </rPr>
      <t>位为</t>
    </r>
    <r>
      <rPr>
        <sz val="12"/>
        <color rgb="FF333333"/>
        <rFont val="仿宋_GB2312"/>
        <charset val="134"/>
      </rPr>
      <t>上海市建设工程监理咨询有限公司，</t>
    </r>
    <r>
      <rPr>
        <sz val="12"/>
        <color rgb="FF333333"/>
        <rFont val="仿宋_GB2312"/>
        <charset val="134"/>
      </rPr>
      <t>总监理工程师为</t>
    </r>
    <r>
      <rPr>
        <sz val="12"/>
        <color rgb="FF333333"/>
        <rFont val="仿宋_GB2312"/>
        <charset val="134"/>
      </rPr>
      <t>游建波</t>
    </r>
    <r>
      <rPr>
        <sz val="12"/>
        <color rgb="FF333333"/>
        <rFont val="仿宋_GB2312"/>
        <charset val="134"/>
      </rPr>
      <t>。</t>
    </r>
    <r>
      <rPr>
        <sz val="12"/>
        <color rgb="FF333333"/>
        <rFont val="仿宋_GB2312"/>
        <charset val="134"/>
      </rPr>
      <t>施工单位的上述行为，涉嫌违反《危险性较大的分部分项工程安全管理规定》第十八条的规定，游建波作为总监理工程师应承担相应的管理责任。</t>
    </r>
  </si>
  <si>
    <t>深南住建行罚立[2025]265号</t>
  </si>
  <si>
    <t>监理单位未对危大工程施工实施专项巡视检查（专业监理工程师）</t>
  </si>
  <si>
    <t>任治宇</t>
  </si>
  <si>
    <t>专业监理工程师</t>
  </si>
  <si>
    <t>51072319911028191X</t>
  </si>
  <si>
    <t>2025年9月12日，我局执法人员宗海根（19020416004）、徐彦卿（19020416076）在对自贸时代中心项目T3塔楼及裙楼幕墙工程监督执法检查时发现，T3塔楼建筑幕墙安装工程属于危险性较大的分部分项工程，监理单位上海市建设工程监理咨询有限公司未按规定对危大工程施工实施专项巡视检查。经查，该项目的监理单位为上海市建设工程监理咨询有限公司，专业监理工程师为任治宇。监理单位的上述行为，涉嫌违反《危险性较大的分部分项工程安全管理规定》第十八条的规定。当事人作为专业监理工程师应承担相应的管理责任。</t>
  </si>
  <si>
    <t>深南住建行罚立[2025]266号</t>
  </si>
  <si>
    <t>施工企业</t>
  </si>
  <si>
    <t>2025年9月12日，我局执法人员宗海根（19020416004）、徐彦卿（19020416076）在对自贸时代中心项目T3塔楼及裙楼幕墙工程监督执法检查时发现，T3塔楼建筑幕墙安装工程属于危险性较大的分部分项工程，该项目的施工单位未对危大工程进行安全巡视。经查，该项目的施工单位是广州江河幕墙系统工程有限公司，当事人的上述行为，涉嫌违反《危险性较大的分部分项工程安全管理规定》第十七条第三款的规定。</t>
  </si>
  <si>
    <t>深南住建行罚立[2025]267号</t>
  </si>
  <si>
    <t>程友林</t>
  </si>
  <si>
    <t>362334199611194014</t>
  </si>
  <si>
    <t>2025年9月12日，我局执法人员宗海根（19020416004）、徐彦卿（19020416076）在对自贸时代中心项目T3塔楼及裙楼幕墙工程监督执法检查时发现，T3塔楼建筑幕墙安装工程属于危险性较大的分部分项工程，该项目的施工单位未对危大工程进行安全巡视。经查，该项目幕墙工程的施工单位是广州江河幕墙系统工程有限公司，程友林是施工单位的项目经理。当事人的上述行为，涉嫌违反《危险性较大的分部分项工程安全管理规定》第十七条第三款的规定。</t>
  </si>
  <si>
    <t>深南住建行罚立[2025]268号</t>
  </si>
  <si>
    <t>李申申</t>
  </si>
  <si>
    <t>412724199310016939</t>
  </si>
  <si>
    <t>2025年9月12日，我局执法人员宗海根（19020416004）、徐彦卿（19020416076）在对自贸时代中心项目T3塔楼及裙楼幕墙工程监督执法检查时发现，T3塔楼建筑幕墙安装工程属于危险性较大的分部分项工程，该项目的施工单位未对危大工程进行安全巡视。经查，该项目幕墙工程的施工单位是广州江河幕墙系统工程有限公司，李申申是施工单位的专职安全员。施工单位的上述行为，涉嫌违反《危险性较大的分部分项工程安全管理规定》第十七条第三款的规定。当事人李申申作为直接负责的主管人员（专职安全员）应承担相应的管理责任。</t>
  </si>
  <si>
    <t>深南住建行罚立[2025]269号</t>
  </si>
  <si>
    <t>深圳湾超级总部基地片区市政交通基础设施项目1标（EPC总承包）</t>
  </si>
  <si>
    <t>2025年9月9日，我局执法人员付泽正（19020416002）、米兰（19020416067）在对深圳湾超级总部基地片区市政交通基础设施项目1标（EPC总承包）进行检查时发现，该项目在深湾支二街基坑内地连墙侧边粘接的泥土块未清理，有作业人员在物体打击半径范围内施工作业，存在物体打击伤人的安全隐患。施工单位安全生产管理人员（项目经理）畅东东未履行职责及时排查生产安全事故隐患，未检查本单位的安全生产状况。当事人的上述行为，涉嫌违反《中华人民共和国安全生产法》第二十五条第一款第（五）项的规定。</t>
  </si>
  <si>
    <t>深南住建行罚立[2025]272号</t>
  </si>
  <si>
    <t>陈家晋</t>
  </si>
  <si>
    <t>211403199406300014</t>
  </si>
  <si>
    <t>2025年9月9日，我局执法人员付泽正（19020416002）、米兰（19020416067）在对深圳湾超级总部基地片区市政交通基础设施项目1标（EPC总承包）工程监督执法检查时发现，该工程存在以下安全隐患：该项目在深湾支二街基坑内地连墙侧边粘接的泥土块未清理，有作业人员在物体打击半径范围内施工作业，存在物体打击伤人的安全隐患。施工单位安全生产管理人员（安全员）陈家晋未履行职责及时排查生产安全事故隐患，未检查本单位的安全生产状况。当事人的上述行为，涉嫌违反《中华人民共和国安全生产法》第二十五条第一款第（五）项的规定。</t>
  </si>
  <si>
    <t>深南住建行罚立[2025]273号</t>
  </si>
  <si>
    <t>违反条款：《深圳经济特区建设工程监理条例》第三十七条。处罚依据：《深圳经济特区建设工程监理条例》第四十五条第三项。</t>
  </si>
  <si>
    <t>2025年9月9日，我局执法人员付泽正（19020416002）、米兰（19020416067）在监督执法抽查深圳湾超级总部基地片区市政交通基础设施项目1标（EPC总承包）工程项目时发现存在以下安全隐患：该项目在深湾支二街基坑内地连墙侧边粘接的泥土块未清理，有作业人员在物体打击半径范围内施工作业，存在物体打击伤人的安全隐患。监理单位总监理工程师对工程建设中存在质量或者施工安全隐患以及违法行为的，未采取措施制止。经查，该项目监理单位为上海建科工程咨询有限公司，黄贤坤为该项目监理单位总监理工程师。总监理工程师黄贤坤的上述行为涉嫌违反《深圳经济特区建设工程监理条例》第三十七条的规定。</t>
  </si>
  <si>
    <t>深南住建行罚立[2025]274号</t>
  </si>
  <si>
    <t>深圳市安创建设工程有限公司</t>
  </si>
  <si>
    <t>91440300MA5DRCCT1C</t>
  </si>
  <si>
    <t>2025年9月9日，我局执法人员付泽正（19020416002）、米兰（19020416067）在监督执法抽查深圳湾超级总部基地片区市政交通基础设施项目1标（EPC总承包）桩基及基坑支护工程时发现，现场存在以下隐患：该项目在深湾支二街基坑内地连墙侧边粘接的泥土块未清理，有作业人员在物体打击半径范围内施工作业，存在物体打击伤人的安全隐患。经查，深圳湾超级总部基地片区市政交通基础设施项目1标（EPC总承包）土石方专业分包的施工单位为深圳市安创建设工程有限公司。施工单位深圳市安创建设工程有限公司存在未采取措施消除事故隐患的行为，涉嫌违反《中华人民共和国安全生产法》第四十一条第二款的规定。</t>
  </si>
  <si>
    <t>深南住建行罚立[2025]275号</t>
  </si>
  <si>
    <t>2025年10月17日，我局执法人员李新（19020416063）、刘百鑫（19020416059）在监督执法抽查四海名邸总承包工程项目幕墙工程时发现，上方吊篮工程施工与下方施工人员垂直交叉作业时，下方未设置警示隔离区，存在交叉作业物体打击风险，施工单位未采取措施消除上述事故隐患。经查，四海名邸总承包工程项目幕墙工程的施工单位为深圳市大地幕墙科技有限公司，施工单位的上述行为涉嫌违反《中华人民共和国安全生产法》第四十一条第二款的规定。</t>
  </si>
  <si>
    <t>深南住建行罚立[2025]278号</t>
  </si>
  <si>
    <t>2025年10月17日，我局执法人员李新（19020416063）、刘百鑫（19020416059）在监督执法抽查四海名邸总承包工程时发现，现场2号楼、3号楼连廊钢结构操作平台已搭设完成，未经过验收已进入下一道工序，该操作平台属于危险性较大的分部分项工程，施工单位未按照规定组织危大工程验收。经查，四海名邸总承包工程的施工单位为四川广厦建筑工程有限公司，施工单位的上述行为涉嫌违反《危险性较大的分部分项工程安全管理规定》第二十一条第一款的规定。</t>
  </si>
  <si>
    <t>深南住建行罚立[2025]280号</t>
  </si>
  <si>
    <t>刘志权</t>
  </si>
  <si>
    <t>440681199304274216</t>
  </si>
  <si>
    <t>2025年10月17日，我局执法人员李新（19020416063）、刘百鑫（19020416059）在监督执法抽查四海名邸总承包工程时发现，现场2号楼、3号楼连廊钢结构操作平台已搭设完成，未经过验收已进入下一道工序，该操作平台属于危险性较大的分部分项工程，施工单位未按照规定组织危大工程验收。经查，该项目施工单位为四川广厦建筑工程有限公司，当事人刘志权是四川广厦建筑工程有限公司在四海名邸总承包工程施工单位的项目技术负责人。施工单位涉嫌违反《危险性较大的分部分项工程安全管理规定》第二十一条第一款的规定，刘志权应承担相应的管理责任。</t>
  </si>
  <si>
    <t>深南住建行罚立[2025]283号</t>
  </si>
  <si>
    <t>2025年10月17日，我局执法人员李新（19020416063）、刘百鑫（19020416059）在监督执法抽查四海名邸总承包工程时发现，现场2号楼、3号楼连廊钢结构操作平台已搭设完成，未经过验收已进入下一道工序，该操作平台属于危险性较大的分部分项工程，施工单位未按照规定组织危大工程验收。经查，该项目施工单位为四川广厦建筑工程有限公司，当事人丁涛是四川广厦建筑工程有限公司在四海名邸总承包工程施工单位的项目经理。施工单位涉嫌违反《危险性较大的分部分项工程安全管理规定》第二十一条第一款的规定，丁涛应承担相应的管理责任。</t>
  </si>
  <si>
    <t>深南住建行罚立[2025]284号</t>
  </si>
  <si>
    <t>四川中旭安建筑工程有限公司</t>
  </si>
  <si>
    <t>南山区百旺品质化提升综合整治公共工程</t>
  </si>
  <si>
    <t>91511321MA68B6DM4U</t>
  </si>
  <si>
    <r>
      <t>202</t>
    </r>
    <r>
      <rPr>
        <sz val="10"/>
        <color rgb="FF000000"/>
        <rFont val="宋体"/>
        <charset val="134"/>
      </rPr>
      <t>5年</t>
    </r>
    <r>
      <rPr>
        <sz val="12"/>
        <color rgb="FF333333"/>
        <rFont val="仿宋_GB2312"/>
        <charset val="134"/>
      </rPr>
      <t>9</t>
    </r>
    <r>
      <rPr>
        <sz val="10"/>
        <color rgb="FF000000"/>
        <rFont val="宋体"/>
        <charset val="134"/>
      </rPr>
      <t>月16日，</t>
    </r>
    <r>
      <rPr>
        <sz val="12"/>
        <color rgb="FF333333"/>
        <rFont val="仿宋_GB2312"/>
        <charset val="134"/>
      </rPr>
      <t>我局</t>
    </r>
    <r>
      <rPr>
        <sz val="10"/>
        <color rgb="FF000000"/>
        <rFont val="宋体"/>
        <charset val="134"/>
      </rPr>
      <t>执法人员董继峰（19020416001）、</t>
    </r>
    <r>
      <rPr>
        <sz val="12"/>
        <color rgb="FF333333"/>
        <rFont val="仿宋_GB2312"/>
        <charset val="134"/>
      </rPr>
      <t>罗元</t>
    </r>
    <r>
      <rPr>
        <sz val="10"/>
        <color rgb="FF000000"/>
        <rFont val="宋体"/>
        <charset val="134"/>
      </rPr>
      <t>（19020416058）</t>
    </r>
    <r>
      <rPr>
        <sz val="12"/>
        <color rgb="FF333333"/>
        <rFont val="仿宋_GB2312"/>
        <charset val="134"/>
      </rPr>
      <t>在对南山区百旺品质化提升综合整治公共工程施工总承包项目装饰装修工程</t>
    </r>
    <r>
      <rPr>
        <sz val="10"/>
        <color rgb="FF000000"/>
        <rFont val="宋体"/>
        <charset val="134"/>
      </rPr>
      <t>监督执法检查时发现，</t>
    </r>
    <r>
      <rPr>
        <sz val="12"/>
        <color rgb="FF333333"/>
        <rFont val="仿宋_GB2312"/>
        <charset val="134"/>
      </rPr>
      <t>该工地现场南99栋东侧外脚手架第二步架脚手板内侧存在临边防护不到位的安全事故隐患</t>
    </r>
    <r>
      <rPr>
        <sz val="10"/>
        <color rgb="FF000000"/>
        <rFont val="宋体"/>
        <charset val="134"/>
      </rPr>
      <t>，施工单位四川中旭安建筑工程有限公司未采取措施消除事故隐患。当事人的上述行为，涉嫌违反《中华人民共和国安全生产法》第四十一条第二款的规定。</t>
    </r>
  </si>
  <si>
    <t>深南住建行罚立[2025]279号</t>
  </si>
</sst>
</file>

<file path=xl/styles.xml><?xml version="1.0" encoding="utf-8"?>
<styleSheet xmlns="http://schemas.openxmlformats.org/spreadsheetml/2006/main">
  <numFmts count="8">
    <numFmt numFmtId="176" formatCode="yyyy&quot;年&quot;m&quot;月&quot;d&quot;日&quot;;@"/>
    <numFmt numFmtId="177" formatCode="#,##0.0000_);[Red]\(#,##0.0000\)"/>
    <numFmt numFmtId="178" formatCode="0.000000_);[Red]\(0.000000\)"/>
    <numFmt numFmtId="41" formatCode="_ * #,##0_ ;_ * \-#,##0_ ;_ * &quot;-&quot;_ ;_ @_ "/>
    <numFmt numFmtId="42" formatCode="_ &quot;￥&quot;* #,##0_ ;_ &quot;￥&quot;* \-#,##0_ ;_ &quot;￥&quot;* &quot;-&quot;_ ;_ @_ "/>
    <numFmt numFmtId="43" formatCode="_ * #,##0.00_ ;_ * \-#,##0.00_ ;_ * &quot;-&quot;??_ ;_ @_ "/>
    <numFmt numFmtId="179" formatCode="yyyy/m/d;@"/>
    <numFmt numFmtId="44" formatCode="_ &quot;￥&quot;* #,##0.00_ ;_ &quot;￥&quot;* \-#,##0.00_ ;_ &quot;￥&quot;* &quot;-&quot;??_ ;_ @_ "/>
  </numFmts>
  <fonts count="60">
    <font>
      <sz val="12"/>
      <name val="宋体"/>
      <charset val="134"/>
    </font>
    <font>
      <b/>
      <sz val="22"/>
      <name val="宋体"/>
      <charset val="134"/>
    </font>
    <font>
      <sz val="12"/>
      <name val="黑体"/>
      <charset val="134"/>
    </font>
    <font>
      <b/>
      <sz val="22"/>
      <name val="黑体"/>
      <charset val="134"/>
    </font>
    <font>
      <sz val="12"/>
      <name val="楷体_GB2312"/>
      <charset val="134"/>
    </font>
    <font>
      <b/>
      <sz val="12"/>
      <name val="楷体_GB2312"/>
      <charset val="134"/>
    </font>
    <font>
      <sz val="12"/>
      <color rgb="FF000000"/>
      <name val="宋体"/>
      <charset val="134"/>
    </font>
    <font>
      <sz val="12"/>
      <color rgb="FF000000"/>
      <name val="SimSun"/>
      <charset val="134"/>
    </font>
    <font>
      <sz val="12"/>
      <name val="Arial"/>
      <charset val="134"/>
    </font>
    <font>
      <sz val="11"/>
      <name val="宋体"/>
      <charset val="134"/>
    </font>
    <font>
      <sz val="10"/>
      <color rgb="FF000000"/>
      <name val="宋体"/>
      <charset val="134"/>
    </font>
    <font>
      <sz val="12"/>
      <color rgb="FF000000"/>
      <name val="Arial"/>
      <charset val="134"/>
    </font>
    <font>
      <sz val="12"/>
      <color rgb="FF000000"/>
      <name val="仿宋_GB2312"/>
      <charset val="134"/>
    </font>
    <font>
      <sz val="10"/>
      <color rgb="FF000000"/>
      <name val="Microsoft YaHei"/>
      <charset val="134"/>
    </font>
    <font>
      <sz val="12"/>
      <color rgb="FF333333"/>
      <name val="仿宋_GB2312"/>
      <charset val="134"/>
    </font>
    <font>
      <sz val="12"/>
      <color rgb="FF333333"/>
      <name val="SimSun"/>
      <charset val="134"/>
    </font>
    <font>
      <sz val="10"/>
      <color rgb="FF000000"/>
      <name val="SimSun"/>
      <charset val="134"/>
    </font>
    <font>
      <sz val="12"/>
      <color rgb="FF000000"/>
      <name val="仿宋"/>
      <charset val="134"/>
    </font>
    <font>
      <sz val="12"/>
      <color rgb="FF000000"/>
      <name val="Microsoft YaHei"/>
      <charset val="134"/>
    </font>
    <font>
      <sz val="14"/>
      <color rgb="FF333333"/>
      <name val="仿宋_GB2312"/>
      <charset val="134"/>
    </font>
    <font>
      <sz val="11"/>
      <color rgb="FF000000"/>
      <name val="宋体"/>
      <charset val="134"/>
    </font>
    <font>
      <sz val="10.5"/>
      <color rgb="FF000000"/>
      <name val="方正书宋_GBK"/>
      <charset val="134"/>
    </font>
    <font>
      <sz val="10"/>
      <color rgb="FF000000"/>
      <name val="Arial"/>
      <charset val="134"/>
    </font>
    <font>
      <sz val="10.5"/>
      <color rgb="FF000000"/>
      <name val="Arial"/>
      <charset val="134"/>
    </font>
    <font>
      <b/>
      <sz val="12"/>
      <name val="宋体"/>
      <charset val="134"/>
    </font>
    <font>
      <sz val="22"/>
      <name val="黑体"/>
      <charset val="134"/>
    </font>
    <font>
      <b/>
      <sz val="12"/>
      <color rgb="FFFF0000"/>
      <name val="楷体_GB2312"/>
      <charset val="134"/>
    </font>
    <font>
      <b/>
      <sz val="20"/>
      <color rgb="FFFF0000"/>
      <name val="楷体_GB2312"/>
      <charset val="134"/>
    </font>
    <font>
      <sz val="12"/>
      <color rgb="FFFF0000"/>
      <name val="楷体_GB2312"/>
      <charset val="134"/>
    </font>
    <font>
      <sz val="12"/>
      <color rgb="FFFF0000"/>
      <name val="宋体"/>
      <charset val="134"/>
    </font>
    <font>
      <b/>
      <sz val="12"/>
      <color rgb="FFFF0000"/>
      <name val="宋体"/>
      <charset val="134"/>
    </font>
    <font>
      <sz val="11"/>
      <color theme="1"/>
      <name val="宋体"/>
      <charset val="0"/>
      <scheme val="minor"/>
    </font>
    <font>
      <sz val="11"/>
      <color rgb="FFFF0000"/>
      <name val="宋体"/>
      <charset val="0"/>
      <scheme val="minor"/>
    </font>
    <font>
      <sz val="11"/>
      <color theme="0"/>
      <name val="宋体"/>
      <charset val="0"/>
      <scheme val="minor"/>
    </font>
    <font>
      <b/>
      <sz val="11"/>
      <color theme="1"/>
      <name val="宋体"/>
      <charset val="0"/>
      <scheme val="minor"/>
    </font>
    <font>
      <sz val="11"/>
      <color rgb="FFFA7D00"/>
      <name val="宋体"/>
      <charset val="0"/>
      <scheme val="minor"/>
    </font>
    <font>
      <b/>
      <sz val="11"/>
      <color theme="3"/>
      <name val="宋体"/>
      <charset val="134"/>
      <scheme val="minor"/>
    </font>
    <font>
      <b/>
      <sz val="13"/>
      <color theme="3"/>
      <name val="宋体"/>
      <charset val="134"/>
      <scheme val="minor"/>
    </font>
    <font>
      <sz val="11"/>
      <color theme="1"/>
      <name val="宋体"/>
      <charset val="134"/>
      <scheme val="minor"/>
    </font>
    <font>
      <sz val="11"/>
      <color rgb="FF006100"/>
      <name val="宋体"/>
      <charset val="0"/>
      <scheme val="minor"/>
    </font>
    <font>
      <sz val="11"/>
      <color rgb="FF9C6500"/>
      <name val="宋体"/>
      <charset val="0"/>
      <scheme val="minor"/>
    </font>
    <font>
      <u/>
      <sz val="11"/>
      <color rgb="FF0000FF"/>
      <name val="宋体"/>
      <charset val="0"/>
      <scheme val="minor"/>
    </font>
    <font>
      <sz val="11"/>
      <color rgb="FF3F3F76"/>
      <name val="宋体"/>
      <charset val="0"/>
      <scheme val="minor"/>
    </font>
    <font>
      <u/>
      <sz val="11"/>
      <color rgb="FF800080"/>
      <name val="宋体"/>
      <charset val="0"/>
      <scheme val="minor"/>
    </font>
    <font>
      <b/>
      <sz val="18"/>
      <color theme="3"/>
      <name val="宋体"/>
      <charset val="134"/>
      <scheme val="minor"/>
    </font>
    <font>
      <b/>
      <sz val="11"/>
      <color rgb="FFFFFFFF"/>
      <name val="宋体"/>
      <charset val="0"/>
      <scheme val="minor"/>
    </font>
    <font>
      <b/>
      <sz val="15"/>
      <color theme="3"/>
      <name val="宋体"/>
      <charset val="134"/>
      <scheme val="minor"/>
    </font>
    <font>
      <b/>
      <sz val="11"/>
      <color rgb="FF3F3F3F"/>
      <name val="宋体"/>
      <charset val="0"/>
      <scheme val="minor"/>
    </font>
    <font>
      <b/>
      <sz val="11"/>
      <color rgb="FFFA7D00"/>
      <name val="宋体"/>
      <charset val="0"/>
      <scheme val="minor"/>
    </font>
    <font>
      <sz val="11"/>
      <color rgb="FF9C0006"/>
      <name val="宋体"/>
      <charset val="0"/>
      <scheme val="minor"/>
    </font>
    <font>
      <i/>
      <sz val="11"/>
      <color rgb="FF7F7F7F"/>
      <name val="宋体"/>
      <charset val="0"/>
      <scheme val="minor"/>
    </font>
    <font>
      <b/>
      <sz val="12"/>
      <color rgb="FFFF0000"/>
      <name val="黑体"/>
      <charset val="134"/>
    </font>
    <font>
      <sz val="12"/>
      <name val="DejaVu Sans"/>
      <charset val="134"/>
    </font>
    <font>
      <sz val="12"/>
      <color rgb="FF333333"/>
      <name val="DejaVu Sans"/>
      <charset val="134"/>
    </font>
    <font>
      <sz val="12"/>
      <color rgb="FF333333"/>
      <name val="宋体"/>
      <charset val="134"/>
      <scheme val="minor"/>
    </font>
    <font>
      <sz val="12"/>
      <name val="宋体"/>
      <charset val="134"/>
      <scheme val="minor"/>
    </font>
    <font>
      <sz val="14"/>
      <color rgb="FF000000"/>
      <name val="仿宋_GB2312"/>
      <charset val="134"/>
    </font>
    <font>
      <u/>
      <sz val="12"/>
      <color rgb="FF000000"/>
      <name val="SimSun"/>
      <charset val="134"/>
    </font>
    <font>
      <sz val="12"/>
      <color rgb="FF018FFB"/>
      <name val="仿宋_GB2312"/>
      <charset val="134"/>
    </font>
    <font>
      <sz val="12"/>
      <name val="仿宋_GB2312"/>
      <charset val="134"/>
    </font>
  </fonts>
  <fills count="41">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indexed="65"/>
        <bgColor indexed="64"/>
      </patternFill>
    </fill>
    <fill>
      <patternFill patternType="solid">
        <fgColor rgb="FF8CDDFA"/>
        <bgColor indexed="64"/>
      </patternFill>
    </fill>
    <fill>
      <patternFill patternType="solid">
        <fgColor theme="9"/>
        <bgColor indexed="64"/>
      </patternFill>
    </fill>
    <fill>
      <patternFill patternType="solid">
        <fgColor rgb="FFFDEBFF"/>
        <bgColor indexed="64"/>
      </patternFill>
    </fill>
    <fill>
      <patternFill patternType="solid">
        <fgColor rgb="FFC3EAD5"/>
        <bgColor indexed="64"/>
      </patternFill>
    </fill>
    <fill>
      <patternFill patternType="solid">
        <fgColor rgb="FFFFC000"/>
        <bgColor indexed="64"/>
      </patternFill>
    </fill>
    <fill>
      <patternFill patternType="solid">
        <fgColor theme="4"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8"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rgb="FFFFEB9C"/>
        <bgColor indexed="64"/>
      </patternFill>
    </fill>
    <fill>
      <patternFill patternType="solid">
        <fgColor theme="7"/>
        <bgColor indexed="64"/>
      </patternFill>
    </fill>
    <fill>
      <patternFill patternType="solid">
        <fgColor theme="9" tint="0.399975585192419"/>
        <bgColor indexed="64"/>
      </patternFill>
    </fill>
    <fill>
      <patternFill patternType="solid">
        <fgColor theme="4"/>
        <bgColor indexed="64"/>
      </patternFill>
    </fill>
    <fill>
      <patternFill patternType="solid">
        <fgColor theme="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rgb="FFFFCC9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A5A5A5"/>
        <bgColor indexed="64"/>
      </patternFill>
    </fill>
    <fill>
      <patternFill patternType="solid">
        <fgColor rgb="FFF2F2F2"/>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rgb="FFFFC7CE"/>
        <bgColor indexed="64"/>
      </patternFill>
    </fill>
  </fills>
  <borders count="2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right/>
      <top style="thin">
        <color theme="4"/>
      </top>
      <bottom style="double">
        <color theme="4"/>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xf numFmtId="0" fontId="33" fillId="7" borderId="0" applyNumberFormat="0" applyBorder="0" applyAlignment="0" applyProtection="0">
      <alignment vertical="center"/>
    </xf>
    <xf numFmtId="0" fontId="31" fillId="31" borderId="0" applyNumberFormat="0" applyBorder="0" applyAlignment="0" applyProtection="0">
      <alignment vertical="center"/>
    </xf>
    <xf numFmtId="0" fontId="31" fillId="29"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1" fillId="19" borderId="0" applyNumberFormat="0" applyBorder="0" applyAlignment="0" applyProtection="0">
      <alignment vertical="center"/>
    </xf>
    <xf numFmtId="0" fontId="33" fillId="18" borderId="0" applyNumberFormat="0" applyBorder="0" applyAlignment="0" applyProtection="0">
      <alignment vertical="center"/>
    </xf>
    <xf numFmtId="0" fontId="33" fillId="39" borderId="0" applyNumberFormat="0" applyBorder="0" applyAlignment="0" applyProtection="0">
      <alignment vertical="center"/>
    </xf>
    <xf numFmtId="0" fontId="33" fillId="17" borderId="0" applyNumberFormat="0" applyBorder="0" applyAlignment="0" applyProtection="0">
      <alignment vertical="center"/>
    </xf>
    <xf numFmtId="0" fontId="31" fillId="28" borderId="0" applyNumberFormat="0" applyBorder="0" applyAlignment="0" applyProtection="0">
      <alignment vertical="center"/>
    </xf>
    <xf numFmtId="0" fontId="31" fillId="32" borderId="0" applyNumberFormat="0" applyBorder="0" applyAlignment="0" applyProtection="0">
      <alignment vertical="center"/>
    </xf>
    <xf numFmtId="0" fontId="31" fillId="38" borderId="0" applyNumberFormat="0" applyBorder="0" applyAlignment="0" applyProtection="0">
      <alignment vertical="center"/>
    </xf>
    <xf numFmtId="0" fontId="44"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5" fillId="33" borderId="21" applyNumberFormat="0" applyAlignment="0" applyProtection="0">
      <alignment vertical="center"/>
    </xf>
    <xf numFmtId="0" fontId="46" fillId="0" borderId="18" applyNumberFormat="0" applyFill="0" applyAlignment="0" applyProtection="0">
      <alignment vertical="center"/>
    </xf>
    <xf numFmtId="0" fontId="42" fillId="30" borderId="20" applyNumberFormat="0" applyAlignment="0" applyProtection="0">
      <alignment vertical="center"/>
    </xf>
    <xf numFmtId="0" fontId="41" fillId="0" borderId="0" applyNumberFormat="0" applyFill="0" applyBorder="0" applyAlignment="0" applyProtection="0">
      <alignment vertical="center"/>
    </xf>
    <xf numFmtId="0" fontId="47" fillId="34" borderId="22" applyNumberFormat="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42" fontId="38" fillId="0" borderId="0" applyFont="0" applyFill="0" applyBorder="0" applyAlignment="0" applyProtection="0">
      <alignment vertical="center"/>
    </xf>
    <xf numFmtId="0" fontId="36" fillId="0" borderId="23" applyNumberFormat="0" applyFill="0" applyAlignment="0" applyProtection="0">
      <alignment vertical="center"/>
    </xf>
    <xf numFmtId="0" fontId="50" fillId="0" borderId="0" applyNumberFormat="0" applyFill="0" applyBorder="0" applyAlignment="0" applyProtection="0">
      <alignment vertical="center"/>
    </xf>
    <xf numFmtId="0" fontId="48" fillId="34" borderId="20" applyNumberFormat="0" applyAlignment="0" applyProtection="0">
      <alignment vertical="center"/>
    </xf>
    <xf numFmtId="0" fontId="33" fillId="25" borderId="0" applyNumberFormat="0" applyBorder="0" applyAlignment="0" applyProtection="0">
      <alignment vertical="center"/>
    </xf>
    <xf numFmtId="41" fontId="38" fillId="0" borderId="0" applyFont="0" applyFill="0" applyBorder="0" applyAlignment="0" applyProtection="0">
      <alignment vertical="center"/>
    </xf>
    <xf numFmtId="0" fontId="33" fillId="27" borderId="0" applyNumberFormat="0" applyBorder="0" applyAlignment="0" applyProtection="0">
      <alignment vertical="center"/>
    </xf>
    <xf numFmtId="0" fontId="38" fillId="16" borderId="19" applyNumberFormat="0" applyFont="0" applyAlignment="0" applyProtection="0">
      <alignment vertical="center"/>
    </xf>
    <xf numFmtId="0" fontId="39" fillId="15" borderId="0" applyNumberFormat="0" applyBorder="0" applyAlignment="0" applyProtection="0">
      <alignment vertical="center"/>
    </xf>
    <xf numFmtId="44" fontId="38" fillId="0" borderId="0" applyFont="0" applyFill="0" applyBorder="0" applyAlignment="0" applyProtection="0">
      <alignment vertical="center"/>
    </xf>
    <xf numFmtId="43" fontId="38" fillId="0" borderId="0" applyFont="0" applyFill="0" applyBorder="0" applyAlignment="0" applyProtection="0">
      <alignment vertical="center"/>
    </xf>
    <xf numFmtId="0" fontId="37" fillId="0" borderId="18" applyNumberFormat="0" applyFill="0" applyAlignment="0" applyProtection="0">
      <alignment vertical="center"/>
    </xf>
    <xf numFmtId="0" fontId="36" fillId="0" borderId="0" applyNumberFormat="0" applyFill="0" applyBorder="0" applyAlignment="0" applyProtection="0">
      <alignment vertical="center"/>
    </xf>
    <xf numFmtId="9" fontId="38" fillId="0" borderId="0" applyFont="0" applyFill="0" applyBorder="0" applyAlignment="0" applyProtection="0">
      <alignment vertical="center"/>
    </xf>
    <xf numFmtId="0" fontId="35" fillId="0" borderId="17" applyNumberFormat="0" applyFill="0" applyAlignment="0" applyProtection="0">
      <alignment vertical="center"/>
    </xf>
    <xf numFmtId="0" fontId="31" fillId="35" borderId="0" applyNumberFormat="0" applyBorder="0" applyAlignment="0" applyProtection="0">
      <alignment vertical="center"/>
    </xf>
    <xf numFmtId="0" fontId="31" fillId="13" borderId="0" applyNumberFormat="0" applyBorder="0" applyAlignment="0" applyProtection="0">
      <alignment vertical="center"/>
    </xf>
    <xf numFmtId="0" fontId="33" fillId="12" borderId="0" applyNumberFormat="0" applyBorder="0" applyAlignment="0" applyProtection="0">
      <alignment vertical="center"/>
    </xf>
    <xf numFmtId="0" fontId="34" fillId="0" borderId="16" applyNumberFormat="0" applyFill="0" applyAlignment="0" applyProtection="0">
      <alignment vertical="center"/>
    </xf>
    <xf numFmtId="0" fontId="33" fillId="24" borderId="0" applyNumberFormat="0" applyBorder="0" applyAlignment="0" applyProtection="0">
      <alignment vertical="center"/>
    </xf>
    <xf numFmtId="0" fontId="49" fillId="40" borderId="0" applyNumberFormat="0" applyBorder="0" applyAlignment="0" applyProtection="0">
      <alignment vertical="center"/>
    </xf>
    <xf numFmtId="0" fontId="31" fillId="14" borderId="0" applyNumberFormat="0" applyBorder="0" applyAlignment="0" applyProtection="0">
      <alignment vertical="center"/>
    </xf>
    <xf numFmtId="0" fontId="32" fillId="0" borderId="0" applyNumberFormat="0" applyFill="0" applyBorder="0" applyAlignment="0" applyProtection="0">
      <alignment vertical="center"/>
    </xf>
    <xf numFmtId="0" fontId="40" fillId="20" borderId="0" applyNumberFormat="0" applyBorder="0" applyAlignment="0" applyProtection="0">
      <alignment vertical="center"/>
    </xf>
    <xf numFmtId="0" fontId="33" fillId="23" borderId="0" applyNumberFormat="0" applyBorder="0" applyAlignment="0" applyProtection="0">
      <alignment vertical="center"/>
    </xf>
    <xf numFmtId="0" fontId="33" fillId="26" borderId="0" applyNumberFormat="0" applyBorder="0" applyAlignment="0" applyProtection="0">
      <alignment vertical="center"/>
    </xf>
    <xf numFmtId="0" fontId="31" fillId="11" borderId="0" applyNumberFormat="0" applyBorder="0" applyAlignment="0" applyProtection="0">
      <alignment vertical="center"/>
    </xf>
  </cellStyleXfs>
  <cellXfs count="323">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0" borderId="0" xfId="0" applyFill="1"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right"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4" fillId="0" borderId="1" xfId="0"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0" fillId="0" borderId="1" xfId="0" applyFill="1" applyBorder="1" applyAlignment="1">
      <alignment horizontal="center" wrapText="1"/>
    </xf>
    <xf numFmtId="0" fontId="0" fillId="0" borderId="1" xfId="0" applyFill="1"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wrapText="1"/>
    </xf>
    <xf numFmtId="0" fontId="0" fillId="0" borderId="1" xfId="0" applyBorder="1" applyAlignment="1">
      <alignment horizontal="left" wrapText="1"/>
    </xf>
    <xf numFmtId="49" fontId="0" fillId="0" borderId="1" xfId="0" applyNumberFormat="1" applyFill="1" applyBorder="1" applyAlignment="1">
      <alignment wrapText="1"/>
    </xf>
    <xf numFmtId="49" fontId="0" fillId="0" borderId="1" xfId="0" applyNumberFormat="1" applyBorder="1" applyAlignment="1">
      <alignment wrapText="1"/>
    </xf>
    <xf numFmtId="0" fontId="3" fillId="0" borderId="1" xfId="0" applyFont="1" applyBorder="1" applyAlignment="1">
      <alignment horizontal="left" vertical="center" wrapText="1"/>
    </xf>
    <xf numFmtId="0" fontId="2" fillId="0" borderId="1" xfId="0" applyFont="1" applyFill="1" applyBorder="1" applyAlignment="1">
      <alignment horizontal="center" vertical="center" wrapText="1"/>
    </xf>
    <xf numFmtId="0" fontId="0" fillId="0" borderId="1" xfId="0" applyFont="1" applyFill="1" applyBorder="1" applyAlignment="1">
      <alignment wrapText="1"/>
    </xf>
    <xf numFmtId="0" fontId="0" fillId="0" borderId="1" xfId="0" applyFont="1" applyBorder="1" applyAlignment="1">
      <alignment wrapText="1"/>
    </xf>
    <xf numFmtId="0" fontId="3" fillId="0" borderId="1" xfId="0" applyFont="1" applyFill="1" applyBorder="1" applyAlignment="1">
      <alignment horizontal="center" vertical="center" wrapText="1"/>
    </xf>
    <xf numFmtId="0" fontId="3" fillId="0" borderId="1" xfId="0" applyFont="1" applyBorder="1" applyAlignment="1">
      <alignment horizontal="right" vertical="center" wrapText="1"/>
    </xf>
    <xf numFmtId="0" fontId="3" fillId="0" borderId="1" xfId="0" applyNumberFormat="1" applyFont="1" applyBorder="1" applyAlignment="1">
      <alignment horizontal="center" vertical="center" wrapText="1"/>
    </xf>
    <xf numFmtId="14" fontId="2" fillId="0" borderId="1" xfId="0" applyNumberFormat="1" applyFont="1" applyBorder="1" applyAlignment="1">
      <alignment horizontal="right" vertical="center" wrapText="1"/>
    </xf>
    <xf numFmtId="0" fontId="2" fillId="0" borderId="1" xfId="0" applyNumberFormat="1" applyFont="1" applyBorder="1" applyAlignment="1">
      <alignment horizontal="center" vertical="center" wrapText="1"/>
    </xf>
    <xf numFmtId="14" fontId="4" fillId="0" borderId="1" xfId="0" applyNumberFormat="1" applyFont="1" applyFill="1" applyBorder="1" applyAlignment="1">
      <alignment horizontal="center" vertical="center" wrapText="1"/>
    </xf>
    <xf numFmtId="14" fontId="5" fillId="0" borderId="1" xfId="0" applyNumberFormat="1" applyFont="1" applyFill="1" applyBorder="1" applyAlignment="1">
      <alignment horizontal="right" vertical="center" wrapText="1"/>
    </xf>
    <xf numFmtId="0" fontId="4" fillId="3" borderId="1" xfId="0" applyNumberFormat="1" applyFont="1" applyFill="1" applyBorder="1" applyAlignment="1">
      <alignment horizontal="center" vertical="center" wrapText="1"/>
    </xf>
    <xf numFmtId="14" fontId="0" fillId="0" borderId="1" xfId="0" applyNumberFormat="1" applyFont="1" applyFill="1" applyBorder="1" applyAlignment="1">
      <alignment horizontal="right" wrapText="1"/>
    </xf>
    <xf numFmtId="14" fontId="0" fillId="0" borderId="1" xfId="0" applyNumberFormat="1" applyFill="1" applyBorder="1" applyAlignment="1">
      <alignment horizontal="right" wrapText="1"/>
    </xf>
    <xf numFmtId="0" fontId="4" fillId="0" borderId="1" xfId="0" applyNumberFormat="1" applyFont="1" applyFill="1" applyBorder="1" applyAlignment="1">
      <alignment horizontal="center" vertical="center" wrapText="1"/>
    </xf>
    <xf numFmtId="14" fontId="0" fillId="0" borderId="1" xfId="0" applyNumberFormat="1" applyBorder="1" applyAlignment="1">
      <alignment horizontal="right" wrapText="1"/>
    </xf>
    <xf numFmtId="14" fontId="0" fillId="2" borderId="1" xfId="0" applyNumberFormat="1" applyFill="1" applyBorder="1" applyAlignment="1">
      <alignment horizontal="right" wrapText="1"/>
    </xf>
    <xf numFmtId="0" fontId="6" fillId="0" borderId="1" xfId="0" applyFont="1" applyBorder="1" applyAlignment="1">
      <alignment horizontal="left" wrapText="1"/>
    </xf>
    <xf numFmtId="0" fontId="7" fillId="0" borderId="1" xfId="0" applyFont="1" applyBorder="1" applyAlignment="1">
      <alignment horizontal="center" vertical="center" wrapText="1"/>
    </xf>
    <xf numFmtId="179" fontId="0" fillId="0" borderId="1" xfId="0" applyNumberFormat="1" applyBorder="1" applyAlignment="1">
      <alignment horizontal="right" wrapText="1"/>
    </xf>
    <xf numFmtId="179" fontId="7" fillId="0" borderId="1" xfId="0" applyNumberFormat="1" applyFont="1" applyBorder="1" applyAlignment="1">
      <alignment horizontal="right" vertical="center" wrapText="1"/>
    </xf>
    <xf numFmtId="0" fontId="1" fillId="0" borderId="1" xfId="0" applyFont="1" applyBorder="1" applyAlignment="1">
      <alignment horizontal="center" vertical="center" wrapText="1"/>
    </xf>
    <xf numFmtId="177" fontId="2" fillId="0"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wrapText="1"/>
    </xf>
    <xf numFmtId="178" fontId="5" fillId="3" borderId="1" xfId="0" applyNumberFormat="1"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179" fontId="4" fillId="0" borderId="1" xfId="0" applyNumberFormat="1" applyFont="1" applyFill="1" applyBorder="1" applyAlignment="1">
      <alignment horizontal="center" vertical="center" wrapText="1"/>
    </xf>
    <xf numFmtId="14" fontId="0" fillId="0" borderId="1" xfId="0" applyNumberFormat="1" applyFill="1" applyBorder="1" applyAlignment="1">
      <alignment wrapText="1"/>
    </xf>
    <xf numFmtId="14" fontId="0" fillId="2" borderId="1" xfId="0" applyNumberFormat="1" applyFill="1" applyBorder="1" applyAlignment="1">
      <alignment wrapText="1"/>
    </xf>
    <xf numFmtId="0" fontId="0" fillId="2" borderId="1" xfId="0" applyFont="1" applyFill="1" applyBorder="1" applyAlignment="1">
      <alignment wrapText="1"/>
    </xf>
    <xf numFmtId="179" fontId="1" fillId="0" borderId="0" xfId="0" applyNumberFormat="1" applyFont="1" applyBorder="1" applyAlignment="1">
      <alignment horizontal="center" vertical="center" wrapText="1"/>
    </xf>
    <xf numFmtId="179" fontId="2" fillId="0" borderId="2" xfId="0" applyNumberFormat="1" applyFont="1" applyBorder="1" applyAlignment="1">
      <alignment horizontal="center" vertical="center" wrapText="1"/>
    </xf>
    <xf numFmtId="179" fontId="2" fillId="0" borderId="1" xfId="0" applyNumberFormat="1" applyFont="1" applyBorder="1" applyAlignment="1">
      <alignment horizontal="center" vertical="center" wrapText="1"/>
    </xf>
    <xf numFmtId="14" fontId="5" fillId="0" borderId="2" xfId="0"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8" fillId="0" borderId="1" xfId="0" applyFont="1" applyFill="1" applyBorder="1" applyAlignment="1">
      <alignment horizontal="center" vertical="center" wrapText="1"/>
    </xf>
    <xf numFmtId="0" fontId="9" fillId="0" borderId="0" xfId="0" applyFont="1" applyFill="1" applyAlignment="1">
      <alignment horizontal="center" vertical="center" wrapText="1"/>
    </xf>
    <xf numFmtId="0" fontId="2" fillId="0" borderId="0" xfId="0" applyFont="1" applyAlignment="1">
      <alignment horizontal="center" vertical="center" wrapText="1"/>
    </xf>
    <xf numFmtId="0" fontId="6" fillId="0" borderId="1" xfId="0" applyFont="1" applyBorder="1" applyAlignment="1">
      <alignment horizontal="center" wrapText="1"/>
    </xf>
    <xf numFmtId="0" fontId="6" fillId="2" borderId="1" xfId="0" applyFont="1" applyFill="1" applyBorder="1" applyAlignment="1">
      <alignment horizont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wrapText="1"/>
    </xf>
    <xf numFmtId="0" fontId="7" fillId="0" borderId="1" xfId="0" applyFont="1" applyBorder="1" applyAlignment="1">
      <alignment horizontal="right" vertical="center"/>
    </xf>
    <xf numFmtId="0" fontId="6" fillId="0" borderId="1" xfId="0" applyFont="1" applyBorder="1" applyAlignment="1">
      <alignment horizontal="right" wrapText="1"/>
    </xf>
    <xf numFmtId="0" fontId="10" fillId="0" borderId="1" xfId="0" applyFont="1" applyBorder="1" applyAlignment="1">
      <alignment horizontal="center" vertical="center"/>
    </xf>
    <xf numFmtId="0" fontId="7" fillId="0" borderId="1" xfId="0" applyFont="1" applyBorder="1" applyAlignment="1">
      <alignment horizontal="center" vertical="center"/>
    </xf>
    <xf numFmtId="49" fontId="6" fillId="0" borderId="1"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6" fillId="4" borderId="1" xfId="0" applyFont="1" applyFill="1" applyBorder="1" applyAlignment="1">
      <alignment horizontal="center" wrapText="1"/>
    </xf>
    <xf numFmtId="0" fontId="6" fillId="4"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49"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7" fillId="0" borderId="7" xfId="0" applyFont="1" applyBorder="1" applyAlignment="1">
      <alignment horizontal="center" vertical="center" wrapText="1"/>
    </xf>
    <xf numFmtId="0" fontId="10" fillId="0" borderId="7" xfId="0" applyFont="1" applyBorder="1" applyAlignment="1">
      <alignment horizontal="center" vertical="center"/>
    </xf>
    <xf numFmtId="0" fontId="7" fillId="5" borderId="7" xfId="0" applyFont="1" applyFill="1" applyBorder="1" applyAlignment="1">
      <alignment horizontal="center" vertical="center" wrapText="1"/>
    </xf>
    <xf numFmtId="49" fontId="6" fillId="0" borderId="1" xfId="0" applyNumberFormat="1" applyFont="1" applyBorder="1" applyAlignment="1">
      <alignment horizontal="left" wrapText="1"/>
    </xf>
    <xf numFmtId="0" fontId="12" fillId="2" borderId="1" xfId="0" applyFont="1" applyFill="1" applyBorder="1" applyAlignment="1">
      <alignment horizontal="left" vertical="center" wrapText="1"/>
    </xf>
    <xf numFmtId="49" fontId="6" fillId="0" borderId="1" xfId="0" applyNumberFormat="1" applyFont="1" applyBorder="1" applyAlignment="1">
      <alignment horizontal="left" vertical="center" wrapText="1"/>
    </xf>
    <xf numFmtId="0" fontId="17" fillId="0" borderId="1" xfId="0" applyFont="1" applyBorder="1" applyAlignment="1">
      <alignment horizontal="center"/>
    </xf>
    <xf numFmtId="0" fontId="6" fillId="0" borderId="1" xfId="0" applyFont="1" applyBorder="1" applyAlignment="1">
      <alignment horizontal="left" vertical="center"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xf>
    <xf numFmtId="49" fontId="6" fillId="4" borderId="1" xfId="0" applyNumberFormat="1" applyFont="1" applyFill="1" applyBorder="1" applyAlignment="1">
      <alignment horizontal="center" vertical="center" wrapText="1"/>
    </xf>
    <xf numFmtId="0" fontId="18" fillId="0" borderId="1" xfId="0" applyFont="1" applyBorder="1" applyAlignment="1">
      <alignment horizontal="center" vertical="center" wrapText="1"/>
    </xf>
    <xf numFmtId="49" fontId="10" fillId="0" borderId="1" xfId="0" applyNumberFormat="1" applyFont="1" applyBorder="1" applyAlignment="1">
      <alignment horizontal="left" vertical="center" wrapText="1"/>
    </xf>
    <xf numFmtId="0" fontId="18" fillId="4"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10" fillId="0" borderId="1" xfId="0" applyFont="1" applyBorder="1" applyAlignment="1">
      <alignment horizontal="left" vertical="center" wrapText="1"/>
    </xf>
    <xf numFmtId="0" fontId="19" fillId="0" borderId="1" xfId="0" applyFont="1" applyBorder="1" applyAlignment="1">
      <alignment horizontal="left"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xf>
    <xf numFmtId="0" fontId="7" fillId="0" borderId="9" xfId="0" applyFont="1" applyBorder="1" applyAlignment="1">
      <alignment horizontal="center" vertical="center"/>
    </xf>
    <xf numFmtId="0" fontId="7" fillId="5" borderId="7" xfId="0" applyFont="1" applyFill="1" applyBorder="1" applyAlignment="1">
      <alignment horizontal="center" vertical="center"/>
    </xf>
    <xf numFmtId="0" fontId="7" fillId="2" borderId="1" xfId="0"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176" fontId="6" fillId="0" borderId="1" xfId="0" applyNumberFormat="1" applyFont="1" applyBorder="1" applyAlignment="1">
      <alignment horizontal="center" vertical="center"/>
    </xf>
    <xf numFmtId="176" fontId="6" fillId="0" borderId="1" xfId="0" applyNumberFormat="1" applyFont="1" applyBorder="1" applyAlignment="1">
      <alignment horizontal="center" vertical="center" wrapText="1"/>
    </xf>
    <xf numFmtId="176" fontId="6" fillId="4" borderId="1" xfId="0" applyNumberFormat="1" applyFont="1" applyFill="1" applyBorder="1" applyAlignment="1">
      <alignment horizontal="center" vertical="center" wrapText="1"/>
    </xf>
    <xf numFmtId="14" fontId="0" fillId="4" borderId="1" xfId="0" applyNumberFormat="1" applyFill="1" applyBorder="1" applyAlignment="1">
      <alignment horizontal="right" wrapText="1"/>
    </xf>
    <xf numFmtId="0" fontId="7" fillId="4" borderId="7" xfId="0" applyFont="1" applyFill="1" applyBorder="1" applyAlignment="1">
      <alignment horizontal="center" vertical="center" wrapText="1"/>
    </xf>
    <xf numFmtId="176" fontId="7" fillId="5" borderId="1" xfId="0" applyNumberFormat="1" applyFont="1" applyFill="1" applyBorder="1" applyAlignment="1">
      <alignment horizontal="center" vertical="center" wrapText="1"/>
    </xf>
    <xf numFmtId="176" fontId="7" fillId="5" borderId="1" xfId="0" applyNumberFormat="1" applyFont="1" applyFill="1" applyBorder="1" applyAlignment="1">
      <alignment horizontal="right" vertical="center" wrapText="1"/>
    </xf>
    <xf numFmtId="176"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0" fontId="7" fillId="0" borderId="1" xfId="0" applyFont="1" applyBorder="1" applyAlignment="1">
      <alignment horizontal="right" vertical="center" wrapText="1"/>
    </xf>
    <xf numFmtId="0" fontId="7" fillId="7" borderId="1" xfId="0" applyFont="1" applyFill="1" applyBorder="1" applyAlignment="1">
      <alignment horizontal="right" vertical="center" wrapText="1"/>
    </xf>
    <xf numFmtId="176" fontId="7" fillId="7" borderId="1"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176" fontId="7" fillId="5" borderId="10" xfId="0" applyNumberFormat="1" applyFont="1" applyFill="1" applyBorder="1" applyAlignment="1">
      <alignment horizontal="center" vertical="center" wrapText="1"/>
    </xf>
    <xf numFmtId="176" fontId="7" fillId="5" borderId="11" xfId="0" applyNumberFormat="1" applyFont="1" applyFill="1" applyBorder="1" applyAlignment="1">
      <alignment horizontal="center" vertical="center" wrapText="1"/>
    </xf>
    <xf numFmtId="0" fontId="10" fillId="0" borderId="1" xfId="0" applyFont="1" applyBorder="1" applyAlignment="1">
      <alignment horizontal="right" vertical="center"/>
    </xf>
    <xf numFmtId="0" fontId="0" fillId="4" borderId="1" xfId="0" applyFill="1" applyBorder="1" applyAlignment="1">
      <alignment wrapText="1"/>
    </xf>
    <xf numFmtId="0" fontId="6" fillId="4" borderId="1" xfId="0" applyFont="1" applyFill="1" applyBorder="1" applyAlignment="1">
      <alignment horizontal="right" wrapText="1"/>
    </xf>
    <xf numFmtId="14" fontId="7" fillId="0" borderId="7" xfId="0" applyNumberFormat="1" applyFont="1" applyFill="1" applyBorder="1" applyAlignment="1">
      <alignment horizontal="center" vertical="center" wrapText="1"/>
    </xf>
    <xf numFmtId="49" fontId="7" fillId="0" borderId="7" xfId="0" applyNumberFormat="1" applyFont="1" applyFill="1" applyBorder="1" applyAlignment="1">
      <alignment horizontal="center" vertical="center" wrapText="1"/>
    </xf>
    <xf numFmtId="14" fontId="7" fillId="8" borderId="7" xfId="0" applyNumberFormat="1" applyFont="1" applyFill="1" applyBorder="1" applyAlignment="1">
      <alignment horizontal="center" vertical="center" wrapText="1"/>
    </xf>
    <xf numFmtId="0" fontId="0" fillId="7" borderId="1" xfId="0" applyFill="1" applyBorder="1" applyAlignment="1">
      <alignment wrapText="1"/>
    </xf>
    <xf numFmtId="0" fontId="10" fillId="7"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12" xfId="0" applyFont="1" applyBorder="1" applyAlignment="1">
      <alignment horizontal="center" vertical="center" wrapText="1"/>
    </xf>
    <xf numFmtId="0" fontId="7" fillId="5" borderId="12" xfId="0" applyFont="1" applyFill="1" applyBorder="1" applyAlignment="1">
      <alignment horizontal="center" vertical="center" wrapText="1"/>
    </xf>
    <xf numFmtId="0" fontId="7" fillId="0" borderId="13" xfId="0" applyFont="1" applyBorder="1" applyAlignment="1">
      <alignment horizontal="center" vertical="center" wrapText="1"/>
    </xf>
    <xf numFmtId="0" fontId="0" fillId="2" borderId="2" xfId="0" applyFill="1" applyBorder="1" applyAlignment="1">
      <alignment wrapText="1"/>
    </xf>
    <xf numFmtId="0" fontId="0" fillId="4" borderId="0" xfId="0" applyFill="1" applyAlignment="1">
      <alignment wrapText="1"/>
    </xf>
    <xf numFmtId="0" fontId="0" fillId="2" borderId="0" xfId="0" applyFill="1" applyAlignment="1">
      <alignment wrapText="1"/>
    </xf>
    <xf numFmtId="0" fontId="7" fillId="0" borderId="9" xfId="0" applyFont="1" applyBorder="1" applyAlignment="1">
      <alignment horizontal="center" vertical="center" wrapText="1"/>
    </xf>
    <xf numFmtId="0" fontId="20" fillId="0" borderId="1" xfId="0" applyFont="1" applyFill="1" applyBorder="1" applyAlignment="1">
      <alignment horizontal="center" vertical="center" wrapText="1"/>
    </xf>
    <xf numFmtId="0" fontId="21" fillId="0" borderId="1" xfId="0" applyFont="1" applyFill="1" applyBorder="1" applyAlignment="1">
      <alignment horizontal="left" vertical="center" wrapText="1"/>
    </xf>
    <xf numFmtId="0" fontId="6" fillId="0" borderId="7" xfId="0" applyFont="1" applyFill="1" applyBorder="1" applyAlignment="1">
      <alignment horizontal="center" vertical="center" wrapText="1"/>
    </xf>
    <xf numFmtId="0" fontId="6" fillId="0" borderId="7" xfId="0" applyFont="1" applyFill="1" applyBorder="1" applyAlignment="1">
      <alignment horizontal="left" vertical="center" wrapText="1"/>
    </xf>
    <xf numFmtId="0" fontId="6" fillId="0" borderId="7" xfId="0" applyFont="1" applyFill="1" applyBorder="1" applyAlignment="1">
      <alignment horizontal="left" wrapText="1"/>
    </xf>
    <xf numFmtId="0" fontId="6" fillId="9" borderId="9" xfId="0" applyFont="1" applyFill="1" applyBorder="1" applyAlignment="1">
      <alignment horizontal="right" vertical="center" wrapText="1"/>
    </xf>
    <xf numFmtId="0" fontId="6" fillId="9" borderId="9" xfId="0" applyFont="1" applyFill="1" applyBorder="1" applyAlignment="1">
      <alignment horizontal="left" vertical="center" wrapText="1"/>
    </xf>
    <xf numFmtId="0" fontId="20" fillId="8" borderId="7" xfId="0" applyFont="1" applyFill="1" applyBorder="1" applyAlignment="1">
      <alignment horizontal="center" vertical="center" wrapText="1"/>
    </xf>
    <xf numFmtId="0" fontId="22" fillId="8" borderId="7" xfId="0" applyFont="1" applyFill="1" applyBorder="1" applyAlignment="1">
      <alignment horizontal="left" vertical="center" wrapText="1"/>
    </xf>
    <xf numFmtId="0" fontId="7" fillId="5" borderId="9" xfId="0" applyFont="1" applyFill="1" applyBorder="1" applyAlignment="1">
      <alignment horizontal="center" vertical="center" wrapText="1"/>
    </xf>
    <xf numFmtId="0" fontId="23" fillId="0" borderId="1" xfId="0" applyFont="1" applyFill="1" applyBorder="1" applyAlignment="1">
      <alignment horizontal="left" vertical="center" wrapText="1"/>
    </xf>
    <xf numFmtId="0" fontId="0" fillId="0" borderId="1" xfId="0" applyFill="1" applyBorder="1" applyAlignment="1">
      <alignment vertical="center" wrapText="1"/>
    </xf>
    <xf numFmtId="0" fontId="10" fillId="0" borderId="7" xfId="0" applyFont="1" applyFill="1" applyBorder="1" applyAlignment="1">
      <alignment horizontal="center" vertical="center"/>
    </xf>
    <xf numFmtId="0" fontId="6" fillId="0" borderId="7" xfId="0" applyFont="1" applyFill="1" applyBorder="1" applyAlignment="1">
      <alignment horizontal="center" wrapText="1"/>
    </xf>
    <xf numFmtId="0" fontId="7" fillId="0" borderId="7" xfId="0" applyFont="1" applyBorder="1" applyAlignment="1">
      <alignment horizontal="center" vertical="center" wrapText="1"/>
    </xf>
    <xf numFmtId="0" fontId="7" fillId="5" borderId="7" xfId="0" applyFont="1" applyFill="1" applyBorder="1" applyAlignment="1">
      <alignment horizontal="center" vertical="center" wrapText="1"/>
    </xf>
    <xf numFmtId="0" fontId="7" fillId="0" borderId="9" xfId="0" applyFont="1" applyBorder="1" applyAlignment="1">
      <alignment horizontal="center" vertical="center" wrapText="1"/>
    </xf>
    <xf numFmtId="0" fontId="7" fillId="5" borderId="9" xfId="0" applyFont="1" applyFill="1" applyBorder="1" applyAlignment="1">
      <alignment horizontal="center" vertical="center" wrapText="1"/>
    </xf>
    <xf numFmtId="49" fontId="7" fillId="8" borderId="7" xfId="0" applyNumberFormat="1" applyFont="1" applyFill="1" applyBorder="1" applyAlignment="1">
      <alignment horizontal="center" vertical="center" wrapText="1"/>
    </xf>
    <xf numFmtId="0" fontId="10" fillId="8" borderId="7" xfId="0" applyFont="1" applyFill="1" applyBorder="1" applyAlignment="1">
      <alignment horizontal="center" vertical="center"/>
    </xf>
    <xf numFmtId="0" fontId="7" fillId="8" borderId="7" xfId="0" applyFont="1" applyFill="1" applyBorder="1" applyAlignment="1">
      <alignment horizontal="center" vertical="center" wrapText="1"/>
    </xf>
    <xf numFmtId="0" fontId="7" fillId="5" borderId="9" xfId="0" applyFont="1" applyFill="1" applyBorder="1" applyAlignment="1">
      <alignment horizontal="center" vertical="center"/>
    </xf>
    <xf numFmtId="0" fontId="14" fillId="0" borderId="9" xfId="0" applyFont="1" applyBorder="1" applyAlignment="1">
      <alignment horizontal="center" vertical="center" wrapText="1"/>
    </xf>
    <xf numFmtId="0" fontId="0" fillId="0" borderId="1" xfId="0" applyBorder="1" applyAlignment="1">
      <alignment vertical="center" wrapText="1"/>
    </xf>
    <xf numFmtId="0" fontId="7" fillId="0" borderId="7"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9" xfId="0" applyFont="1" applyFill="1" applyBorder="1" applyAlignment="1">
      <alignment horizontal="center" vertical="center"/>
    </xf>
    <xf numFmtId="0" fontId="7" fillId="8" borderId="7" xfId="0" applyFont="1" applyFill="1" applyBorder="1" applyAlignment="1">
      <alignment horizontal="center" vertical="center"/>
    </xf>
    <xf numFmtId="0" fontId="14" fillId="8" borderId="7" xfId="0" applyFont="1" applyFill="1" applyBorder="1" applyAlignment="1">
      <alignment horizontal="left" vertical="center" wrapText="1"/>
    </xf>
    <xf numFmtId="0" fontId="19" fillId="8" borderId="7" xfId="0" applyFont="1" applyFill="1" applyBorder="1" applyAlignment="1">
      <alignment horizontal="left" vertical="center" wrapText="1"/>
    </xf>
    <xf numFmtId="176" fontId="7" fillId="5" borderId="14" xfId="0" applyNumberFormat="1" applyFont="1" applyFill="1" applyBorder="1" applyAlignment="1">
      <alignment horizontal="center" vertical="center" wrapText="1"/>
    </xf>
    <xf numFmtId="0" fontId="7" fillId="0" borderId="6" xfId="0" applyFont="1" applyBorder="1" applyAlignment="1">
      <alignment horizontal="center" vertical="center"/>
    </xf>
    <xf numFmtId="0" fontId="7" fillId="0" borderId="6"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0" fillId="0" borderId="1" xfId="0" applyBorder="1" applyAlignment="1">
      <alignment horizontal="right" wrapText="1"/>
    </xf>
    <xf numFmtId="176" fontId="7" fillId="0" borderId="7" xfId="0" applyNumberFormat="1" applyFont="1" applyFill="1" applyBorder="1" applyAlignment="1">
      <alignment horizontal="center" vertical="center" wrapText="1"/>
    </xf>
    <xf numFmtId="0" fontId="7" fillId="0" borderId="7" xfId="0" applyFont="1" applyBorder="1" applyAlignment="1">
      <alignment horizontal="center" vertical="center"/>
    </xf>
    <xf numFmtId="176" fontId="7" fillId="5" borderId="7" xfId="0" applyNumberFormat="1" applyFont="1" applyFill="1" applyBorder="1" applyAlignment="1">
      <alignment horizontal="center" vertical="center" wrapText="1"/>
    </xf>
    <xf numFmtId="0" fontId="7" fillId="0" borderId="9" xfId="0" applyFont="1" applyBorder="1" applyAlignment="1">
      <alignment horizontal="center" vertical="center"/>
    </xf>
    <xf numFmtId="176" fontId="7" fillId="8" borderId="7" xfId="0" applyNumberFormat="1" applyFont="1" applyFill="1" applyBorder="1" applyAlignment="1">
      <alignment horizontal="center" vertical="center" wrapText="1"/>
    </xf>
    <xf numFmtId="0" fontId="0" fillId="0" borderId="6" xfId="0" applyBorder="1" applyAlignment="1">
      <alignment wrapText="1"/>
    </xf>
    <xf numFmtId="0" fontId="7" fillId="0" borderId="15" xfId="0" applyFont="1" applyBorder="1" applyAlignment="1">
      <alignment horizontal="center" vertical="center" wrapText="1"/>
    </xf>
    <xf numFmtId="0" fontId="7" fillId="0" borderId="1" xfId="0" applyFont="1" applyFill="1" applyBorder="1" applyAlignment="1">
      <alignment horizontal="center" vertical="center" wrapText="1"/>
    </xf>
    <xf numFmtId="0" fontId="6" fillId="9" borderId="7" xfId="0" applyFont="1" applyFill="1" applyBorder="1" applyAlignment="1">
      <alignment horizontal="center" vertical="center" wrapText="1"/>
    </xf>
    <xf numFmtId="0" fontId="6" fillId="9" borderId="7" xfId="0" applyFont="1" applyFill="1" applyBorder="1" applyAlignment="1">
      <alignment horizontal="left" vertical="center" wrapText="1"/>
    </xf>
    <xf numFmtId="0" fontId="0" fillId="3" borderId="0"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24" fillId="0" borderId="0" xfId="0" applyFont="1" applyBorder="1" applyAlignment="1">
      <alignment horizontal="center" vertical="center" wrapText="1"/>
    </xf>
    <xf numFmtId="0" fontId="0" fillId="0" borderId="0" xfId="0" applyBorder="1" applyAlignment="1">
      <alignment horizontal="left" vertical="center" wrapText="1"/>
    </xf>
    <xf numFmtId="14" fontId="24" fillId="0" borderId="0" xfId="0" applyNumberFormat="1" applyFont="1" applyBorder="1" applyAlignment="1">
      <alignment horizontal="center" vertical="center" wrapText="1"/>
    </xf>
    <xf numFmtId="4" fontId="0" fillId="0" borderId="0"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177" fontId="24" fillId="0" borderId="0" xfId="0" applyNumberFormat="1" applyFont="1" applyBorder="1" applyAlignment="1">
      <alignment horizontal="center" vertical="center" wrapText="1"/>
    </xf>
    <xf numFmtId="179" fontId="0" fillId="0" borderId="0" xfId="0" applyNumberFormat="1" applyBorder="1" applyAlignment="1">
      <alignment horizontal="center" vertical="center" wrapText="1"/>
    </xf>
    <xf numFmtId="0" fontId="3" fillId="0" borderId="0" xfId="0" applyFont="1" applyBorder="1" applyAlignment="1">
      <alignment horizontal="center" vertical="center" wrapText="1"/>
    </xf>
    <xf numFmtId="49" fontId="3" fillId="0" borderId="0" xfId="0" applyNumberFormat="1" applyFont="1" applyBorder="1" applyAlignment="1">
      <alignment horizontal="center"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5" fillId="0" borderId="4" xfId="0" applyNumberFormat="1" applyFont="1" applyFill="1" applyBorder="1" applyAlignment="1">
      <alignment horizontal="center" vertical="center" wrapText="1"/>
    </xf>
    <xf numFmtId="49" fontId="5" fillId="0" borderId="6"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5" fillId="0" borderId="5" xfId="0" applyNumberFormat="1" applyFont="1" applyFill="1" applyBorder="1" applyAlignment="1">
      <alignment horizontal="center" vertical="center" wrapText="1"/>
    </xf>
    <xf numFmtId="49" fontId="5" fillId="3" borderId="4" xfId="0" applyNumberFormat="1" applyFont="1" applyFill="1" applyBorder="1" applyAlignment="1">
      <alignment horizontal="center" vertical="center" wrapText="1"/>
    </xf>
    <xf numFmtId="49" fontId="24" fillId="0" borderId="1"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4" fillId="0" borderId="0" xfId="0" applyFont="1" applyBorder="1" applyAlignment="1">
      <alignment horizontal="center" vertical="center" wrapText="1"/>
    </xf>
    <xf numFmtId="49" fontId="4" fillId="0" borderId="0" xfId="0" applyNumberFormat="1" applyFont="1" applyBorder="1" applyAlignment="1">
      <alignment horizontal="center" vertical="center" wrapText="1"/>
    </xf>
    <xf numFmtId="0" fontId="5" fillId="0" borderId="0" xfId="0" applyFont="1" applyBorder="1" applyAlignment="1">
      <alignment horizontal="center" vertical="center" wrapText="1"/>
    </xf>
    <xf numFmtId="0" fontId="3" fillId="0" borderId="0" xfId="0" applyFont="1" applyBorder="1" applyAlignment="1">
      <alignment horizontal="left" vertical="center" wrapText="1"/>
    </xf>
    <xf numFmtId="0" fontId="3" fillId="0" borderId="0"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14" fontId="5" fillId="3" borderId="1" xfId="0"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0" borderId="0" xfId="0" applyFont="1" applyBorder="1" applyAlignment="1">
      <alignment horizontal="left" vertical="center" wrapText="1"/>
    </xf>
    <xf numFmtId="0" fontId="4" fillId="0" borderId="0" xfId="0" applyFont="1" applyFill="1" applyBorder="1" applyAlignment="1">
      <alignment horizontal="center" vertical="center" wrapText="1"/>
    </xf>
    <xf numFmtId="14" fontId="5" fillId="0" borderId="0" xfId="0" applyNumberFormat="1" applyFont="1" applyBorder="1" applyAlignment="1">
      <alignment horizontal="center" vertical="center" wrapText="1"/>
    </xf>
    <xf numFmtId="0" fontId="5" fillId="0" borderId="0" xfId="0" applyFont="1" applyFill="1" applyBorder="1" applyAlignment="1">
      <alignment horizontal="distributed" vertical="center" wrapText="1"/>
    </xf>
    <xf numFmtId="0" fontId="5" fillId="3" borderId="0" xfId="0" applyNumberFormat="1" applyFont="1" applyFill="1" applyBorder="1" applyAlignment="1">
      <alignment horizontal="center" vertical="center" wrapText="1"/>
    </xf>
    <xf numFmtId="0" fontId="25" fillId="0" borderId="0" xfId="0" applyFont="1" applyBorder="1" applyAlignment="1">
      <alignment horizontal="center" vertical="center" wrapText="1"/>
    </xf>
    <xf numFmtId="0" fontId="3" fillId="0" borderId="0"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0" fontId="4" fillId="0" borderId="1" xfId="0" applyNumberFormat="1" applyFont="1" applyBorder="1" applyAlignment="1">
      <alignment horizontal="center" vertical="center" wrapText="1"/>
    </xf>
    <xf numFmtId="177" fontId="5" fillId="0" borderId="1" xfId="0" applyNumberFormat="1" applyFont="1" applyBorder="1" applyAlignment="1">
      <alignment horizontal="center" vertical="center" wrapText="1"/>
    </xf>
    <xf numFmtId="177" fontId="5" fillId="3"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4" fontId="4" fillId="0" borderId="0" xfId="0" applyNumberFormat="1" applyFont="1" applyBorder="1" applyAlignment="1">
      <alignment horizontal="center" vertical="center" wrapText="1"/>
    </xf>
    <xf numFmtId="0" fontId="4" fillId="0" borderId="0" xfId="0" applyNumberFormat="1" applyFont="1" applyBorder="1" applyAlignment="1">
      <alignment horizontal="center" vertical="center" wrapText="1"/>
    </xf>
    <xf numFmtId="177" fontId="5" fillId="0" borderId="0" xfId="0" applyNumberFormat="1" applyFont="1" applyBorder="1" applyAlignment="1">
      <alignment horizontal="center" vertical="center" wrapText="1"/>
    </xf>
    <xf numFmtId="0" fontId="4" fillId="3" borderId="0" xfId="0" applyNumberFormat="1" applyFont="1" applyFill="1" applyBorder="1" applyAlignment="1">
      <alignment horizontal="center" vertical="center" wrapText="1"/>
    </xf>
    <xf numFmtId="177" fontId="5" fillId="3" borderId="0" xfId="0" applyNumberFormat="1" applyFont="1" applyFill="1" applyBorder="1" applyAlignment="1">
      <alignment horizontal="center" vertical="center" wrapText="1"/>
    </xf>
    <xf numFmtId="179" fontId="4" fillId="3" borderId="1" xfId="0" applyNumberFormat="1" applyFont="1" applyFill="1" applyBorder="1" applyAlignment="1">
      <alignment horizontal="center" vertical="center" wrapText="1"/>
    </xf>
    <xf numFmtId="179" fontId="4" fillId="0" borderId="1" xfId="0" applyNumberFormat="1" applyFont="1" applyBorder="1" applyAlignment="1">
      <alignment horizontal="center" vertical="center" wrapText="1"/>
    </xf>
    <xf numFmtId="179" fontId="4" fillId="0" borderId="0"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26" fillId="3"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6" fillId="3" borderId="0" xfId="0" applyFont="1" applyFill="1" applyBorder="1" applyAlignment="1">
      <alignment horizontal="center" vertical="center" wrapText="1"/>
    </xf>
    <xf numFmtId="0" fontId="4" fillId="3"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8" fillId="3" borderId="0"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0" fontId="4" fillId="0" borderId="0" xfId="0" applyFont="1" applyAlignment="1">
      <alignment horizontal="center" vertical="center" wrapText="1"/>
    </xf>
    <xf numFmtId="4" fontId="24" fillId="0" borderId="0" xfId="0" applyNumberFormat="1" applyFont="1" applyBorder="1" applyAlignment="1">
      <alignment horizontal="center" vertical="center" wrapText="1"/>
    </xf>
    <xf numFmtId="177" fontId="24" fillId="0" borderId="0"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14" fontId="5"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28" fillId="0" borderId="0" xfId="0" applyFont="1" applyFill="1" applyBorder="1" applyAlignment="1">
      <alignment horizontal="left" vertical="center" wrapText="1"/>
    </xf>
    <xf numFmtId="0" fontId="26" fillId="0" borderId="0" xfId="0" applyFont="1" applyAlignment="1">
      <alignment horizontal="center" vertical="center" wrapText="1"/>
    </xf>
    <xf numFmtId="0" fontId="5" fillId="3" borderId="1" xfId="0" applyFont="1" applyFill="1" applyBorder="1" applyAlignment="1">
      <alignment horizontal="center" vertical="center" wrapText="1"/>
    </xf>
    <xf numFmtId="49" fontId="4" fillId="0" borderId="1" xfId="0" applyNumberFormat="1" applyFont="1" applyFill="1" applyBorder="1" applyAlignment="1">
      <alignment horizontal="left" vertical="center" wrapText="1"/>
    </xf>
    <xf numFmtId="0" fontId="29" fillId="0" borderId="0" xfId="0" applyFont="1" applyBorder="1" applyAlignment="1">
      <alignment horizontal="center" vertical="center" wrapText="1"/>
    </xf>
    <xf numFmtId="0" fontId="4" fillId="3" borderId="0" xfId="0" applyFont="1" applyFill="1" applyAlignment="1">
      <alignment horizontal="center" vertical="center" wrapText="1"/>
    </xf>
    <xf numFmtId="0" fontId="4" fillId="0" borderId="0" xfId="0" applyFont="1" applyFill="1" applyAlignment="1">
      <alignment horizontal="center" vertical="center" wrapText="1"/>
    </xf>
    <xf numFmtId="0" fontId="26"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26" fillId="0" borderId="0" xfId="0" applyFont="1" applyFill="1" applyBorder="1" applyAlignment="1">
      <alignment horizontal="center" vertical="center" wrapText="1"/>
    </xf>
    <xf numFmtId="14" fontId="0" fillId="0" borderId="0" xfId="0" applyNumberFormat="1" applyBorder="1" applyAlignment="1">
      <alignment horizontal="center" vertical="center" wrapText="1"/>
    </xf>
    <xf numFmtId="49" fontId="5" fillId="0" borderId="1" xfId="0" applyNumberFormat="1" applyFont="1" applyFill="1" applyBorder="1" applyAlignment="1">
      <alignment vertical="center" wrapText="1"/>
    </xf>
    <xf numFmtId="0" fontId="4" fillId="0" borderId="4" xfId="0"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177" fontId="26" fillId="0" borderId="1" xfId="0" applyNumberFormat="1" applyFont="1" applyFill="1" applyBorder="1" applyAlignment="1">
      <alignment horizontal="center" vertical="center" wrapText="1"/>
    </xf>
    <xf numFmtId="0" fontId="30" fillId="0" borderId="0" xfId="0" applyFont="1" applyBorder="1" applyAlignment="1">
      <alignment horizontal="center" vertical="center" wrapText="1"/>
    </xf>
    <xf numFmtId="0" fontId="27" fillId="3" borderId="0" xfId="0" applyFont="1" applyFill="1" applyBorder="1" applyAlignment="1">
      <alignment horizontal="center" vertical="center" wrapText="1"/>
    </xf>
    <xf numFmtId="14" fontId="0" fillId="0" borderId="0" xfId="0" applyNumberFormat="1" applyFill="1" applyAlignment="1">
      <alignment horizontal="center" vertical="center" wrapText="1"/>
    </xf>
    <xf numFmtId="0" fontId="4" fillId="10" borderId="0" xfId="0" applyFont="1" applyFill="1" applyBorder="1" applyAlignment="1">
      <alignment horizontal="center" vertical="center" wrapText="1"/>
    </xf>
    <xf numFmtId="14" fontId="5" fillId="10" borderId="0" xfId="0" applyNumberFormat="1" applyFont="1" applyFill="1" applyBorder="1" applyAlignment="1">
      <alignment horizontal="center" vertical="center" wrapText="1"/>
    </xf>
    <xf numFmtId="4" fontId="5" fillId="10" borderId="0" xfId="0" applyNumberFormat="1" applyFont="1" applyFill="1" applyBorder="1" applyAlignment="1">
      <alignment horizontal="center" vertical="center" wrapText="1"/>
    </xf>
    <xf numFmtId="0" fontId="4" fillId="10" borderId="0" xfId="0" applyNumberFormat="1" applyFont="1" applyFill="1" applyBorder="1" applyAlignment="1">
      <alignment horizontal="center" vertical="center" wrapText="1"/>
    </xf>
    <xf numFmtId="0" fontId="5" fillId="10" borderId="0" xfId="0" applyFont="1" applyFill="1" applyBorder="1" applyAlignment="1">
      <alignment horizontal="distributed" vertical="center" wrapText="1"/>
    </xf>
    <xf numFmtId="0" fontId="5" fillId="10" borderId="0" xfId="0" applyNumberFormat="1" applyFont="1" applyFill="1" applyBorder="1" applyAlignment="1">
      <alignment horizontal="center" vertical="center" wrapText="1"/>
    </xf>
    <xf numFmtId="177" fontId="5" fillId="10" borderId="0" xfId="0" applyNumberFormat="1" applyFont="1" applyFill="1" applyBorder="1" applyAlignment="1">
      <alignment horizontal="center" vertical="center" wrapText="1"/>
    </xf>
    <xf numFmtId="49" fontId="24" fillId="0" borderId="0" xfId="0" applyNumberFormat="1" applyFont="1" applyBorder="1" applyAlignment="1">
      <alignment horizontal="center" vertical="center" wrapText="1"/>
    </xf>
    <xf numFmtId="0" fontId="24"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49" fontId="5" fillId="0" borderId="0" xfId="0" applyNumberFormat="1" applyFont="1" applyBorder="1" applyAlignment="1">
      <alignment horizontal="center" vertical="center" wrapText="1"/>
    </xf>
    <xf numFmtId="0" fontId="5" fillId="0" borderId="0" xfId="0" applyFont="1" applyFill="1" applyBorder="1" applyAlignment="1">
      <alignment horizontal="center" vertical="center" wrapText="1"/>
    </xf>
    <xf numFmtId="0" fontId="4" fillId="0" borderId="6" xfId="0" applyFont="1" applyBorder="1" applyAlignment="1">
      <alignment horizontal="center" vertical="center" wrapText="1"/>
    </xf>
    <xf numFmtId="0" fontId="3" fillId="0" borderId="0" xfId="0" applyNumberFormat="1" applyFont="1" applyBorder="1" applyAlignment="1">
      <alignment horizontal="left" vertical="center" wrapText="1"/>
    </xf>
    <xf numFmtId="0" fontId="4" fillId="0" borderId="1" xfId="0" applyNumberFormat="1" applyFont="1" applyFill="1" applyBorder="1" applyAlignment="1">
      <alignment horizontal="left" vertical="center" wrapText="1"/>
    </xf>
    <xf numFmtId="0" fontId="4" fillId="0" borderId="1" xfId="0" applyNumberFormat="1" applyFont="1" applyBorder="1" applyAlignment="1">
      <alignment horizontal="left" vertical="center" wrapText="1"/>
    </xf>
    <xf numFmtId="0" fontId="4" fillId="0" borderId="0" xfId="0" applyNumberFormat="1" applyFont="1" applyBorder="1" applyAlignment="1">
      <alignment horizontal="left" vertical="center" wrapText="1"/>
    </xf>
    <xf numFmtId="0" fontId="3" fillId="0" borderId="0"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9" fontId="5" fillId="0" borderId="1" xfId="0" applyNumberFormat="1" applyFont="1" applyFill="1" applyBorder="1" applyAlignment="1">
      <alignment horizontal="center" vertical="center" wrapText="1"/>
    </xf>
    <xf numFmtId="179" fontId="5" fillId="0" borderId="1" xfId="0" applyNumberFormat="1" applyFont="1" applyBorder="1" applyAlignment="1">
      <alignment horizontal="center" vertical="center" wrapText="1"/>
    </xf>
    <xf numFmtId="0" fontId="4" fillId="0" borderId="0" xfId="0" applyNumberFormat="1" applyFont="1" applyFill="1" applyBorder="1" applyAlignment="1">
      <alignment horizontal="center" vertical="center" wrapText="1"/>
    </xf>
    <xf numFmtId="4" fontId="5" fillId="0" borderId="0" xfId="0" applyNumberFormat="1" applyFont="1" applyBorder="1" applyAlignment="1">
      <alignment horizontal="center" vertical="center" wrapText="1"/>
    </xf>
    <xf numFmtId="0" fontId="5" fillId="0" borderId="0" xfId="0" applyNumberFormat="1" applyFont="1" applyFill="1" applyBorder="1" applyAlignment="1">
      <alignment horizontal="center" vertical="center" wrapText="1"/>
    </xf>
    <xf numFmtId="4" fontId="5" fillId="3" borderId="0" xfId="0" applyNumberFormat="1" applyFont="1" applyFill="1" applyBorder="1" applyAlignment="1">
      <alignment horizontal="center" vertical="center" wrapText="1"/>
    </xf>
    <xf numFmtId="177" fontId="4" fillId="0" borderId="1" xfId="0" applyNumberFormat="1" applyFont="1" applyBorder="1" applyAlignment="1">
      <alignment horizontal="center" vertical="center" wrapText="1"/>
    </xf>
    <xf numFmtId="4" fontId="4" fillId="3" borderId="0" xfId="0" applyNumberFormat="1" applyFont="1" applyFill="1" applyBorder="1" applyAlignment="1">
      <alignment horizontal="center" vertical="center" wrapText="1"/>
    </xf>
    <xf numFmtId="0" fontId="4" fillId="0" borderId="1" xfId="0" applyFont="1" applyFill="1" applyBorder="1" applyAlignment="1" quotePrefix="1">
      <alignment horizontal="center" vertical="center" wrapText="1"/>
    </xf>
    <xf numFmtId="0" fontId="4" fillId="0" borderId="1" xfId="0" applyFont="1" applyBorder="1" applyAlignment="1" quotePrefix="1">
      <alignment horizontal="center" vertical="center" wrapText="1"/>
    </xf>
    <xf numFmtId="49" fontId="4" fillId="0" borderId="1" xfId="0" applyNumberFormat="1" applyFont="1" applyBorder="1" applyAlignment="1" quotePrefix="1">
      <alignment horizontal="center" vertical="center" wrapText="1"/>
    </xf>
    <xf numFmtId="0" fontId="4" fillId="3" borderId="1" xfId="0" applyFont="1" applyFill="1" applyBorder="1" applyAlignment="1" quotePrefix="1">
      <alignment horizontal="center" vertical="center" wrapText="1"/>
    </xf>
    <xf numFmtId="0" fontId="4" fillId="0" borderId="1" xfId="0" applyNumberFormat="1" applyFont="1" applyBorder="1" applyAlignment="1" quotePrefix="1">
      <alignment horizontal="center" vertical="center" wrapText="1"/>
    </xf>
    <xf numFmtId="0" fontId="9" fillId="0" borderId="1" xfId="0" applyFont="1" applyFill="1" applyBorder="1" applyAlignment="1" quotePrefix="1">
      <alignment horizontal="center" vertical="center" wrapText="1"/>
    </xf>
    <xf numFmtId="14" fontId="4" fillId="0" borderId="1" xfId="0" applyNumberFormat="1" applyFont="1" applyBorder="1" applyAlignment="1" quotePrefix="1">
      <alignment horizontal="center" vertical="center" wrapText="1"/>
    </xf>
    <xf numFmtId="0" fontId="0" fillId="0" borderId="0" xfId="0" applyBorder="1" applyAlignment="1" quotePrefix="1">
      <alignment horizontal="center" vertical="center" wrapText="1"/>
    </xf>
    <xf numFmtId="0" fontId="9" fillId="3" borderId="1" xfId="0" applyFont="1" applyFill="1" applyBorder="1" applyAlignment="1" quotePrefix="1">
      <alignment horizontal="center" vertical="center" wrapText="1"/>
    </xf>
    <xf numFmtId="49" fontId="4" fillId="0" borderId="1" xfId="0" applyNumberFormat="1" applyFont="1" applyFill="1" applyBorder="1" applyAlignment="1" quotePrefix="1">
      <alignment horizontal="center" vertical="center" wrapText="1"/>
    </xf>
    <xf numFmtId="0" fontId="0" fillId="0" borderId="0" xfId="0" applyFill="1" applyAlignment="1" quotePrefix="1">
      <alignment horizontal="center" vertical="center" wrapText="1"/>
    </xf>
    <xf numFmtId="0" fontId="9" fillId="0" borderId="0" xfId="0" applyFont="1" applyFill="1" applyAlignment="1" quotePrefix="1">
      <alignment horizontal="center" vertical="center" wrapText="1"/>
    </xf>
    <xf numFmtId="0" fontId="0" fillId="3" borderId="0" xfId="0" applyFill="1" applyBorder="1" applyAlignment="1" quotePrefix="1">
      <alignment horizontal="center" vertical="center" wrapText="1"/>
    </xf>
    <xf numFmtId="0" fontId="0" fillId="0" borderId="1" xfId="0" applyFill="1" applyBorder="1" applyAlignment="1" quotePrefix="1">
      <alignment wrapText="1"/>
    </xf>
    <xf numFmtId="0" fontId="0" fillId="0" borderId="1" xfId="0" applyBorder="1" applyAlignment="1" quotePrefix="1">
      <alignment wrapText="1"/>
    </xf>
    <xf numFmtId="49" fontId="7" fillId="5" borderId="1" xfId="0" applyNumberFormat="1" applyFont="1" applyFill="1" applyBorder="1" applyAlignment="1" quotePrefix="1">
      <alignment horizontal="center" vertical="center" wrapText="1"/>
    </xf>
  </cellXfs>
  <cellStyles count="49">
    <cellStyle name="常规" xfId="0" builtinId="0"/>
    <cellStyle name="强调文字颜色 6" xfId="1" builtinId="49"/>
    <cellStyle name="20% - 强调文字颜色 5" xfId="2" builtinId="46"/>
    <cellStyle name="20% - 强调文字颜色 4" xfId="3" builtinId="42"/>
    <cellStyle name="强调文字颜色 4" xfId="4" builtinId="41"/>
    <cellStyle name="60% - 强调文字颜色 6" xfId="5" builtinId="52"/>
    <cellStyle name="40% - 强调文字颜色 3" xfId="6" builtinId="39"/>
    <cellStyle name="强调文字颜色 3" xfId="7" builtinId="37"/>
    <cellStyle name="60% - 强调文字颜色 2" xfId="8" builtinId="36"/>
    <cellStyle name="60% - 强调文字颜色 5" xfId="9" builtinId="48"/>
    <cellStyle name="40% - 强调文字颜色 2" xfId="10" builtinId="35"/>
    <cellStyle name="40% - 强调文字颜色 5" xfId="11" builtinId="47"/>
    <cellStyle name="20% - 强调文字颜色 2" xfId="12" builtinId="34"/>
    <cellStyle name="标题" xfId="13" builtinId="15"/>
    <cellStyle name="已访问的超链接" xfId="14" builtinId="9"/>
    <cellStyle name="检查单元格" xfId="15" builtinId="23"/>
    <cellStyle name="标题 1" xfId="16" builtinId="16"/>
    <cellStyle name="输入" xfId="17" builtinId="20"/>
    <cellStyle name="超链接" xfId="18" builtinId="8"/>
    <cellStyle name="输出" xfId="19" builtinId="21"/>
    <cellStyle name="40% - 强调文字颜色 6" xfId="20" builtinId="51"/>
    <cellStyle name="20% - 强调文字颜色 3" xfId="21" builtinId="38"/>
    <cellStyle name="货币[0]" xfId="22" builtinId="7"/>
    <cellStyle name="标题 3" xfId="23" builtinId="18"/>
    <cellStyle name="解释性文本" xfId="24" builtinId="53"/>
    <cellStyle name="计算" xfId="25" builtinId="22"/>
    <cellStyle name="60% - 强调文字颜色 1" xfId="26" builtinId="32"/>
    <cellStyle name="千位分隔[0]" xfId="27" builtinId="6"/>
    <cellStyle name="60% - 强调文字颜色 3" xfId="28" builtinId="40"/>
    <cellStyle name="注释" xfId="29" builtinId="10"/>
    <cellStyle name="好" xfId="30" builtinId="26"/>
    <cellStyle name="货币" xfId="31" builtinId="4"/>
    <cellStyle name="千位分隔" xfId="32" builtinId="3"/>
    <cellStyle name="标题 2" xfId="33" builtinId="17"/>
    <cellStyle name="标题 4" xfId="34" builtinId="19"/>
    <cellStyle name="百分比" xfId="35" builtinId="5"/>
    <cellStyle name="链接单元格" xfId="36" builtinId="24"/>
    <cellStyle name="40% - 强调文字颜色 4" xfId="37" builtinId="43"/>
    <cellStyle name="20% - 强调文字颜色 1" xfId="38" builtinId="30"/>
    <cellStyle name="强调文字颜色 5" xfId="39" builtinId="45"/>
    <cellStyle name="汇总" xfId="40" builtinId="25"/>
    <cellStyle name="强调文字颜色 2" xfId="41" builtinId="33"/>
    <cellStyle name="差" xfId="42" builtinId="27"/>
    <cellStyle name="20% - 强调文字颜色 6" xfId="43" builtinId="50"/>
    <cellStyle name="警告文本" xfId="44" builtinId="11"/>
    <cellStyle name="适中" xfId="45" builtinId="28"/>
    <cellStyle name="强调文字颜色 1" xfId="46" builtinId="29"/>
    <cellStyle name="60% - 强调文字颜色 4" xfId="47" builtinId="44"/>
    <cellStyle name="40% - 强调文字颜色 1" xfId="48" builtinId="31"/>
  </cellStyles>
  <dxfs count="2">
    <dxf>
      <font>
        <color rgb="FF9C0006"/>
      </font>
      <fill>
        <patternFill patternType="solid">
          <bgColor rgb="FFFFC7CE"/>
        </patternFill>
      </fill>
    </dxf>
    <dxf>
      <fill>
        <patternFill patternType="solid">
          <fgColor rgb="FFFFFF00"/>
          <bgColor rgb="FFFFFF00"/>
        </patternFill>
      </fill>
    </dxf>
  </dxfs>
  <tableStyles count="0" defaultTableStyle="TableStyleMedium2" defaultPivotStyle="PivotStyleLight16"/>
  <colors>
    <mruColors>
      <color rgb="0000B0F0"/>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F39"/>
  <sheetViews>
    <sheetView zoomScale="80" zoomScaleNormal="80" topLeftCell="D1" workbookViewId="0">
      <pane ySplit="2" topLeftCell="A30" activePane="bottomLeft" state="frozen"/>
      <selection/>
      <selection pane="bottomLeft" activeCell="L38" sqref="L38"/>
    </sheetView>
  </sheetViews>
  <sheetFormatPr defaultColWidth="8.66666666666667" defaultRowHeight="15.75"/>
  <cols>
    <col min="1" max="1" width="6.91666666666667" style="202" customWidth="1"/>
    <col min="2" max="2" width="6.90833333333333" style="301" customWidth="1"/>
    <col min="3" max="3" width="15.25" style="204" customWidth="1"/>
    <col min="4" max="4" width="15.2583333333333" style="302" customWidth="1"/>
    <col min="5" max="6" width="9.99166666666667" style="202" customWidth="1"/>
    <col min="7" max="7" width="20.5833333333333" style="202" customWidth="1"/>
    <col min="8" max="8" width="10.5833333333333" style="202" customWidth="1"/>
    <col min="9" max="9" width="9.99166666666667" style="203" customWidth="1"/>
    <col min="10" max="11" width="10.5833333333333" style="303" customWidth="1"/>
    <col min="12" max="13" width="30.625" style="304" customWidth="1"/>
    <col min="14" max="14" width="9.99166666666667" style="305" customWidth="1"/>
    <col min="15" max="15" width="13.6666666666667" style="206" customWidth="1"/>
    <col min="16" max="16" width="13.6666666666667" style="266" customWidth="1"/>
    <col min="17" max="17" width="13.6666666666667" style="207" customWidth="1"/>
    <col min="18" max="18" width="13.6666666666667" style="209" customWidth="1"/>
    <col min="19" max="20" width="13.6666666666667" style="206" customWidth="1"/>
    <col min="21" max="21" width="12.625" style="202" customWidth="1"/>
    <col min="22" max="22" width="13.6666666666667" style="210" customWidth="1"/>
    <col min="23" max="26" width="13.6666666666667" style="202" customWidth="1"/>
    <col min="27" max="27" width="13.6666666666667" style="206" customWidth="1"/>
    <col min="28" max="28" width="9" style="202"/>
    <col min="29" max="16384" width="8.66666666666667" style="202"/>
  </cols>
  <sheetData>
    <row r="1" s="1" customFormat="1" ht="40" customHeight="1" spans="1:22">
      <c r="A1" s="211" t="s">
        <v>0</v>
      </c>
      <c r="B1" s="212"/>
      <c r="C1" s="211"/>
      <c r="D1" s="228"/>
      <c r="E1" s="211"/>
      <c r="F1" s="211"/>
      <c r="G1" s="211"/>
      <c r="H1" s="211"/>
      <c r="I1" s="212"/>
      <c r="J1" s="239"/>
      <c r="K1" s="239"/>
      <c r="L1" s="309"/>
      <c r="M1" s="309"/>
      <c r="N1" s="313"/>
      <c r="O1" s="211"/>
      <c r="P1" s="211"/>
      <c r="Q1" s="211"/>
      <c r="R1" s="211"/>
      <c r="S1" s="211"/>
      <c r="T1" s="211"/>
      <c r="V1" s="56"/>
    </row>
    <row r="2" s="2" customFormat="1" ht="39.65" customHeight="1" spans="1:30">
      <c r="A2" s="9" t="s">
        <v>1</v>
      </c>
      <c r="B2" s="10" t="s">
        <v>2</v>
      </c>
      <c r="C2" s="9" t="s">
        <v>3</v>
      </c>
      <c r="D2" s="27" t="s">
        <v>4</v>
      </c>
      <c r="E2" s="9" t="s">
        <v>5</v>
      </c>
      <c r="F2" s="9" t="s">
        <v>6</v>
      </c>
      <c r="G2" s="9" t="s">
        <v>7</v>
      </c>
      <c r="H2" s="9" t="s">
        <v>8</v>
      </c>
      <c r="I2" s="10" t="s">
        <v>9</v>
      </c>
      <c r="J2" s="34" t="s">
        <v>10</v>
      </c>
      <c r="K2" s="34" t="s">
        <v>11</v>
      </c>
      <c r="L2" s="34" t="s">
        <v>12</v>
      </c>
      <c r="M2" s="314" t="s">
        <v>13</v>
      </c>
      <c r="N2" s="314" t="s">
        <v>14</v>
      </c>
      <c r="O2" s="49" t="s">
        <v>15</v>
      </c>
      <c r="P2" s="49" t="s">
        <v>16</v>
      </c>
      <c r="Q2" s="49" t="s">
        <v>17</v>
      </c>
      <c r="R2" s="240" t="s">
        <v>18</v>
      </c>
      <c r="S2" s="49" t="s">
        <v>19</v>
      </c>
      <c r="T2" s="49" t="s">
        <v>20</v>
      </c>
      <c r="U2" s="9" t="s">
        <v>21</v>
      </c>
      <c r="V2" s="58" t="s">
        <v>22</v>
      </c>
      <c r="W2" s="9" t="s">
        <v>23</v>
      </c>
      <c r="X2" s="9" t="s">
        <v>24</v>
      </c>
      <c r="Y2" s="9" t="s">
        <v>25</v>
      </c>
      <c r="Z2" s="9" t="s">
        <v>26</v>
      </c>
      <c r="AA2" s="49" t="s">
        <v>27</v>
      </c>
      <c r="AB2" s="2" t="s">
        <v>28</v>
      </c>
      <c r="AD2" s="2" t="s">
        <v>29</v>
      </c>
    </row>
    <row r="3" s="66" customFormat="1" ht="99" spans="1:30">
      <c r="A3" s="213">
        <v>1</v>
      </c>
      <c r="B3" s="214" t="s">
        <v>30</v>
      </c>
      <c r="C3" s="12" t="s">
        <v>31</v>
      </c>
      <c r="D3" s="12" t="s">
        <v>32</v>
      </c>
      <c r="E3" s="12" t="s">
        <v>33</v>
      </c>
      <c r="F3" s="11" t="s">
        <v>34</v>
      </c>
      <c r="G3" s="11" t="s">
        <v>35</v>
      </c>
      <c r="H3" s="11" t="s">
        <v>36</v>
      </c>
      <c r="I3" s="12">
        <v>13950235268</v>
      </c>
      <c r="J3" s="40" t="s">
        <v>37</v>
      </c>
      <c r="K3" s="40" t="s">
        <v>38</v>
      </c>
      <c r="L3" s="310" t="s">
        <v>39</v>
      </c>
      <c r="M3" s="310" t="s">
        <v>40</v>
      </c>
      <c r="N3" s="40" t="s">
        <v>41</v>
      </c>
      <c r="O3" s="315">
        <v>44119</v>
      </c>
      <c r="P3" s="35" t="s">
        <v>42</v>
      </c>
      <c r="Q3" s="275" t="s">
        <v>42</v>
      </c>
      <c r="R3" s="321" t="s">
        <v>42</v>
      </c>
      <c r="S3" s="35" t="s">
        <v>42</v>
      </c>
      <c r="T3" s="275">
        <v>44120</v>
      </c>
      <c r="U3" s="11" t="s">
        <v>43</v>
      </c>
      <c r="V3" s="251">
        <v>44124</v>
      </c>
      <c r="W3" s="251">
        <v>44124</v>
      </c>
      <c r="X3" s="251" t="s">
        <v>44</v>
      </c>
      <c r="Y3" s="213" t="s">
        <v>42</v>
      </c>
      <c r="Z3" s="251">
        <v>44124</v>
      </c>
      <c r="AA3" s="35"/>
      <c r="AB3" s="202" t="s">
        <v>45</v>
      </c>
      <c r="AD3" s="202" t="s">
        <v>46</v>
      </c>
    </row>
    <row r="4" s="66" customFormat="1" ht="132" spans="1:30">
      <c r="A4" s="213">
        <v>2</v>
      </c>
      <c r="B4" s="214" t="s">
        <v>47</v>
      </c>
      <c r="C4" s="12" t="s">
        <v>48</v>
      </c>
      <c r="D4" s="12" t="s">
        <v>49</v>
      </c>
      <c r="E4" s="12" t="s">
        <v>50</v>
      </c>
      <c r="F4" s="323" t="s">
        <v>51</v>
      </c>
      <c r="G4" s="11" t="s">
        <v>52</v>
      </c>
      <c r="H4" s="11" t="s">
        <v>53</v>
      </c>
      <c r="I4" s="12">
        <v>18277195178</v>
      </c>
      <c r="J4" s="40" t="s">
        <v>37</v>
      </c>
      <c r="K4" s="40" t="s">
        <v>54</v>
      </c>
      <c r="L4" s="310" t="s">
        <v>55</v>
      </c>
      <c r="M4" s="310" t="s">
        <v>40</v>
      </c>
      <c r="N4" s="40" t="s">
        <v>56</v>
      </c>
      <c r="O4" s="315">
        <v>44119</v>
      </c>
      <c r="P4" s="35" t="s">
        <v>42</v>
      </c>
      <c r="Q4" s="275" t="s">
        <v>42</v>
      </c>
      <c r="R4" s="321" t="s">
        <v>42</v>
      </c>
      <c r="S4" s="35" t="s">
        <v>42</v>
      </c>
      <c r="T4" s="275">
        <v>44120</v>
      </c>
      <c r="U4" s="11" t="s">
        <v>57</v>
      </c>
      <c r="V4" s="251">
        <v>44124</v>
      </c>
      <c r="W4" s="251">
        <v>44124</v>
      </c>
      <c r="X4" s="251" t="s">
        <v>44</v>
      </c>
      <c r="Y4" s="213" t="s">
        <v>42</v>
      </c>
      <c r="Z4" s="251">
        <v>44124</v>
      </c>
      <c r="AA4" s="35"/>
      <c r="AB4" s="202" t="s">
        <v>45</v>
      </c>
      <c r="AD4" s="202" t="s">
        <v>46</v>
      </c>
    </row>
    <row r="5" s="66" customFormat="1" ht="148.5" spans="1:30">
      <c r="A5" s="213">
        <v>3</v>
      </c>
      <c r="B5" s="214">
        <v>20201000016</v>
      </c>
      <c r="C5" s="213" t="s">
        <v>58</v>
      </c>
      <c r="D5" s="11" t="s">
        <v>59</v>
      </c>
      <c r="E5" s="213" t="s">
        <v>60</v>
      </c>
      <c r="F5" s="213" t="s">
        <v>61</v>
      </c>
      <c r="G5" s="213" t="s">
        <v>62</v>
      </c>
      <c r="H5" s="213" t="s">
        <v>63</v>
      </c>
      <c r="I5" s="214">
        <v>18152657658</v>
      </c>
      <c r="J5" s="241" t="s">
        <v>37</v>
      </c>
      <c r="K5" s="241" t="s">
        <v>64</v>
      </c>
      <c r="L5" s="311" t="s">
        <v>65</v>
      </c>
      <c r="M5" s="310" t="s">
        <v>40</v>
      </c>
      <c r="N5" s="40" t="s">
        <v>66</v>
      </c>
      <c r="O5" s="315">
        <v>44125</v>
      </c>
      <c r="P5" s="35" t="s">
        <v>42</v>
      </c>
      <c r="Q5" s="275" t="s">
        <v>42</v>
      </c>
      <c r="R5" s="321" t="s">
        <v>42</v>
      </c>
      <c r="S5" s="35" t="s">
        <v>42</v>
      </c>
      <c r="T5" s="275">
        <v>44125</v>
      </c>
      <c r="U5" s="11" t="s">
        <v>57</v>
      </c>
      <c r="V5" s="251">
        <v>44134</v>
      </c>
      <c r="W5" s="251">
        <v>44134</v>
      </c>
      <c r="X5" s="251" t="s">
        <v>44</v>
      </c>
      <c r="Y5" s="213" t="s">
        <v>42</v>
      </c>
      <c r="Z5" s="251">
        <v>44132</v>
      </c>
      <c r="AA5" s="35"/>
      <c r="AB5" s="202" t="s">
        <v>45</v>
      </c>
      <c r="AD5" s="202" t="s">
        <v>46</v>
      </c>
    </row>
    <row r="6" s="66" customFormat="1" ht="99" spans="1:30">
      <c r="A6" s="213">
        <v>4</v>
      </c>
      <c r="B6" s="214">
        <v>20201000017</v>
      </c>
      <c r="C6" s="213" t="s">
        <v>67</v>
      </c>
      <c r="D6" s="11" t="s">
        <v>68</v>
      </c>
      <c r="E6" s="12" t="s">
        <v>69</v>
      </c>
      <c r="F6" s="213" t="s">
        <v>70</v>
      </c>
      <c r="G6" s="213" t="s">
        <v>71</v>
      </c>
      <c r="H6" s="213" t="s">
        <v>72</v>
      </c>
      <c r="I6" s="214">
        <v>15173201116</v>
      </c>
      <c r="J6" s="241" t="s">
        <v>37</v>
      </c>
      <c r="K6" s="241" t="s">
        <v>73</v>
      </c>
      <c r="L6" s="311" t="s">
        <v>74</v>
      </c>
      <c r="M6" s="310" t="s">
        <v>40</v>
      </c>
      <c r="N6" s="40" t="s">
        <v>75</v>
      </c>
      <c r="O6" s="316">
        <v>44126</v>
      </c>
      <c r="P6" s="35" t="s">
        <v>42</v>
      </c>
      <c r="Q6" s="275" t="s">
        <v>42</v>
      </c>
      <c r="R6" s="321" t="s">
        <v>42</v>
      </c>
      <c r="S6" s="35" t="s">
        <v>42</v>
      </c>
      <c r="T6" s="275">
        <v>44126</v>
      </c>
      <c r="U6" s="11" t="s">
        <v>57</v>
      </c>
      <c r="V6" s="251">
        <v>44134</v>
      </c>
      <c r="W6" s="251">
        <v>44134</v>
      </c>
      <c r="X6" s="251" t="s">
        <v>44</v>
      </c>
      <c r="Y6" s="213" t="s">
        <v>42</v>
      </c>
      <c r="Z6" s="251">
        <v>44132</v>
      </c>
      <c r="AA6" s="275"/>
      <c r="AB6" s="202" t="s">
        <v>45</v>
      </c>
      <c r="AD6" s="202" t="s">
        <v>46</v>
      </c>
    </row>
    <row r="7" s="66" customFormat="1" ht="99" spans="1:30">
      <c r="A7" s="213">
        <v>5</v>
      </c>
      <c r="B7" s="214">
        <v>20201000018</v>
      </c>
      <c r="C7" s="213" t="s">
        <v>76</v>
      </c>
      <c r="D7" s="11" t="s">
        <v>76</v>
      </c>
      <c r="E7" s="213" t="s">
        <v>77</v>
      </c>
      <c r="F7" s="213" t="s">
        <v>78</v>
      </c>
      <c r="G7" s="213" t="s">
        <v>79</v>
      </c>
      <c r="H7" s="213" t="s">
        <v>80</v>
      </c>
      <c r="I7" s="214">
        <v>13670165487</v>
      </c>
      <c r="J7" s="241" t="s">
        <v>37</v>
      </c>
      <c r="K7" s="241" t="s">
        <v>54</v>
      </c>
      <c r="L7" s="311" t="s">
        <v>55</v>
      </c>
      <c r="M7" s="310" t="s">
        <v>40</v>
      </c>
      <c r="N7" s="40" t="s">
        <v>81</v>
      </c>
      <c r="O7" s="274">
        <v>44126</v>
      </c>
      <c r="P7" s="35" t="s">
        <v>42</v>
      </c>
      <c r="Q7" s="275" t="s">
        <v>42</v>
      </c>
      <c r="R7" s="321" t="s">
        <v>42</v>
      </c>
      <c r="S7" s="35" t="s">
        <v>42</v>
      </c>
      <c r="T7" s="275">
        <v>44126</v>
      </c>
      <c r="U7" s="213" t="s">
        <v>82</v>
      </c>
      <c r="V7" s="251">
        <v>44132</v>
      </c>
      <c r="W7" s="251">
        <v>44134</v>
      </c>
      <c r="X7" s="251" t="s">
        <v>44</v>
      </c>
      <c r="Y7" s="213" t="s">
        <v>42</v>
      </c>
      <c r="Z7" s="251">
        <v>44132</v>
      </c>
      <c r="AA7" s="275"/>
      <c r="AB7" s="202" t="s">
        <v>45</v>
      </c>
      <c r="AD7" s="202" t="s">
        <v>46</v>
      </c>
    </row>
    <row r="8" s="66" customFormat="1" ht="115.5" spans="1:30">
      <c r="A8" s="213">
        <v>6</v>
      </c>
      <c r="B8" s="214">
        <v>20201000019</v>
      </c>
      <c r="C8" s="213" t="s">
        <v>83</v>
      </c>
      <c r="D8" s="11" t="s">
        <v>83</v>
      </c>
      <c r="E8" s="213" t="s">
        <v>84</v>
      </c>
      <c r="F8" s="324" t="s">
        <v>85</v>
      </c>
      <c r="G8" s="213" t="s">
        <v>86</v>
      </c>
      <c r="H8" s="213" t="s">
        <v>87</v>
      </c>
      <c r="I8" s="214">
        <v>15072618173</v>
      </c>
      <c r="J8" s="241" t="s">
        <v>37</v>
      </c>
      <c r="K8" s="241" t="s">
        <v>54</v>
      </c>
      <c r="L8" s="311" t="s">
        <v>88</v>
      </c>
      <c r="M8" s="310" t="s">
        <v>40</v>
      </c>
      <c r="N8" s="40" t="s">
        <v>89</v>
      </c>
      <c r="O8" s="274">
        <v>44126</v>
      </c>
      <c r="P8" s="35" t="s">
        <v>42</v>
      </c>
      <c r="Q8" s="275" t="s">
        <v>42</v>
      </c>
      <c r="R8" s="321" t="s">
        <v>42</v>
      </c>
      <c r="S8" s="35" t="s">
        <v>42</v>
      </c>
      <c r="T8" s="275">
        <v>44127</v>
      </c>
      <c r="U8" s="213" t="s">
        <v>82</v>
      </c>
      <c r="V8" s="251">
        <v>44132</v>
      </c>
      <c r="W8" s="251">
        <v>44134</v>
      </c>
      <c r="X8" s="251" t="s">
        <v>44</v>
      </c>
      <c r="Y8" s="213" t="s">
        <v>42</v>
      </c>
      <c r="Z8" s="251">
        <v>44132</v>
      </c>
      <c r="AA8" s="275"/>
      <c r="AB8" s="202" t="s">
        <v>45</v>
      </c>
      <c r="AD8" s="202" t="s">
        <v>46</v>
      </c>
    </row>
    <row r="9" s="66" customFormat="1" ht="115.5" spans="1:30">
      <c r="A9" s="213">
        <v>7</v>
      </c>
      <c r="B9" s="214">
        <v>20201000020</v>
      </c>
      <c r="C9" s="213" t="s">
        <v>90</v>
      </c>
      <c r="D9" s="11" t="s">
        <v>91</v>
      </c>
      <c r="E9" s="12" t="s">
        <v>92</v>
      </c>
      <c r="F9" s="308" t="s">
        <v>93</v>
      </c>
      <c r="G9" s="213" t="s">
        <v>94</v>
      </c>
      <c r="H9" s="213" t="s">
        <v>95</v>
      </c>
      <c r="I9" s="214">
        <v>18675566487</v>
      </c>
      <c r="J9" s="241" t="s">
        <v>37</v>
      </c>
      <c r="K9" s="241" t="s">
        <v>54</v>
      </c>
      <c r="L9" s="311" t="s">
        <v>96</v>
      </c>
      <c r="M9" s="310" t="s">
        <v>40</v>
      </c>
      <c r="N9" s="40" t="s">
        <v>97</v>
      </c>
      <c r="O9" s="316">
        <v>44126</v>
      </c>
      <c r="P9" s="35" t="s">
        <v>42</v>
      </c>
      <c r="Q9" s="275" t="s">
        <v>42</v>
      </c>
      <c r="R9" s="321" t="s">
        <v>42</v>
      </c>
      <c r="S9" s="35" t="s">
        <v>42</v>
      </c>
      <c r="T9" s="275">
        <v>44126</v>
      </c>
      <c r="U9" s="11" t="s">
        <v>43</v>
      </c>
      <c r="V9" s="251">
        <v>44134</v>
      </c>
      <c r="W9" s="251">
        <v>44134</v>
      </c>
      <c r="X9" s="251" t="s">
        <v>44</v>
      </c>
      <c r="Y9" s="213" t="s">
        <v>42</v>
      </c>
      <c r="Z9" s="251">
        <v>44132</v>
      </c>
      <c r="AA9" s="275"/>
      <c r="AB9" s="202" t="s">
        <v>45</v>
      </c>
      <c r="AD9" s="202" t="s">
        <v>46</v>
      </c>
    </row>
    <row r="10" s="66" customFormat="1" ht="85" customHeight="1" spans="1:30">
      <c r="A10" s="213">
        <v>8</v>
      </c>
      <c r="B10" s="214">
        <v>20201000021</v>
      </c>
      <c r="C10" s="213" t="s">
        <v>98</v>
      </c>
      <c r="D10" s="11" t="s">
        <v>99</v>
      </c>
      <c r="E10" s="213" t="s">
        <v>100</v>
      </c>
      <c r="F10" s="213" t="s">
        <v>101</v>
      </c>
      <c r="G10" s="213" t="s">
        <v>102</v>
      </c>
      <c r="H10" s="213" t="s">
        <v>103</v>
      </c>
      <c r="I10" s="214">
        <v>13342994277</v>
      </c>
      <c r="J10" s="241" t="s">
        <v>37</v>
      </c>
      <c r="K10" s="241" t="s">
        <v>54</v>
      </c>
      <c r="L10" s="311" t="s">
        <v>104</v>
      </c>
      <c r="M10" s="310" t="s">
        <v>40</v>
      </c>
      <c r="N10" s="40" t="s">
        <v>105</v>
      </c>
      <c r="O10" s="316">
        <v>44126</v>
      </c>
      <c r="P10" s="35" t="s">
        <v>42</v>
      </c>
      <c r="Q10" s="275" t="s">
        <v>42</v>
      </c>
      <c r="R10" s="321" t="s">
        <v>42</v>
      </c>
      <c r="S10" s="35" t="s">
        <v>42</v>
      </c>
      <c r="T10" s="275">
        <v>44126</v>
      </c>
      <c r="U10" s="11" t="s">
        <v>43</v>
      </c>
      <c r="V10" s="251">
        <v>44134</v>
      </c>
      <c r="W10" s="251">
        <v>44134</v>
      </c>
      <c r="X10" s="251" t="s">
        <v>44</v>
      </c>
      <c r="Y10" s="213" t="s">
        <v>42</v>
      </c>
      <c r="Z10" s="251">
        <v>44132</v>
      </c>
      <c r="AA10" s="35"/>
      <c r="AB10" s="202" t="s">
        <v>45</v>
      </c>
      <c r="AD10" s="202" t="s">
        <v>46</v>
      </c>
    </row>
    <row r="11" ht="85" customHeight="1" spans="1:30">
      <c r="A11" s="213">
        <v>1</v>
      </c>
      <c r="B11" s="214">
        <v>20211000010</v>
      </c>
      <c r="C11" s="12" t="s">
        <v>106</v>
      </c>
      <c r="D11" s="12" t="s">
        <v>107</v>
      </c>
      <c r="E11" s="12" t="s">
        <v>108</v>
      </c>
      <c r="F11" s="11" t="s">
        <v>109</v>
      </c>
      <c r="G11" s="11" t="s">
        <v>110</v>
      </c>
      <c r="H11" s="11" t="s">
        <v>111</v>
      </c>
      <c r="I11" s="12">
        <v>13312915836</v>
      </c>
      <c r="J11" s="40" t="s">
        <v>37</v>
      </c>
      <c r="K11" s="241" t="s">
        <v>64</v>
      </c>
      <c r="L11" s="310" t="s">
        <v>112</v>
      </c>
      <c r="M11" s="310" t="s">
        <v>40</v>
      </c>
      <c r="N11" s="40" t="s">
        <v>113</v>
      </c>
      <c r="O11" s="60">
        <v>44305</v>
      </c>
      <c r="P11" s="35" t="s">
        <v>42</v>
      </c>
      <c r="Q11" s="275" t="s">
        <v>42</v>
      </c>
      <c r="R11" s="321" t="s">
        <v>42</v>
      </c>
      <c r="S11" s="35" t="s">
        <v>42</v>
      </c>
      <c r="T11" s="275" t="s">
        <v>42</v>
      </c>
      <c r="U11" s="11" t="s">
        <v>57</v>
      </c>
      <c r="V11" s="251">
        <v>44308</v>
      </c>
      <c r="W11" s="251">
        <v>44312</v>
      </c>
      <c r="X11" s="251" t="s">
        <v>44</v>
      </c>
      <c r="Y11" s="251">
        <v>44316</v>
      </c>
      <c r="Z11" s="251">
        <v>44322</v>
      </c>
      <c r="AA11" s="35"/>
      <c r="AB11" s="202" t="s">
        <v>45</v>
      </c>
      <c r="AD11" s="202" t="s">
        <v>46</v>
      </c>
    </row>
    <row r="12" ht="85" customHeight="1" spans="1:30">
      <c r="A12" s="213">
        <v>2</v>
      </c>
      <c r="B12" s="214">
        <v>20211000013</v>
      </c>
      <c r="C12" s="12" t="s">
        <v>114</v>
      </c>
      <c r="D12" s="12" t="s">
        <v>115</v>
      </c>
      <c r="E12" s="12" t="s">
        <v>116</v>
      </c>
      <c r="F12" s="11" t="s">
        <v>117</v>
      </c>
      <c r="G12" s="11" t="s">
        <v>118</v>
      </c>
      <c r="H12" s="11" t="s">
        <v>119</v>
      </c>
      <c r="I12" s="12">
        <v>13590432422</v>
      </c>
      <c r="J12" s="40" t="s">
        <v>37</v>
      </c>
      <c r="K12" s="40" t="s">
        <v>120</v>
      </c>
      <c r="L12" s="310" t="s">
        <v>88</v>
      </c>
      <c r="M12" s="310" t="s">
        <v>40</v>
      </c>
      <c r="N12" s="40" t="s">
        <v>121</v>
      </c>
      <c r="O12" s="60">
        <v>44305</v>
      </c>
      <c r="P12" s="35" t="s">
        <v>42</v>
      </c>
      <c r="Q12" s="275" t="s">
        <v>42</v>
      </c>
      <c r="R12" s="321" t="s">
        <v>42</v>
      </c>
      <c r="S12" s="35" t="s">
        <v>42</v>
      </c>
      <c r="T12" s="275" t="s">
        <v>42</v>
      </c>
      <c r="U12" s="213" t="s">
        <v>122</v>
      </c>
      <c r="V12" s="251">
        <v>44308</v>
      </c>
      <c r="W12" s="251">
        <v>44312</v>
      </c>
      <c r="X12" s="251" t="s">
        <v>44</v>
      </c>
      <c r="Y12" s="251">
        <v>44316</v>
      </c>
      <c r="Z12" s="251">
        <v>44322</v>
      </c>
      <c r="AA12" s="35"/>
      <c r="AB12" s="202" t="s">
        <v>45</v>
      </c>
      <c r="AD12" s="202" t="s">
        <v>46</v>
      </c>
    </row>
    <row r="13" ht="85" customHeight="1" spans="1:30">
      <c r="A13" s="213">
        <v>3</v>
      </c>
      <c r="B13" s="214">
        <v>20211000016</v>
      </c>
      <c r="C13" s="213" t="s">
        <v>123</v>
      </c>
      <c r="D13" s="11" t="s">
        <v>124</v>
      </c>
      <c r="E13" s="213" t="s">
        <v>125</v>
      </c>
      <c r="F13" s="213" t="s">
        <v>126</v>
      </c>
      <c r="G13" s="213" t="s">
        <v>127</v>
      </c>
      <c r="H13" s="213" t="s">
        <v>128</v>
      </c>
      <c r="I13" s="214">
        <v>13482562706</v>
      </c>
      <c r="J13" s="40" t="s">
        <v>37</v>
      </c>
      <c r="K13" s="241" t="s">
        <v>64</v>
      </c>
      <c r="L13" s="311" t="s">
        <v>129</v>
      </c>
      <c r="M13" s="310" t="s">
        <v>40</v>
      </c>
      <c r="N13" s="40" t="s">
        <v>130</v>
      </c>
      <c r="O13" s="60">
        <v>44307</v>
      </c>
      <c r="P13" s="35" t="s">
        <v>42</v>
      </c>
      <c r="Q13" s="275" t="s">
        <v>42</v>
      </c>
      <c r="R13" s="321" t="s">
        <v>42</v>
      </c>
      <c r="S13" s="35" t="s">
        <v>42</v>
      </c>
      <c r="T13" s="275" t="s">
        <v>42</v>
      </c>
      <c r="U13" s="11" t="s">
        <v>43</v>
      </c>
      <c r="V13" s="251">
        <v>44309</v>
      </c>
      <c r="W13" s="251">
        <v>44312</v>
      </c>
      <c r="X13" s="251" t="s">
        <v>44</v>
      </c>
      <c r="Y13" s="251">
        <v>44316</v>
      </c>
      <c r="Z13" s="251">
        <v>44322</v>
      </c>
      <c r="AA13" s="35" t="s">
        <v>131</v>
      </c>
      <c r="AB13" s="202" t="s">
        <v>45</v>
      </c>
      <c r="AD13" s="202" t="s">
        <v>46</v>
      </c>
    </row>
    <row r="14" ht="85" customHeight="1" spans="1:30">
      <c r="A14" s="213">
        <v>1</v>
      </c>
      <c r="B14" s="214" t="s">
        <v>132</v>
      </c>
      <c r="C14" s="213" t="s">
        <v>133</v>
      </c>
      <c r="D14" s="11" t="s">
        <v>134</v>
      </c>
      <c r="E14" s="213" t="s">
        <v>135</v>
      </c>
      <c r="F14" s="324" t="s">
        <v>136</v>
      </c>
      <c r="G14" s="213" t="s">
        <v>137</v>
      </c>
      <c r="H14" s="213" t="s">
        <v>138</v>
      </c>
      <c r="I14" s="214">
        <v>13537672830</v>
      </c>
      <c r="J14" s="40" t="s">
        <v>37</v>
      </c>
      <c r="K14" s="241" t="s">
        <v>64</v>
      </c>
      <c r="L14" s="311" t="s">
        <v>139</v>
      </c>
      <c r="M14" s="310" t="s">
        <v>40</v>
      </c>
      <c r="N14" s="40" t="s">
        <v>140</v>
      </c>
      <c r="O14" s="274">
        <v>44844</v>
      </c>
      <c r="P14" s="35" t="s">
        <v>42</v>
      </c>
      <c r="Q14" s="275" t="s">
        <v>42</v>
      </c>
      <c r="R14" s="321" t="s">
        <v>42</v>
      </c>
      <c r="S14" s="35" t="s">
        <v>42</v>
      </c>
      <c r="T14" s="275" t="s">
        <v>42</v>
      </c>
      <c r="U14" s="213" t="s">
        <v>141</v>
      </c>
      <c r="V14" s="251">
        <v>44853</v>
      </c>
      <c r="W14" s="251">
        <v>44854</v>
      </c>
      <c r="X14" s="251" t="s">
        <v>44</v>
      </c>
      <c r="Y14" s="213" t="s">
        <v>42</v>
      </c>
      <c r="Z14" s="251">
        <v>44845</v>
      </c>
      <c r="AA14" s="275"/>
      <c r="AB14" s="202" t="s">
        <v>45</v>
      </c>
      <c r="AD14" s="202" t="s">
        <v>46</v>
      </c>
    </row>
    <row r="15" ht="85" customHeight="1" spans="1:30">
      <c r="A15" s="213">
        <v>2</v>
      </c>
      <c r="B15" s="214" t="s">
        <v>142</v>
      </c>
      <c r="C15" s="213" t="s">
        <v>143</v>
      </c>
      <c r="D15" s="11" t="s">
        <v>144</v>
      </c>
      <c r="E15" s="213" t="s">
        <v>145</v>
      </c>
      <c r="F15" s="324" t="s">
        <v>146</v>
      </c>
      <c r="G15" s="213" t="s">
        <v>147</v>
      </c>
      <c r="H15" s="213" t="s">
        <v>148</v>
      </c>
      <c r="I15" s="214" t="s">
        <v>149</v>
      </c>
      <c r="J15" s="40" t="s">
        <v>37</v>
      </c>
      <c r="K15" s="241" t="s">
        <v>54</v>
      </c>
      <c r="L15" s="311" t="s">
        <v>139</v>
      </c>
      <c r="M15" s="310" t="s">
        <v>40</v>
      </c>
      <c r="N15" s="40" t="s">
        <v>150</v>
      </c>
      <c r="O15" s="274">
        <v>44844</v>
      </c>
      <c r="P15" s="35" t="s">
        <v>42</v>
      </c>
      <c r="Q15" s="275" t="s">
        <v>42</v>
      </c>
      <c r="R15" s="321" t="s">
        <v>42</v>
      </c>
      <c r="S15" s="35" t="s">
        <v>42</v>
      </c>
      <c r="T15" s="275" t="s">
        <v>42</v>
      </c>
      <c r="U15" s="213" t="s">
        <v>151</v>
      </c>
      <c r="V15" s="251">
        <v>44853</v>
      </c>
      <c r="W15" s="251">
        <v>44854</v>
      </c>
      <c r="X15" s="251" t="s">
        <v>44</v>
      </c>
      <c r="Y15" s="213" t="s">
        <v>42</v>
      </c>
      <c r="Z15" s="251">
        <v>44845</v>
      </c>
      <c r="AA15" s="275" t="s">
        <v>152</v>
      </c>
      <c r="AB15" s="202" t="s">
        <v>45</v>
      </c>
      <c r="AD15" s="202" t="s">
        <v>46</v>
      </c>
    </row>
    <row r="16" ht="85" customHeight="1" spans="1:30">
      <c r="A16" s="213">
        <v>3</v>
      </c>
      <c r="B16" s="214" t="s">
        <v>153</v>
      </c>
      <c r="C16" s="213" t="s">
        <v>154</v>
      </c>
      <c r="D16" s="11" t="s">
        <v>155</v>
      </c>
      <c r="E16" s="213" t="s">
        <v>156</v>
      </c>
      <c r="F16" s="324" t="s">
        <v>157</v>
      </c>
      <c r="G16" s="213" t="s">
        <v>158</v>
      </c>
      <c r="H16" s="213" t="s">
        <v>159</v>
      </c>
      <c r="I16" s="214">
        <v>13713687895</v>
      </c>
      <c r="J16" s="40" t="s">
        <v>37</v>
      </c>
      <c r="K16" s="241" t="s">
        <v>160</v>
      </c>
      <c r="L16" s="311" t="s">
        <v>139</v>
      </c>
      <c r="M16" s="310" t="s">
        <v>40</v>
      </c>
      <c r="N16" s="40" t="s">
        <v>161</v>
      </c>
      <c r="O16" s="274">
        <v>44844</v>
      </c>
      <c r="P16" s="35" t="s">
        <v>42</v>
      </c>
      <c r="Q16" s="275" t="s">
        <v>42</v>
      </c>
      <c r="R16" s="321" t="s">
        <v>42</v>
      </c>
      <c r="S16" s="35" t="s">
        <v>42</v>
      </c>
      <c r="T16" s="275" t="s">
        <v>42</v>
      </c>
      <c r="U16" s="213" t="s">
        <v>57</v>
      </c>
      <c r="V16" s="251">
        <v>44853</v>
      </c>
      <c r="W16" s="251">
        <v>44854</v>
      </c>
      <c r="X16" s="251" t="s">
        <v>44</v>
      </c>
      <c r="Y16" s="213" t="s">
        <v>42</v>
      </c>
      <c r="Z16" s="251">
        <v>44845</v>
      </c>
      <c r="AA16" s="275"/>
      <c r="AB16" s="202" t="s">
        <v>45</v>
      </c>
      <c r="AD16" s="202" t="s">
        <v>46</v>
      </c>
    </row>
    <row r="17" ht="85" customHeight="1" spans="1:30">
      <c r="A17" s="213">
        <v>4</v>
      </c>
      <c r="B17" s="214" t="s">
        <v>162</v>
      </c>
      <c r="C17" s="213" t="s">
        <v>163</v>
      </c>
      <c r="D17" s="11" t="s">
        <v>164</v>
      </c>
      <c r="E17" s="213" t="s">
        <v>165</v>
      </c>
      <c r="F17" s="324" t="s">
        <v>166</v>
      </c>
      <c r="G17" s="213" t="s">
        <v>167</v>
      </c>
      <c r="H17" s="213" t="s">
        <v>168</v>
      </c>
      <c r="I17" s="214">
        <v>13590375377</v>
      </c>
      <c r="J17" s="40" t="s">
        <v>37</v>
      </c>
      <c r="K17" s="241" t="s">
        <v>120</v>
      </c>
      <c r="L17" s="311" t="s">
        <v>139</v>
      </c>
      <c r="M17" s="310" t="s">
        <v>40</v>
      </c>
      <c r="N17" s="40" t="s">
        <v>169</v>
      </c>
      <c r="O17" s="274">
        <v>44844</v>
      </c>
      <c r="P17" s="35" t="s">
        <v>42</v>
      </c>
      <c r="Q17" s="275" t="s">
        <v>42</v>
      </c>
      <c r="R17" s="321" t="s">
        <v>42</v>
      </c>
      <c r="S17" s="35" t="s">
        <v>42</v>
      </c>
      <c r="T17" s="275" t="s">
        <v>42</v>
      </c>
      <c r="U17" s="213" t="s">
        <v>170</v>
      </c>
      <c r="V17" s="251">
        <v>44853</v>
      </c>
      <c r="W17" s="251">
        <v>44854</v>
      </c>
      <c r="X17" s="251" t="s">
        <v>44</v>
      </c>
      <c r="Y17" s="213" t="s">
        <v>42</v>
      </c>
      <c r="Z17" s="251">
        <v>44845</v>
      </c>
      <c r="AA17" s="275"/>
      <c r="AB17" s="202" t="s">
        <v>45</v>
      </c>
      <c r="AD17" s="202" t="s">
        <v>46</v>
      </c>
    </row>
    <row r="18" ht="85" customHeight="1" spans="1:30">
      <c r="A18" s="213">
        <v>5</v>
      </c>
      <c r="B18" s="214" t="s">
        <v>171</v>
      </c>
      <c r="C18" s="213" t="s">
        <v>172</v>
      </c>
      <c r="D18" s="11" t="s">
        <v>173</v>
      </c>
      <c r="E18" s="213" t="s">
        <v>174</v>
      </c>
      <c r="F18" s="324" t="s">
        <v>175</v>
      </c>
      <c r="G18" s="213" t="s">
        <v>176</v>
      </c>
      <c r="H18" s="213" t="s">
        <v>177</v>
      </c>
      <c r="I18" s="214">
        <v>18200980752</v>
      </c>
      <c r="J18" s="40" t="s">
        <v>37</v>
      </c>
      <c r="K18" s="241" t="s">
        <v>160</v>
      </c>
      <c r="L18" s="311" t="s">
        <v>139</v>
      </c>
      <c r="M18" s="310" t="s">
        <v>40</v>
      </c>
      <c r="N18" s="40" t="s">
        <v>178</v>
      </c>
      <c r="O18" s="274">
        <v>44844</v>
      </c>
      <c r="P18" s="35" t="s">
        <v>42</v>
      </c>
      <c r="Q18" s="275" t="s">
        <v>42</v>
      </c>
      <c r="R18" s="321" t="s">
        <v>42</v>
      </c>
      <c r="S18" s="35" t="s">
        <v>42</v>
      </c>
      <c r="T18" s="275" t="s">
        <v>42</v>
      </c>
      <c r="U18" s="213" t="s">
        <v>179</v>
      </c>
      <c r="V18" s="251">
        <v>44853</v>
      </c>
      <c r="W18" s="251">
        <v>44854</v>
      </c>
      <c r="X18" s="251" t="s">
        <v>44</v>
      </c>
      <c r="Y18" s="213" t="s">
        <v>42</v>
      </c>
      <c r="Z18" s="251">
        <v>44845</v>
      </c>
      <c r="AA18" s="275"/>
      <c r="AB18" s="202" t="s">
        <v>45</v>
      </c>
      <c r="AD18" s="202" t="s">
        <v>46</v>
      </c>
    </row>
    <row r="19" ht="85" customHeight="1" spans="1:30">
      <c r="A19" s="213">
        <v>6</v>
      </c>
      <c r="B19" s="214" t="s">
        <v>180</v>
      </c>
      <c r="C19" s="213" t="s">
        <v>181</v>
      </c>
      <c r="D19" s="11" t="s">
        <v>182</v>
      </c>
      <c r="E19" s="213" t="s">
        <v>183</v>
      </c>
      <c r="F19" s="324" t="s">
        <v>184</v>
      </c>
      <c r="G19" s="213" t="s">
        <v>185</v>
      </c>
      <c r="H19" s="213" t="s">
        <v>186</v>
      </c>
      <c r="I19" s="214">
        <v>13603063782</v>
      </c>
      <c r="J19" s="40" t="s">
        <v>37</v>
      </c>
      <c r="K19" s="241" t="s">
        <v>54</v>
      </c>
      <c r="L19" s="311" t="s">
        <v>139</v>
      </c>
      <c r="M19" s="310" t="s">
        <v>40</v>
      </c>
      <c r="N19" s="40" t="s">
        <v>187</v>
      </c>
      <c r="O19" s="274">
        <v>44844</v>
      </c>
      <c r="P19" s="35" t="s">
        <v>42</v>
      </c>
      <c r="Q19" s="275" t="s">
        <v>42</v>
      </c>
      <c r="R19" s="321" t="s">
        <v>42</v>
      </c>
      <c r="S19" s="35" t="s">
        <v>42</v>
      </c>
      <c r="T19" s="275" t="s">
        <v>42</v>
      </c>
      <c r="U19" s="213" t="s">
        <v>188</v>
      </c>
      <c r="V19" s="251">
        <v>44853</v>
      </c>
      <c r="W19" s="251">
        <v>44854</v>
      </c>
      <c r="X19" s="251" t="s">
        <v>44</v>
      </c>
      <c r="Y19" s="213" t="s">
        <v>42</v>
      </c>
      <c r="Z19" s="251">
        <v>44845</v>
      </c>
      <c r="AA19" s="275"/>
      <c r="AB19" s="202" t="s">
        <v>45</v>
      </c>
      <c r="AD19" s="202" t="s">
        <v>46</v>
      </c>
    </row>
    <row r="20" ht="85" customHeight="1" spans="1:30">
      <c r="A20" s="213">
        <v>1</v>
      </c>
      <c r="B20" s="325" t="s">
        <v>189</v>
      </c>
      <c r="C20" s="11" t="s">
        <v>190</v>
      </c>
      <c r="D20" s="11" t="s">
        <v>191</v>
      </c>
      <c r="E20" s="213" t="s">
        <v>77</v>
      </c>
      <c r="F20" s="213" t="s">
        <v>78</v>
      </c>
      <c r="G20" s="213" t="s">
        <v>192</v>
      </c>
      <c r="H20" s="213" t="s">
        <v>193</v>
      </c>
      <c r="I20" s="325" t="s">
        <v>194</v>
      </c>
      <c r="J20" s="40" t="s">
        <v>37</v>
      </c>
      <c r="K20" s="241" t="s">
        <v>54</v>
      </c>
      <c r="L20" s="311" t="s">
        <v>139</v>
      </c>
      <c r="M20" s="311" t="s">
        <v>195</v>
      </c>
      <c r="N20" s="40" t="s">
        <v>196</v>
      </c>
      <c r="O20" s="274">
        <v>45187</v>
      </c>
      <c r="P20" s="35" t="s">
        <v>42</v>
      </c>
      <c r="Q20" s="275" t="s">
        <v>42</v>
      </c>
      <c r="R20" s="321" t="s">
        <v>42</v>
      </c>
      <c r="S20" s="35" t="s">
        <v>42</v>
      </c>
      <c r="T20" s="275" t="s">
        <v>42</v>
      </c>
      <c r="U20" s="272" t="s">
        <v>197</v>
      </c>
      <c r="V20" s="251">
        <v>45197</v>
      </c>
      <c r="W20" s="251">
        <v>45208</v>
      </c>
      <c r="X20" s="251" t="s">
        <v>44</v>
      </c>
      <c r="Y20" s="213" t="s">
        <v>42</v>
      </c>
      <c r="Z20" s="251">
        <v>45207</v>
      </c>
      <c r="AA20" s="275" t="s">
        <v>198</v>
      </c>
      <c r="AB20" s="202" t="s">
        <v>45</v>
      </c>
      <c r="AD20" s="202" t="s">
        <v>46</v>
      </c>
    </row>
    <row r="21" ht="85" customHeight="1" spans="1:30">
      <c r="A21" s="213">
        <v>2</v>
      </c>
      <c r="B21" s="325" t="s">
        <v>199</v>
      </c>
      <c r="C21" s="11" t="s">
        <v>200</v>
      </c>
      <c r="D21" s="11" t="s">
        <v>201</v>
      </c>
      <c r="E21" s="213" t="s">
        <v>174</v>
      </c>
      <c r="F21" s="324" t="s">
        <v>175</v>
      </c>
      <c r="G21" s="213" t="s">
        <v>176</v>
      </c>
      <c r="H21" s="213" t="s">
        <v>202</v>
      </c>
      <c r="I21" s="325" t="s">
        <v>203</v>
      </c>
      <c r="J21" s="40" t="s">
        <v>37</v>
      </c>
      <c r="K21" s="241" t="s">
        <v>54</v>
      </c>
      <c r="L21" s="311" t="s">
        <v>139</v>
      </c>
      <c r="M21" s="311" t="s">
        <v>204</v>
      </c>
      <c r="N21" s="40" t="s">
        <v>205</v>
      </c>
      <c r="O21" s="274">
        <v>45187</v>
      </c>
      <c r="P21" s="35" t="s">
        <v>42</v>
      </c>
      <c r="Q21" s="275" t="s">
        <v>42</v>
      </c>
      <c r="R21" s="321" t="s">
        <v>42</v>
      </c>
      <c r="S21" s="35" t="s">
        <v>42</v>
      </c>
      <c r="T21" s="275" t="s">
        <v>42</v>
      </c>
      <c r="U21" s="272" t="s">
        <v>206</v>
      </c>
      <c r="V21" s="251">
        <v>45206</v>
      </c>
      <c r="W21" s="251">
        <v>45208</v>
      </c>
      <c r="X21" s="251" t="s">
        <v>44</v>
      </c>
      <c r="Y21" s="213" t="s">
        <v>42</v>
      </c>
      <c r="Z21" s="251">
        <v>45207</v>
      </c>
      <c r="AA21" s="275" t="s">
        <v>198</v>
      </c>
      <c r="AB21" s="202" t="s">
        <v>45</v>
      </c>
      <c r="AD21" s="202" t="s">
        <v>46</v>
      </c>
    </row>
    <row r="22" ht="85" customHeight="1" spans="1:30">
      <c r="A22" s="213">
        <v>3</v>
      </c>
      <c r="B22" s="325" t="s">
        <v>207</v>
      </c>
      <c r="C22" s="11" t="s">
        <v>208</v>
      </c>
      <c r="D22" s="11" t="s">
        <v>209</v>
      </c>
      <c r="E22" s="213" t="s">
        <v>210</v>
      </c>
      <c r="F22" s="324" t="s">
        <v>211</v>
      </c>
      <c r="G22" s="213" t="s">
        <v>212</v>
      </c>
      <c r="H22" s="213" t="s">
        <v>213</v>
      </c>
      <c r="I22" s="325" t="s">
        <v>214</v>
      </c>
      <c r="J22" s="40" t="s">
        <v>37</v>
      </c>
      <c r="K22" s="241" t="s">
        <v>64</v>
      </c>
      <c r="L22" s="311" t="s">
        <v>215</v>
      </c>
      <c r="M22" s="311" t="s">
        <v>216</v>
      </c>
      <c r="N22" s="40" t="s">
        <v>217</v>
      </c>
      <c r="O22" s="274">
        <v>45189</v>
      </c>
      <c r="P22" s="35" t="s">
        <v>42</v>
      </c>
      <c r="Q22" s="275" t="s">
        <v>42</v>
      </c>
      <c r="R22" s="321" t="s">
        <v>42</v>
      </c>
      <c r="S22" s="35" t="s">
        <v>42</v>
      </c>
      <c r="T22" s="275" t="s">
        <v>42</v>
      </c>
      <c r="U22" s="272" t="s">
        <v>218</v>
      </c>
      <c r="V22" s="251">
        <v>45206</v>
      </c>
      <c r="W22" s="251">
        <v>45208</v>
      </c>
      <c r="X22" s="251" t="s">
        <v>44</v>
      </c>
      <c r="Y22" s="213" t="s">
        <v>42</v>
      </c>
      <c r="Z22" s="251">
        <v>45207</v>
      </c>
      <c r="AA22" s="275" t="s">
        <v>198</v>
      </c>
      <c r="AB22" s="202" t="s">
        <v>45</v>
      </c>
      <c r="AD22" s="202" t="s">
        <v>46</v>
      </c>
    </row>
    <row r="23" ht="85" customHeight="1" spans="1:30">
      <c r="A23" s="213">
        <v>4</v>
      </c>
      <c r="B23" s="325" t="s">
        <v>219</v>
      </c>
      <c r="C23" s="11" t="s">
        <v>220</v>
      </c>
      <c r="D23" s="11" t="s">
        <v>221</v>
      </c>
      <c r="E23" s="213" t="s">
        <v>222</v>
      </c>
      <c r="F23" s="324" t="s">
        <v>223</v>
      </c>
      <c r="G23" s="213" t="s">
        <v>224</v>
      </c>
      <c r="H23" s="213" t="s">
        <v>225</v>
      </c>
      <c r="I23" s="325" t="s">
        <v>226</v>
      </c>
      <c r="J23" s="40" t="s">
        <v>37</v>
      </c>
      <c r="K23" s="241" t="s">
        <v>160</v>
      </c>
      <c r="L23" s="311" t="s">
        <v>139</v>
      </c>
      <c r="M23" s="311" t="s">
        <v>227</v>
      </c>
      <c r="N23" s="40" t="s">
        <v>228</v>
      </c>
      <c r="O23" s="274">
        <v>45187</v>
      </c>
      <c r="P23" s="35" t="s">
        <v>42</v>
      </c>
      <c r="Q23" s="275" t="s">
        <v>42</v>
      </c>
      <c r="R23" s="321" t="s">
        <v>42</v>
      </c>
      <c r="S23" s="35" t="s">
        <v>42</v>
      </c>
      <c r="T23" s="275" t="s">
        <v>42</v>
      </c>
      <c r="U23" s="272" t="s">
        <v>197</v>
      </c>
      <c r="V23" s="251">
        <v>45197</v>
      </c>
      <c r="W23" s="251">
        <v>45208</v>
      </c>
      <c r="X23" s="251" t="s">
        <v>44</v>
      </c>
      <c r="Y23" s="213" t="s">
        <v>42</v>
      </c>
      <c r="Z23" s="251">
        <v>45207</v>
      </c>
      <c r="AA23" s="275" t="s">
        <v>198</v>
      </c>
      <c r="AB23" s="202" t="s">
        <v>45</v>
      </c>
      <c r="AD23" s="202" t="s">
        <v>46</v>
      </c>
    </row>
    <row r="24" ht="85" customHeight="1" spans="1:30">
      <c r="A24" s="213">
        <v>5</v>
      </c>
      <c r="B24" s="325" t="s">
        <v>229</v>
      </c>
      <c r="C24" s="11" t="s">
        <v>230</v>
      </c>
      <c r="D24" s="11" t="s">
        <v>231</v>
      </c>
      <c r="E24" s="213" t="s">
        <v>232</v>
      </c>
      <c r="F24" s="324" t="s">
        <v>233</v>
      </c>
      <c r="G24" s="213" t="s">
        <v>234</v>
      </c>
      <c r="H24" s="213" t="s">
        <v>235</v>
      </c>
      <c r="I24" s="325" t="s">
        <v>236</v>
      </c>
      <c r="J24" s="40" t="s">
        <v>37</v>
      </c>
      <c r="K24" s="241" t="s">
        <v>54</v>
      </c>
      <c r="L24" s="311" t="s">
        <v>237</v>
      </c>
      <c r="M24" s="311" t="s">
        <v>238</v>
      </c>
      <c r="N24" s="40" t="s">
        <v>239</v>
      </c>
      <c r="O24" s="274">
        <v>45188</v>
      </c>
      <c r="P24" s="35" t="s">
        <v>42</v>
      </c>
      <c r="Q24" s="275" t="s">
        <v>42</v>
      </c>
      <c r="R24" s="321" t="s">
        <v>42</v>
      </c>
      <c r="S24" s="35" t="s">
        <v>42</v>
      </c>
      <c r="T24" s="275" t="s">
        <v>42</v>
      </c>
      <c r="U24" s="272" t="s">
        <v>218</v>
      </c>
      <c r="V24" s="251">
        <v>45206</v>
      </c>
      <c r="W24" s="251">
        <v>45208</v>
      </c>
      <c r="X24" s="251" t="s">
        <v>44</v>
      </c>
      <c r="Y24" s="213" t="s">
        <v>42</v>
      </c>
      <c r="Z24" s="251">
        <v>45207</v>
      </c>
      <c r="AA24" s="275" t="s">
        <v>198</v>
      </c>
      <c r="AB24" s="202" t="s">
        <v>45</v>
      </c>
      <c r="AD24" s="202" t="s">
        <v>46</v>
      </c>
    </row>
    <row r="25" ht="85" customHeight="1" spans="1:30">
      <c r="A25" s="213">
        <v>6</v>
      </c>
      <c r="B25" s="325" t="s">
        <v>240</v>
      </c>
      <c r="C25" s="11" t="s">
        <v>241</v>
      </c>
      <c r="D25" s="11" t="s">
        <v>242</v>
      </c>
      <c r="E25" s="213" t="s">
        <v>243</v>
      </c>
      <c r="F25" s="324" t="s">
        <v>244</v>
      </c>
      <c r="G25" s="213" t="s">
        <v>245</v>
      </c>
      <c r="H25" s="213" t="s">
        <v>246</v>
      </c>
      <c r="I25" s="325" t="s">
        <v>247</v>
      </c>
      <c r="J25" s="40" t="s">
        <v>37</v>
      </c>
      <c r="K25" s="241" t="s">
        <v>54</v>
      </c>
      <c r="L25" s="311" t="s">
        <v>139</v>
      </c>
      <c r="M25" s="311" t="s">
        <v>204</v>
      </c>
      <c r="N25" s="40" t="s">
        <v>248</v>
      </c>
      <c r="O25" s="274">
        <v>45187</v>
      </c>
      <c r="P25" s="35" t="s">
        <v>42</v>
      </c>
      <c r="Q25" s="275" t="s">
        <v>42</v>
      </c>
      <c r="R25" s="321" t="s">
        <v>42</v>
      </c>
      <c r="S25" s="35" t="s">
        <v>42</v>
      </c>
      <c r="T25" s="275" t="s">
        <v>42</v>
      </c>
      <c r="U25" s="272" t="s">
        <v>206</v>
      </c>
      <c r="V25" s="251">
        <v>45206</v>
      </c>
      <c r="W25" s="251">
        <v>45208</v>
      </c>
      <c r="X25" s="251" t="s">
        <v>44</v>
      </c>
      <c r="Y25" s="213" t="s">
        <v>42</v>
      </c>
      <c r="Z25" s="251">
        <v>45207</v>
      </c>
      <c r="AA25" s="275" t="s">
        <v>198</v>
      </c>
      <c r="AB25" s="202" t="s">
        <v>45</v>
      </c>
      <c r="AD25" s="202" t="s">
        <v>46</v>
      </c>
    </row>
    <row r="26" ht="85" customHeight="1" spans="1:30">
      <c r="A26" s="213">
        <v>7</v>
      </c>
      <c r="B26" s="325" t="s">
        <v>249</v>
      </c>
      <c r="C26" s="11" t="s">
        <v>250</v>
      </c>
      <c r="D26" s="11" t="s">
        <v>251</v>
      </c>
      <c r="E26" s="213" t="s">
        <v>252</v>
      </c>
      <c r="F26" s="324" t="s">
        <v>253</v>
      </c>
      <c r="G26" s="213" t="s">
        <v>254</v>
      </c>
      <c r="H26" s="213" t="s">
        <v>255</v>
      </c>
      <c r="I26" s="325" t="s">
        <v>256</v>
      </c>
      <c r="J26" s="40" t="s">
        <v>37</v>
      </c>
      <c r="K26" s="241" t="s">
        <v>54</v>
      </c>
      <c r="L26" s="311" t="s">
        <v>139</v>
      </c>
      <c r="M26" s="311" t="s">
        <v>257</v>
      </c>
      <c r="N26" s="40" t="s">
        <v>258</v>
      </c>
      <c r="O26" s="274">
        <v>45187</v>
      </c>
      <c r="P26" s="35" t="s">
        <v>42</v>
      </c>
      <c r="Q26" s="275" t="s">
        <v>42</v>
      </c>
      <c r="R26" s="321" t="s">
        <v>42</v>
      </c>
      <c r="S26" s="35" t="s">
        <v>42</v>
      </c>
      <c r="T26" s="275" t="s">
        <v>42</v>
      </c>
      <c r="U26" s="272" t="s">
        <v>259</v>
      </c>
      <c r="V26" s="251">
        <v>45206</v>
      </c>
      <c r="W26" s="251">
        <v>45208</v>
      </c>
      <c r="X26" s="251" t="s">
        <v>44</v>
      </c>
      <c r="Y26" s="213" t="s">
        <v>42</v>
      </c>
      <c r="Z26" s="251">
        <v>45207</v>
      </c>
      <c r="AA26" s="275" t="s">
        <v>198</v>
      </c>
      <c r="AB26" s="202" t="s">
        <v>45</v>
      </c>
      <c r="AD26" s="202" t="s">
        <v>46</v>
      </c>
    </row>
    <row r="27" ht="85" customHeight="1" spans="1:30">
      <c r="A27" s="213">
        <v>8</v>
      </c>
      <c r="B27" s="325" t="s">
        <v>260</v>
      </c>
      <c r="C27" s="11" t="s">
        <v>261</v>
      </c>
      <c r="D27" s="11" t="s">
        <v>262</v>
      </c>
      <c r="E27" s="213" t="s">
        <v>183</v>
      </c>
      <c r="F27" s="324" t="s">
        <v>184</v>
      </c>
      <c r="G27" s="213" t="s">
        <v>185</v>
      </c>
      <c r="H27" s="213" t="s">
        <v>263</v>
      </c>
      <c r="I27" s="325" t="s">
        <v>264</v>
      </c>
      <c r="J27" s="40" t="s">
        <v>37</v>
      </c>
      <c r="K27" s="241" t="s">
        <v>54</v>
      </c>
      <c r="L27" s="311" t="s">
        <v>265</v>
      </c>
      <c r="M27" s="311" t="s">
        <v>266</v>
      </c>
      <c r="N27" s="40" t="s">
        <v>267</v>
      </c>
      <c r="O27" s="274">
        <v>45187</v>
      </c>
      <c r="P27" s="35" t="s">
        <v>42</v>
      </c>
      <c r="Q27" s="275" t="s">
        <v>42</v>
      </c>
      <c r="R27" s="321" t="s">
        <v>42</v>
      </c>
      <c r="S27" s="35" t="s">
        <v>42</v>
      </c>
      <c r="T27" s="275" t="s">
        <v>42</v>
      </c>
      <c r="U27" s="272" t="s">
        <v>268</v>
      </c>
      <c r="V27" s="251">
        <v>45206</v>
      </c>
      <c r="W27" s="251">
        <v>45208</v>
      </c>
      <c r="X27" s="251" t="s">
        <v>44</v>
      </c>
      <c r="Y27" s="213" t="s">
        <v>42</v>
      </c>
      <c r="Z27" s="251">
        <v>45207</v>
      </c>
      <c r="AA27" s="275" t="s">
        <v>198</v>
      </c>
      <c r="AB27" s="202" t="s">
        <v>45</v>
      </c>
      <c r="AD27" s="202" t="s">
        <v>46</v>
      </c>
    </row>
    <row r="28" ht="85" customHeight="1" spans="1:30">
      <c r="A28" s="213">
        <v>9</v>
      </c>
      <c r="B28" s="325" t="s">
        <v>269</v>
      </c>
      <c r="C28" s="11" t="s">
        <v>270</v>
      </c>
      <c r="D28" s="11" t="s">
        <v>271</v>
      </c>
      <c r="E28" s="213" t="s">
        <v>272</v>
      </c>
      <c r="F28" s="324" t="s">
        <v>273</v>
      </c>
      <c r="G28" s="213" t="s">
        <v>274</v>
      </c>
      <c r="H28" s="213" t="s">
        <v>275</v>
      </c>
      <c r="I28" s="325" t="s">
        <v>276</v>
      </c>
      <c r="J28" s="40" t="s">
        <v>37</v>
      </c>
      <c r="K28" s="241" t="s">
        <v>73</v>
      </c>
      <c r="L28" s="311" t="s">
        <v>139</v>
      </c>
      <c r="M28" s="310" t="s">
        <v>277</v>
      </c>
      <c r="N28" s="40" t="s">
        <v>278</v>
      </c>
      <c r="O28" s="274">
        <v>45187</v>
      </c>
      <c r="P28" s="35" t="s">
        <v>42</v>
      </c>
      <c r="Q28" s="275" t="s">
        <v>42</v>
      </c>
      <c r="R28" s="321" t="s">
        <v>42</v>
      </c>
      <c r="S28" s="35" t="s">
        <v>42</v>
      </c>
      <c r="T28" s="275" t="s">
        <v>42</v>
      </c>
      <c r="U28" s="272" t="s">
        <v>197</v>
      </c>
      <c r="V28" s="251">
        <v>45197</v>
      </c>
      <c r="W28" s="251">
        <v>45208</v>
      </c>
      <c r="X28" s="251" t="s">
        <v>44</v>
      </c>
      <c r="Y28" s="213" t="s">
        <v>42</v>
      </c>
      <c r="Z28" s="251">
        <v>45207</v>
      </c>
      <c r="AA28" s="275" t="s">
        <v>198</v>
      </c>
      <c r="AB28" s="202" t="s">
        <v>45</v>
      </c>
      <c r="AD28" s="202" t="s">
        <v>46</v>
      </c>
    </row>
    <row r="29" customFormat="1" ht="85" customHeight="1" spans="1:32">
      <c r="A29" s="213">
        <v>1</v>
      </c>
      <c r="B29" s="214" t="s">
        <v>279</v>
      </c>
      <c r="C29" s="213" t="s">
        <v>280</v>
      </c>
      <c r="D29" s="11" t="s">
        <v>281</v>
      </c>
      <c r="E29" s="213" t="s">
        <v>282</v>
      </c>
      <c r="F29" s="213" t="s">
        <v>283</v>
      </c>
      <c r="G29" s="213" t="s">
        <v>284</v>
      </c>
      <c r="H29" s="213" t="s">
        <v>285</v>
      </c>
      <c r="I29" s="214" t="s">
        <v>286</v>
      </c>
      <c r="J29" s="40" t="s">
        <v>37</v>
      </c>
      <c r="K29" s="241" t="s">
        <v>287</v>
      </c>
      <c r="L29" s="311" t="s">
        <v>288</v>
      </c>
      <c r="M29" s="310" t="s">
        <v>289</v>
      </c>
      <c r="N29" s="40" t="s">
        <v>290</v>
      </c>
      <c r="O29" s="274">
        <v>45554</v>
      </c>
      <c r="P29" s="35" t="s">
        <v>42</v>
      </c>
      <c r="Q29" s="275" t="s">
        <v>42</v>
      </c>
      <c r="R29" s="321" t="s">
        <v>42</v>
      </c>
      <c r="S29" s="35" t="s">
        <v>42</v>
      </c>
      <c r="T29" s="275" t="s">
        <v>42</v>
      </c>
      <c r="U29" s="272" t="s">
        <v>291</v>
      </c>
      <c r="V29" s="251">
        <v>45562</v>
      </c>
      <c r="W29" s="251">
        <v>45565</v>
      </c>
      <c r="X29" s="251" t="s">
        <v>44</v>
      </c>
      <c r="Y29" s="213" t="s">
        <v>42</v>
      </c>
      <c r="Z29" s="251">
        <v>45555</v>
      </c>
      <c r="AA29" s="275" t="s">
        <v>292</v>
      </c>
      <c r="AB29" s="202"/>
      <c r="AC29" s="234" t="s">
        <v>293</v>
      </c>
      <c r="AD29" s="259" t="s">
        <v>294</v>
      </c>
      <c r="AE29" s="202"/>
      <c r="AF29" s="202"/>
    </row>
    <row r="30" customFormat="1" ht="85" customHeight="1" spans="1:32">
      <c r="A30" s="213">
        <v>2</v>
      </c>
      <c r="B30" s="214" t="s">
        <v>295</v>
      </c>
      <c r="C30" s="213" t="s">
        <v>296</v>
      </c>
      <c r="D30" s="11" t="s">
        <v>297</v>
      </c>
      <c r="E30" s="213" t="s">
        <v>298</v>
      </c>
      <c r="F30" s="213" t="s">
        <v>299</v>
      </c>
      <c r="G30" s="213" t="s">
        <v>300</v>
      </c>
      <c r="H30" s="213" t="s">
        <v>301</v>
      </c>
      <c r="I30" s="214" t="s">
        <v>302</v>
      </c>
      <c r="J30" s="40" t="s">
        <v>37</v>
      </c>
      <c r="K30" s="241" t="s">
        <v>73</v>
      </c>
      <c r="L30" s="311" t="s">
        <v>288</v>
      </c>
      <c r="M30" s="310" t="s">
        <v>303</v>
      </c>
      <c r="N30" s="40" t="s">
        <v>304</v>
      </c>
      <c r="O30" s="274">
        <v>45554</v>
      </c>
      <c r="P30" s="35" t="s">
        <v>42</v>
      </c>
      <c r="Q30" s="275" t="s">
        <v>42</v>
      </c>
      <c r="R30" s="321" t="s">
        <v>42</v>
      </c>
      <c r="S30" s="35" t="s">
        <v>42</v>
      </c>
      <c r="T30" s="275" t="s">
        <v>42</v>
      </c>
      <c r="U30" s="213" t="s">
        <v>151</v>
      </c>
      <c r="V30" s="251">
        <v>45560</v>
      </c>
      <c r="W30" s="251">
        <v>45565</v>
      </c>
      <c r="X30" s="251" t="s">
        <v>44</v>
      </c>
      <c r="Y30" s="213" t="s">
        <v>42</v>
      </c>
      <c r="Z30" s="251">
        <v>45555</v>
      </c>
      <c r="AA30" s="275" t="s">
        <v>292</v>
      </c>
      <c r="AB30" s="202"/>
      <c r="AC30" s="234" t="s">
        <v>293</v>
      </c>
      <c r="AD30" s="259" t="s">
        <v>294</v>
      </c>
      <c r="AE30" s="202"/>
      <c r="AF30" s="202"/>
    </row>
    <row r="31" customFormat="1" ht="85" customHeight="1" spans="1:32">
      <c r="A31" s="213">
        <v>3</v>
      </c>
      <c r="B31" s="214" t="s">
        <v>305</v>
      </c>
      <c r="C31" s="213" t="s">
        <v>306</v>
      </c>
      <c r="D31" s="11" t="s">
        <v>307</v>
      </c>
      <c r="E31" s="213" t="s">
        <v>308</v>
      </c>
      <c r="F31" s="213" t="s">
        <v>309</v>
      </c>
      <c r="G31" s="213" t="s">
        <v>310</v>
      </c>
      <c r="H31" s="213" t="s">
        <v>311</v>
      </c>
      <c r="I31" s="214" t="s">
        <v>312</v>
      </c>
      <c r="J31" s="40" t="s">
        <v>37</v>
      </c>
      <c r="K31" s="241" t="s">
        <v>38</v>
      </c>
      <c r="L31" s="311" t="s">
        <v>313</v>
      </c>
      <c r="M31" s="310" t="s">
        <v>314</v>
      </c>
      <c r="N31" s="40" t="s">
        <v>315</v>
      </c>
      <c r="O31" s="274">
        <v>45554</v>
      </c>
      <c r="P31" s="35" t="s">
        <v>42</v>
      </c>
      <c r="Q31" s="275" t="s">
        <v>42</v>
      </c>
      <c r="R31" s="321" t="s">
        <v>42</v>
      </c>
      <c r="S31" s="35" t="s">
        <v>42</v>
      </c>
      <c r="T31" s="275" t="s">
        <v>42</v>
      </c>
      <c r="U31" s="272" t="s">
        <v>316</v>
      </c>
      <c r="V31" s="251">
        <v>45562</v>
      </c>
      <c r="W31" s="251">
        <v>45565</v>
      </c>
      <c r="X31" s="251" t="s">
        <v>44</v>
      </c>
      <c r="Y31" s="213" t="s">
        <v>42</v>
      </c>
      <c r="Z31" s="251">
        <v>45555</v>
      </c>
      <c r="AA31" s="275" t="s">
        <v>292</v>
      </c>
      <c r="AB31" s="202"/>
      <c r="AC31" s="234" t="s">
        <v>293</v>
      </c>
      <c r="AD31" s="259" t="s">
        <v>294</v>
      </c>
      <c r="AE31" s="202"/>
      <c r="AF31" s="202"/>
    </row>
    <row r="32" customFormat="1" ht="85" customHeight="1" spans="1:32">
      <c r="A32" s="213">
        <v>4</v>
      </c>
      <c r="B32" s="214" t="s">
        <v>317</v>
      </c>
      <c r="C32" s="213" t="s">
        <v>318</v>
      </c>
      <c r="D32" s="11" t="s">
        <v>319</v>
      </c>
      <c r="E32" s="213" t="s">
        <v>174</v>
      </c>
      <c r="F32" s="213" t="s">
        <v>175</v>
      </c>
      <c r="G32" s="213" t="s">
        <v>320</v>
      </c>
      <c r="H32" s="213" t="s">
        <v>321</v>
      </c>
      <c r="I32" s="214" t="s">
        <v>322</v>
      </c>
      <c r="J32" s="40" t="s">
        <v>37</v>
      </c>
      <c r="K32" s="241" t="s">
        <v>64</v>
      </c>
      <c r="L32" s="311" t="s">
        <v>313</v>
      </c>
      <c r="M32" s="310" t="s">
        <v>314</v>
      </c>
      <c r="N32" s="40" t="s">
        <v>323</v>
      </c>
      <c r="O32" s="274">
        <v>45554</v>
      </c>
      <c r="P32" s="35" t="s">
        <v>42</v>
      </c>
      <c r="Q32" s="275" t="s">
        <v>42</v>
      </c>
      <c r="R32" s="321" t="s">
        <v>42</v>
      </c>
      <c r="S32" s="35" t="s">
        <v>42</v>
      </c>
      <c r="T32" s="275" t="s">
        <v>42</v>
      </c>
      <c r="U32" s="213" t="s">
        <v>324</v>
      </c>
      <c r="V32" s="251">
        <v>45562</v>
      </c>
      <c r="W32" s="251">
        <v>45565</v>
      </c>
      <c r="X32" s="251" t="s">
        <v>44</v>
      </c>
      <c r="Y32" s="213" t="s">
        <v>42</v>
      </c>
      <c r="Z32" s="251">
        <v>45555</v>
      </c>
      <c r="AA32" s="275" t="s">
        <v>292</v>
      </c>
      <c r="AB32" s="202"/>
      <c r="AC32" s="234" t="s">
        <v>293</v>
      </c>
      <c r="AD32" s="259" t="s">
        <v>294</v>
      </c>
      <c r="AE32" s="202"/>
      <c r="AF32" s="202"/>
    </row>
    <row r="33" customFormat="1" ht="85" customHeight="1" spans="1:32">
      <c r="A33" s="213">
        <v>5</v>
      </c>
      <c r="B33" s="214" t="s">
        <v>325</v>
      </c>
      <c r="C33" s="213" t="s">
        <v>326</v>
      </c>
      <c r="D33" s="11" t="s">
        <v>327</v>
      </c>
      <c r="E33" s="213" t="s">
        <v>210</v>
      </c>
      <c r="F33" s="213" t="s">
        <v>211</v>
      </c>
      <c r="G33" s="213" t="s">
        <v>328</v>
      </c>
      <c r="H33" s="213" t="s">
        <v>329</v>
      </c>
      <c r="I33" s="214" t="s">
        <v>330</v>
      </c>
      <c r="J33" s="40" t="s">
        <v>37</v>
      </c>
      <c r="K33" s="241" t="s">
        <v>54</v>
      </c>
      <c r="L33" s="311" t="s">
        <v>313</v>
      </c>
      <c r="M33" s="310" t="s">
        <v>314</v>
      </c>
      <c r="N33" s="40" t="s">
        <v>331</v>
      </c>
      <c r="O33" s="274">
        <v>45554</v>
      </c>
      <c r="P33" s="35" t="s">
        <v>42</v>
      </c>
      <c r="Q33" s="275" t="s">
        <v>42</v>
      </c>
      <c r="R33" s="321" t="s">
        <v>42</v>
      </c>
      <c r="S33" s="35" t="s">
        <v>42</v>
      </c>
      <c r="T33" s="275" t="s">
        <v>42</v>
      </c>
      <c r="U33" s="213" t="s">
        <v>332</v>
      </c>
      <c r="V33" s="251">
        <v>45562</v>
      </c>
      <c r="W33" s="251">
        <v>45565</v>
      </c>
      <c r="X33" s="251" t="s">
        <v>44</v>
      </c>
      <c r="Y33" s="213" t="s">
        <v>42</v>
      </c>
      <c r="Z33" s="251">
        <v>45555</v>
      </c>
      <c r="AA33" s="275" t="s">
        <v>292</v>
      </c>
      <c r="AB33" s="202"/>
      <c r="AC33" s="234" t="s">
        <v>293</v>
      </c>
      <c r="AD33" s="259" t="s">
        <v>294</v>
      </c>
      <c r="AE33" s="202"/>
      <c r="AF33" s="202"/>
    </row>
    <row r="34" customFormat="1" ht="85" customHeight="1" spans="1:32">
      <c r="A34" s="213">
        <v>6</v>
      </c>
      <c r="B34" s="214" t="s">
        <v>333</v>
      </c>
      <c r="C34" s="11" t="s">
        <v>334</v>
      </c>
      <c r="D34" s="11" t="s">
        <v>335</v>
      </c>
      <c r="E34" s="213" t="s">
        <v>336</v>
      </c>
      <c r="F34" s="324" t="s">
        <v>337</v>
      </c>
      <c r="G34" s="213" t="s">
        <v>338</v>
      </c>
      <c r="H34" s="213" t="s">
        <v>339</v>
      </c>
      <c r="I34" s="214">
        <v>15165084396</v>
      </c>
      <c r="J34" s="40" t="s">
        <v>37</v>
      </c>
      <c r="K34" s="241" t="s">
        <v>54</v>
      </c>
      <c r="L34" s="311" t="s">
        <v>340</v>
      </c>
      <c r="M34" s="310" t="s">
        <v>341</v>
      </c>
      <c r="N34" s="40" t="s">
        <v>342</v>
      </c>
      <c r="O34" s="274">
        <v>45580</v>
      </c>
      <c r="P34" s="35" t="s">
        <v>42</v>
      </c>
      <c r="Q34" s="275" t="s">
        <v>42</v>
      </c>
      <c r="R34" s="321" t="s">
        <v>42</v>
      </c>
      <c r="S34" s="35" t="s">
        <v>42</v>
      </c>
      <c r="T34" s="275" t="s">
        <v>42</v>
      </c>
      <c r="U34" s="272" t="s">
        <v>343</v>
      </c>
      <c r="V34" s="251">
        <v>45589</v>
      </c>
      <c r="W34" s="251">
        <v>45589</v>
      </c>
      <c r="X34" s="251" t="s">
        <v>44</v>
      </c>
      <c r="Y34" s="213" t="s">
        <v>42</v>
      </c>
      <c r="Z34" s="251">
        <v>45580</v>
      </c>
      <c r="AA34" s="275"/>
      <c r="AB34" s="202"/>
      <c r="AC34" s="202"/>
      <c r="AD34" s="259" t="s">
        <v>294</v>
      </c>
      <c r="AE34" s="202"/>
      <c r="AF34" s="202"/>
    </row>
    <row r="35" customFormat="1" ht="85" customHeight="1" spans="1:32">
      <c r="A35" s="213">
        <v>7</v>
      </c>
      <c r="B35" s="214" t="s">
        <v>344</v>
      </c>
      <c r="C35" s="11" t="s">
        <v>345</v>
      </c>
      <c r="D35" s="11" t="s">
        <v>346</v>
      </c>
      <c r="E35" s="213" t="s">
        <v>347</v>
      </c>
      <c r="F35" s="324" t="s">
        <v>348</v>
      </c>
      <c r="G35" s="213" t="s">
        <v>349</v>
      </c>
      <c r="H35" s="213" t="s">
        <v>350</v>
      </c>
      <c r="I35" s="214">
        <v>15026724139</v>
      </c>
      <c r="J35" s="40" t="s">
        <v>37</v>
      </c>
      <c r="K35" s="241" t="s">
        <v>64</v>
      </c>
      <c r="L35" s="311" t="s">
        <v>340</v>
      </c>
      <c r="M35" s="310" t="s">
        <v>351</v>
      </c>
      <c r="N35" s="40" t="s">
        <v>352</v>
      </c>
      <c r="O35" s="274">
        <v>45580</v>
      </c>
      <c r="P35" s="35" t="s">
        <v>42</v>
      </c>
      <c r="Q35" s="275" t="s">
        <v>42</v>
      </c>
      <c r="R35" s="321" t="s">
        <v>42</v>
      </c>
      <c r="S35" s="35" t="s">
        <v>42</v>
      </c>
      <c r="T35" s="275" t="s">
        <v>42</v>
      </c>
      <c r="U35" s="272" t="s">
        <v>353</v>
      </c>
      <c r="V35" s="251">
        <v>45586</v>
      </c>
      <c r="W35" s="251">
        <v>45589</v>
      </c>
      <c r="X35" s="251" t="s">
        <v>44</v>
      </c>
      <c r="Y35" s="213" t="s">
        <v>42</v>
      </c>
      <c r="Z35" s="251">
        <v>45580</v>
      </c>
      <c r="AA35" s="275"/>
      <c r="AB35" s="202"/>
      <c r="AC35" s="202"/>
      <c r="AD35" s="259" t="s">
        <v>294</v>
      </c>
      <c r="AE35" s="202"/>
      <c r="AF35" s="202"/>
    </row>
    <row r="36" ht="85" customHeight="1" spans="1:27">
      <c r="A36" s="213"/>
      <c r="B36" s="214"/>
      <c r="C36" s="213"/>
      <c r="D36" s="11"/>
      <c r="E36" s="213"/>
      <c r="F36" s="213"/>
      <c r="G36" s="213"/>
      <c r="H36" s="213"/>
      <c r="I36" s="214"/>
      <c r="J36" s="40" t="s">
        <v>37</v>
      </c>
      <c r="K36" s="241"/>
      <c r="L36" s="311"/>
      <c r="M36" s="310"/>
      <c r="N36" s="40"/>
      <c r="O36" s="274"/>
      <c r="P36" s="35"/>
      <c r="Q36" s="275"/>
      <c r="R36" s="321"/>
      <c r="S36" s="35"/>
      <c r="T36" s="275"/>
      <c r="U36" s="213"/>
      <c r="V36" s="251"/>
      <c r="W36" s="251"/>
      <c r="X36" s="251" t="s">
        <v>44</v>
      </c>
      <c r="Y36" s="213" t="s">
        <v>42</v>
      </c>
      <c r="Z36" s="251"/>
      <c r="AA36" s="275"/>
    </row>
    <row r="37" ht="30" customHeight="1" spans="1:27">
      <c r="A37" s="224"/>
      <c r="B37" s="306"/>
      <c r="C37" s="226"/>
      <c r="D37" s="307"/>
      <c r="E37" s="224"/>
      <c r="F37" s="224"/>
      <c r="G37" s="224"/>
      <c r="H37" s="224"/>
      <c r="I37" s="225"/>
      <c r="J37" s="246"/>
      <c r="K37" s="246"/>
      <c r="L37" s="312"/>
      <c r="M37" s="312"/>
      <c r="N37" s="317"/>
      <c r="O37" s="235"/>
      <c r="P37" s="318"/>
      <c r="Q37" s="245"/>
      <c r="R37" s="247"/>
      <c r="S37" s="235"/>
      <c r="T37" s="235"/>
      <c r="U37" s="224"/>
      <c r="V37" s="252"/>
      <c r="W37" s="224"/>
      <c r="X37" s="224"/>
      <c r="Y37" s="224"/>
      <c r="Z37" s="224"/>
      <c r="AA37" s="235"/>
    </row>
    <row r="38" ht="30" customHeight="1" spans="1:27">
      <c r="A38" s="224"/>
      <c r="B38" s="306"/>
      <c r="C38" s="226"/>
      <c r="D38" s="307"/>
      <c r="E38" s="224"/>
      <c r="F38" s="224"/>
      <c r="G38" s="224"/>
      <c r="H38" s="224"/>
      <c r="I38" s="225"/>
      <c r="J38" s="246"/>
      <c r="K38" s="246"/>
      <c r="L38" s="312"/>
      <c r="M38" s="312"/>
      <c r="N38" s="319" t="s">
        <v>354</v>
      </c>
      <c r="O38" s="237">
        <f>COUNTA(O29:O36)</f>
        <v>7</v>
      </c>
      <c r="P38" s="320"/>
      <c r="Q38" s="322"/>
      <c r="R38" s="249"/>
      <c r="S38" s="235"/>
      <c r="T38" s="235"/>
      <c r="U38" s="224"/>
      <c r="V38" s="252"/>
      <c r="W38" s="224"/>
      <c r="X38" s="224"/>
      <c r="Y38" s="224"/>
      <c r="Z38" s="224"/>
      <c r="AA38" s="235"/>
    </row>
    <row r="39" ht="30" customHeight="1" spans="1:27">
      <c r="A39" s="224"/>
      <c r="B39" s="306"/>
      <c r="C39" s="226"/>
      <c r="D39" s="307"/>
      <c r="E39" s="224"/>
      <c r="F39" s="224"/>
      <c r="G39" s="224"/>
      <c r="H39" s="224"/>
      <c r="I39" s="225"/>
      <c r="J39" s="246"/>
      <c r="K39" s="246"/>
      <c r="L39" s="312"/>
      <c r="M39" s="312"/>
      <c r="N39" s="319" t="s">
        <v>355</v>
      </c>
      <c r="O39" s="237">
        <f>SUM(O38:O38)</f>
        <v>7</v>
      </c>
      <c r="P39" s="320"/>
      <c r="Q39" s="322"/>
      <c r="R39" s="249"/>
      <c r="S39" s="235"/>
      <c r="T39" s="235"/>
      <c r="U39" s="224"/>
      <c r="V39" s="252"/>
      <c r="W39" s="224"/>
      <c r="X39" s="224"/>
      <c r="Y39" s="224"/>
      <c r="Z39" s="224"/>
      <c r="AA39" s="235"/>
    </row>
  </sheetData>
  <autoFilter ref="A2:AB36">
    <extLst/>
  </autoFilter>
  <mergeCells count="1">
    <mergeCell ref="A1:S1"/>
  </mergeCells>
  <conditionalFormatting sqref="Z2">
    <cfRule type="timePeriod" dxfId="0" priority="6" timePeriod="tomorrow">
      <formula>FLOOR(Z2,1)=TODAY()+1</formula>
    </cfRule>
  </conditionalFormatting>
  <conditionalFormatting sqref="X3:X36">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36">
    <cfRule type="timePeriod" dxfId="0" priority="9" timePeriod="tomorrow">
      <formula>FLOOR(Z11,1)=TODAY()+1</formula>
    </cfRule>
  </conditionalFormatting>
  <conditionalFormatting sqref="V1:Y2 V11:W36 V37:Y1048576 Y14:Y36">
    <cfRule type="timePeriod" dxfId="0" priority="10" timePeriod="tomorrow">
      <formula>FLOOR(V1,1)=TODAY()+1</formula>
    </cfRule>
  </conditionalFormatting>
  <conditionalFormatting sqref="V3:W10 Y3:Y10">
    <cfRule type="timePeriod" dxfId="0" priority="5" timePeriod="tomorrow">
      <formula>FLOOR(V3,1)=TODAY()+1</formula>
    </cfRule>
  </conditionalFormatting>
  <printOptions horizontalCentered="1"/>
  <pageMargins left="0.751388888888889" right="0.751388888888889" top="0.802777777777778" bottom="0.802777777777778" header="0.511805555555556" footer="0.511805555555556"/>
  <pageSetup paperSize="9" scale="31"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U216"/>
  <sheetViews>
    <sheetView zoomScale="80" zoomScaleNormal="80" workbookViewId="0">
      <pane xSplit="5" ySplit="2" topLeftCell="K207" activePane="bottomRight" state="frozen"/>
      <selection/>
      <selection pane="topRight"/>
      <selection pane="bottomLeft"/>
      <selection pane="bottomRight" activeCell="B165" sqref="B165"/>
    </sheetView>
  </sheetViews>
  <sheetFormatPr defaultColWidth="8.66666666666667" defaultRowHeight="15.75"/>
  <cols>
    <col min="1" max="1" width="6.91666666666667" style="202" customWidth="1"/>
    <col min="2" max="2" width="8.75" style="203" customWidth="1"/>
    <col min="3" max="3" width="25.625" style="204" customWidth="1"/>
    <col min="4" max="4" width="12.625" style="204" customWidth="1"/>
    <col min="5" max="9" width="9.99166666666667" style="202" customWidth="1"/>
    <col min="10" max="10" width="15.25" style="202" customWidth="1"/>
    <col min="11" max="11" width="69.25" style="205" customWidth="1"/>
    <col min="12" max="12" width="9.99166666666667" style="202" customWidth="1"/>
    <col min="13" max="13" width="9.99166666666667" style="201" customWidth="1"/>
    <col min="14" max="14" width="13.6666666666667" style="206" customWidth="1"/>
    <col min="15" max="15" width="13.6666666666667" style="266" customWidth="1"/>
    <col min="16" max="16" width="13.6666666666667" style="208" customWidth="1"/>
    <col min="17" max="17" width="13.6666666666667" style="267" customWidth="1"/>
    <col min="18" max="18" width="13.6666666666667" style="206" customWidth="1"/>
    <col min="19" max="19" width="9.99166666666667" style="206" hidden="1" customWidth="1"/>
    <col min="20" max="20" width="9" style="202" customWidth="1"/>
    <col min="21" max="21" width="13.6666666666667" style="210" customWidth="1"/>
    <col min="22" max="25" width="13.6666666666667" style="202" customWidth="1"/>
    <col min="26" max="26" width="13.6666666666667" style="206" customWidth="1"/>
    <col min="27" max="27" width="9" style="202" customWidth="1"/>
    <col min="28" max="32" width="8.66666666666667" style="202" customWidth="1"/>
    <col min="33" max="33" width="8.66666666666667" style="202"/>
    <col min="34" max="34" width="8.66666666666667" style="202" customWidth="1"/>
    <col min="35" max="36" width="10.375" style="202" customWidth="1"/>
    <col min="37" max="39" width="8.66666666666667" style="202" customWidth="1"/>
    <col min="40" max="42" width="8.66666666666667" style="202"/>
    <col min="43" max="43" width="9.99166666666667" style="202" customWidth="1"/>
    <col min="44" max="44" width="9.375" style="202"/>
    <col min="45" max="16384" width="8.66666666666667" style="202"/>
  </cols>
  <sheetData>
    <row r="1" s="1" customFormat="1" ht="40" customHeight="1" spans="1:21">
      <c r="A1" s="211" t="s">
        <v>356</v>
      </c>
      <c r="B1" s="212"/>
      <c r="C1" s="211"/>
      <c r="D1" s="211"/>
      <c r="E1" s="211"/>
      <c r="F1" s="211"/>
      <c r="G1" s="211"/>
      <c r="H1" s="211"/>
      <c r="I1" s="211"/>
      <c r="J1" s="211"/>
      <c r="K1" s="227"/>
      <c r="L1" s="211"/>
      <c r="M1" s="228"/>
      <c r="N1" s="211"/>
      <c r="O1" s="211"/>
      <c r="P1" s="239"/>
      <c r="Q1" s="228"/>
      <c r="R1" s="211"/>
      <c r="S1" s="211"/>
      <c r="U1" s="56"/>
    </row>
    <row r="2" s="2" customFormat="1" ht="39.65" customHeight="1" spans="1:47">
      <c r="A2" s="9" t="s">
        <v>1</v>
      </c>
      <c r="B2" s="10" t="s">
        <v>357</v>
      </c>
      <c r="C2" s="9" t="s">
        <v>358</v>
      </c>
      <c r="D2" s="9" t="s">
        <v>4</v>
      </c>
      <c r="E2" s="9" t="s">
        <v>359</v>
      </c>
      <c r="F2" s="9" t="s">
        <v>360</v>
      </c>
      <c r="G2" s="9" t="s">
        <v>361</v>
      </c>
      <c r="H2" s="9" t="s">
        <v>362</v>
      </c>
      <c r="I2" s="9" t="s">
        <v>363</v>
      </c>
      <c r="J2" s="9" t="s">
        <v>364</v>
      </c>
      <c r="K2" s="9" t="s">
        <v>365</v>
      </c>
      <c r="L2" s="27" t="s">
        <v>366</v>
      </c>
      <c r="M2" s="27" t="s">
        <v>367</v>
      </c>
      <c r="N2" s="49" t="s">
        <v>368</v>
      </c>
      <c r="O2" s="49" t="s">
        <v>369</v>
      </c>
      <c r="P2" s="34" t="s">
        <v>17</v>
      </c>
      <c r="Q2" s="48" t="s">
        <v>370</v>
      </c>
      <c r="R2" s="49" t="s">
        <v>371</v>
      </c>
      <c r="S2" s="49" t="s">
        <v>372</v>
      </c>
      <c r="T2" s="9" t="s">
        <v>373</v>
      </c>
      <c r="U2" s="58" t="s">
        <v>374</v>
      </c>
      <c r="V2" s="9" t="s">
        <v>375</v>
      </c>
      <c r="W2" s="9" t="s">
        <v>376</v>
      </c>
      <c r="X2" s="58" t="s">
        <v>377</v>
      </c>
      <c r="Y2" s="58" t="s">
        <v>378</v>
      </c>
      <c r="Z2" s="49" t="s">
        <v>27</v>
      </c>
      <c r="AB2" s="2" t="s">
        <v>379</v>
      </c>
      <c r="AC2" s="2" t="s">
        <v>380</v>
      </c>
      <c r="AD2" s="2" t="s">
        <v>29</v>
      </c>
      <c r="AE2" s="2" t="s">
        <v>381</v>
      </c>
      <c r="AF2" s="2" t="s">
        <v>382</v>
      </c>
      <c r="AG2" s="2" t="s">
        <v>383</v>
      </c>
      <c r="AI2" s="2" t="s">
        <v>384</v>
      </c>
      <c r="AJ2" s="2" t="s">
        <v>385</v>
      </c>
      <c r="AK2" s="2" t="s">
        <v>386</v>
      </c>
      <c r="AL2" s="2" t="s">
        <v>387</v>
      </c>
      <c r="AM2" s="2" t="s">
        <v>388</v>
      </c>
      <c r="AN2" s="2" t="s">
        <v>389</v>
      </c>
      <c r="AO2" s="2" t="s">
        <v>390</v>
      </c>
      <c r="AP2" s="2" t="s">
        <v>391</v>
      </c>
      <c r="AQ2" s="2" t="s">
        <v>392</v>
      </c>
      <c r="AR2" s="2" t="s">
        <v>393</v>
      </c>
      <c r="AS2" s="2" t="s">
        <v>394</v>
      </c>
      <c r="AT2" s="2" t="s">
        <v>395</v>
      </c>
      <c r="AU2" s="2" t="s">
        <v>396</v>
      </c>
    </row>
    <row r="3" s="234" customFormat="1" ht="66" spans="1:26">
      <c r="A3" s="11">
        <v>1</v>
      </c>
      <c r="B3" s="11" t="s">
        <v>42</v>
      </c>
      <c r="C3" s="217"/>
      <c r="D3" s="268" t="s">
        <v>397</v>
      </c>
      <c r="E3" s="11" t="s">
        <v>398</v>
      </c>
      <c r="F3" s="217"/>
      <c r="G3" s="217"/>
      <c r="H3" s="217"/>
      <c r="I3" s="217"/>
      <c r="J3" s="217"/>
      <c r="K3" s="229" t="s">
        <v>399</v>
      </c>
      <c r="L3" s="230"/>
      <c r="M3" s="11" t="s">
        <v>400</v>
      </c>
      <c r="N3" s="60">
        <v>42712</v>
      </c>
      <c r="O3" s="60">
        <v>42744</v>
      </c>
      <c r="P3" s="241" t="s">
        <v>401</v>
      </c>
      <c r="Q3" s="244">
        <v>0.3</v>
      </c>
      <c r="R3" s="217"/>
      <c r="S3" s="217"/>
      <c r="T3" s="217"/>
      <c r="U3" s="11" t="s">
        <v>42</v>
      </c>
      <c r="V3" s="11" t="s">
        <v>42</v>
      </c>
      <c r="W3" s="11" t="s">
        <v>42</v>
      </c>
      <c r="X3" s="11" t="s">
        <v>42</v>
      </c>
      <c r="Y3" s="11" t="s">
        <v>42</v>
      </c>
      <c r="Z3" s="11"/>
    </row>
    <row r="4" s="234" customFormat="1" ht="135.75" customHeight="1" spans="1:26">
      <c r="A4" s="11">
        <v>2</v>
      </c>
      <c r="B4" s="11" t="s">
        <v>42</v>
      </c>
      <c r="C4" s="217"/>
      <c r="D4" s="268" t="s">
        <v>402</v>
      </c>
      <c r="E4" s="11" t="s">
        <v>403</v>
      </c>
      <c r="F4" s="217"/>
      <c r="G4" s="217"/>
      <c r="H4" s="217"/>
      <c r="I4" s="217"/>
      <c r="J4" s="217"/>
      <c r="K4" s="229" t="s">
        <v>404</v>
      </c>
      <c r="L4" s="230"/>
      <c r="M4" s="11" t="s">
        <v>405</v>
      </c>
      <c r="N4" s="60">
        <v>42740</v>
      </c>
      <c r="O4" s="60">
        <v>42753</v>
      </c>
      <c r="P4" s="241" t="s">
        <v>401</v>
      </c>
      <c r="Q4" s="244">
        <v>0.3</v>
      </c>
      <c r="R4" s="217"/>
      <c r="S4" s="217"/>
      <c r="T4" s="217"/>
      <c r="U4" s="11" t="s">
        <v>42</v>
      </c>
      <c r="V4" s="11" t="s">
        <v>42</v>
      </c>
      <c r="W4" s="11" t="s">
        <v>42</v>
      </c>
      <c r="X4" s="11" t="s">
        <v>42</v>
      </c>
      <c r="Y4" s="11" t="s">
        <v>42</v>
      </c>
      <c r="Z4" s="11"/>
    </row>
    <row r="5" s="234" customFormat="1" ht="66" spans="1:26">
      <c r="A5" s="11">
        <v>3</v>
      </c>
      <c r="B5" s="11" t="s">
        <v>42</v>
      </c>
      <c r="C5" s="217"/>
      <c r="D5" s="269" t="s">
        <v>406</v>
      </c>
      <c r="E5" s="11" t="s">
        <v>407</v>
      </c>
      <c r="F5" s="11" t="s">
        <v>408</v>
      </c>
      <c r="G5" s="217"/>
      <c r="H5" s="217"/>
      <c r="I5" s="217"/>
      <c r="J5" s="217"/>
      <c r="K5" s="229" t="s">
        <v>409</v>
      </c>
      <c r="L5" s="230"/>
      <c r="M5" s="11" t="s">
        <v>410</v>
      </c>
      <c r="N5" s="60">
        <v>42740</v>
      </c>
      <c r="O5" s="60">
        <v>42789</v>
      </c>
      <c r="P5" s="241" t="s">
        <v>401</v>
      </c>
      <c r="Q5" s="244">
        <v>2</v>
      </c>
      <c r="R5" s="217"/>
      <c r="S5" s="217"/>
      <c r="T5" s="217"/>
      <c r="U5" s="11" t="s">
        <v>42</v>
      </c>
      <c r="V5" s="11" t="s">
        <v>42</v>
      </c>
      <c r="W5" s="11" t="s">
        <v>42</v>
      </c>
      <c r="X5" s="11" t="s">
        <v>42</v>
      </c>
      <c r="Y5" s="11" t="s">
        <v>42</v>
      </c>
      <c r="Z5" s="11"/>
    </row>
    <row r="6" s="234" customFormat="1" ht="66" spans="1:26">
      <c r="A6" s="11">
        <v>4</v>
      </c>
      <c r="B6" s="11" t="s">
        <v>42</v>
      </c>
      <c r="C6" s="217"/>
      <c r="D6" s="270"/>
      <c r="E6" s="11" t="s">
        <v>411</v>
      </c>
      <c r="F6" s="11" t="s">
        <v>412</v>
      </c>
      <c r="G6" s="217"/>
      <c r="H6" s="217"/>
      <c r="I6" s="217"/>
      <c r="J6" s="217"/>
      <c r="K6" s="229" t="s">
        <v>413</v>
      </c>
      <c r="L6" s="230"/>
      <c r="M6" s="11" t="s">
        <v>414</v>
      </c>
      <c r="N6" s="60">
        <v>42740</v>
      </c>
      <c r="O6" s="60">
        <v>42789</v>
      </c>
      <c r="P6" s="241" t="s">
        <v>401</v>
      </c>
      <c r="Q6" s="244">
        <v>1</v>
      </c>
      <c r="R6" s="217"/>
      <c r="S6" s="217"/>
      <c r="T6" s="217"/>
      <c r="U6" s="11" t="s">
        <v>42</v>
      </c>
      <c r="V6" s="11" t="s">
        <v>42</v>
      </c>
      <c r="W6" s="11" t="s">
        <v>42</v>
      </c>
      <c r="X6" s="11" t="s">
        <v>42</v>
      </c>
      <c r="Y6" s="11" t="s">
        <v>42</v>
      </c>
      <c r="Z6" s="11"/>
    </row>
    <row r="7" s="234" customFormat="1" ht="66" spans="1:26">
      <c r="A7" s="11">
        <v>5</v>
      </c>
      <c r="B7" s="11" t="s">
        <v>42</v>
      </c>
      <c r="C7" s="217"/>
      <c r="D7" s="271"/>
      <c r="E7" s="11" t="s">
        <v>415</v>
      </c>
      <c r="F7" s="11" t="s">
        <v>416</v>
      </c>
      <c r="G7" s="217"/>
      <c r="H7" s="217"/>
      <c r="I7" s="217"/>
      <c r="J7" s="217"/>
      <c r="K7" s="229" t="s">
        <v>417</v>
      </c>
      <c r="L7" s="230"/>
      <c r="M7" s="11" t="s">
        <v>418</v>
      </c>
      <c r="N7" s="60">
        <v>42740</v>
      </c>
      <c r="O7" s="60">
        <v>42789</v>
      </c>
      <c r="P7" s="241" t="s">
        <v>401</v>
      </c>
      <c r="Q7" s="244">
        <v>1</v>
      </c>
      <c r="R7" s="217"/>
      <c r="S7" s="217"/>
      <c r="T7" s="217"/>
      <c r="U7" s="11" t="s">
        <v>42</v>
      </c>
      <c r="V7" s="11" t="s">
        <v>42</v>
      </c>
      <c r="W7" s="11" t="s">
        <v>42</v>
      </c>
      <c r="X7" s="11" t="s">
        <v>42</v>
      </c>
      <c r="Y7" s="11" t="s">
        <v>42</v>
      </c>
      <c r="Z7" s="11"/>
    </row>
    <row r="8" s="234" customFormat="1" ht="66" spans="1:26">
      <c r="A8" s="11">
        <v>6</v>
      </c>
      <c r="B8" s="11" t="s">
        <v>42</v>
      </c>
      <c r="C8" s="217"/>
      <c r="D8" s="269" t="s">
        <v>419</v>
      </c>
      <c r="E8" s="11" t="s">
        <v>411</v>
      </c>
      <c r="F8" s="11" t="s">
        <v>412</v>
      </c>
      <c r="G8" s="217"/>
      <c r="H8" s="217"/>
      <c r="I8" s="217"/>
      <c r="J8" s="217"/>
      <c r="K8" s="229" t="s">
        <v>420</v>
      </c>
      <c r="L8" s="230"/>
      <c r="M8" s="11" t="s">
        <v>421</v>
      </c>
      <c r="N8" s="60">
        <v>42831</v>
      </c>
      <c r="O8" s="60">
        <v>42860</v>
      </c>
      <c r="P8" s="241" t="s">
        <v>401</v>
      </c>
      <c r="Q8" s="244">
        <v>2</v>
      </c>
      <c r="R8" s="217"/>
      <c r="S8" s="217"/>
      <c r="T8" s="217"/>
      <c r="U8" s="11" t="s">
        <v>42</v>
      </c>
      <c r="V8" s="11" t="s">
        <v>42</v>
      </c>
      <c r="W8" s="11" t="s">
        <v>42</v>
      </c>
      <c r="X8" s="11" t="s">
        <v>42</v>
      </c>
      <c r="Y8" s="11" t="s">
        <v>42</v>
      </c>
      <c r="Z8" s="11"/>
    </row>
    <row r="9" s="234" customFormat="1" ht="66" spans="1:26">
      <c r="A9" s="11">
        <v>7</v>
      </c>
      <c r="B9" s="11" t="s">
        <v>42</v>
      </c>
      <c r="C9" s="217"/>
      <c r="D9" s="270"/>
      <c r="E9" s="11" t="s">
        <v>415</v>
      </c>
      <c r="F9" s="11" t="s">
        <v>416</v>
      </c>
      <c r="G9" s="217"/>
      <c r="H9" s="217"/>
      <c r="I9" s="217"/>
      <c r="J9" s="217"/>
      <c r="K9" s="229" t="s">
        <v>422</v>
      </c>
      <c r="L9" s="230"/>
      <c r="M9" s="11" t="s">
        <v>423</v>
      </c>
      <c r="N9" s="60">
        <v>42831</v>
      </c>
      <c r="O9" s="60">
        <v>42860</v>
      </c>
      <c r="P9" s="241" t="s">
        <v>401</v>
      </c>
      <c r="Q9" s="244">
        <v>3</v>
      </c>
      <c r="R9" s="217"/>
      <c r="S9" s="217"/>
      <c r="T9" s="217"/>
      <c r="U9" s="11" t="s">
        <v>42</v>
      </c>
      <c r="V9" s="11" t="s">
        <v>42</v>
      </c>
      <c r="W9" s="11" t="s">
        <v>42</v>
      </c>
      <c r="X9" s="11" t="s">
        <v>42</v>
      </c>
      <c r="Y9" s="11" t="s">
        <v>42</v>
      </c>
      <c r="Z9" s="11"/>
    </row>
    <row r="10" s="234" customFormat="1" ht="66" spans="1:26">
      <c r="A10" s="11">
        <v>8</v>
      </c>
      <c r="B10" s="11" t="s">
        <v>42</v>
      </c>
      <c r="C10" s="217"/>
      <c r="D10" s="270"/>
      <c r="E10" s="11" t="s">
        <v>424</v>
      </c>
      <c r="F10" s="11" t="s">
        <v>425</v>
      </c>
      <c r="G10" s="217"/>
      <c r="H10" s="217"/>
      <c r="I10" s="217"/>
      <c r="J10" s="217"/>
      <c r="K10" s="229" t="s">
        <v>426</v>
      </c>
      <c r="L10" s="230"/>
      <c r="M10" s="11" t="s">
        <v>427</v>
      </c>
      <c r="N10" s="60">
        <v>42831</v>
      </c>
      <c r="O10" s="60">
        <v>42860</v>
      </c>
      <c r="P10" s="241" t="s">
        <v>401</v>
      </c>
      <c r="Q10" s="244">
        <v>1</v>
      </c>
      <c r="R10" s="217"/>
      <c r="S10" s="217"/>
      <c r="T10" s="217"/>
      <c r="U10" s="11" t="s">
        <v>42</v>
      </c>
      <c r="V10" s="11" t="s">
        <v>42</v>
      </c>
      <c r="W10" s="11" t="s">
        <v>42</v>
      </c>
      <c r="X10" s="11" t="s">
        <v>42</v>
      </c>
      <c r="Y10" s="11" t="s">
        <v>42</v>
      </c>
      <c r="Z10" s="11"/>
    </row>
    <row r="11" s="234" customFormat="1" ht="66" spans="1:26">
      <c r="A11" s="11">
        <v>9</v>
      </c>
      <c r="B11" s="11" t="s">
        <v>42</v>
      </c>
      <c r="C11" s="217"/>
      <c r="D11" s="271"/>
      <c r="E11" s="11" t="s">
        <v>428</v>
      </c>
      <c r="F11" s="11" t="s">
        <v>408</v>
      </c>
      <c r="G11" s="217"/>
      <c r="H11" s="217"/>
      <c r="I11" s="217"/>
      <c r="J11" s="217"/>
      <c r="K11" s="229" t="s">
        <v>429</v>
      </c>
      <c r="L11" s="230"/>
      <c r="M11" s="11" t="s">
        <v>430</v>
      </c>
      <c r="N11" s="60">
        <v>42831</v>
      </c>
      <c r="O11" s="60">
        <v>42860</v>
      </c>
      <c r="P11" s="241" t="s">
        <v>401</v>
      </c>
      <c r="Q11" s="244">
        <v>3</v>
      </c>
      <c r="R11" s="217"/>
      <c r="S11" s="217"/>
      <c r="T11" s="217"/>
      <c r="U11" s="11" t="s">
        <v>42</v>
      </c>
      <c r="V11" s="11" t="s">
        <v>42</v>
      </c>
      <c r="W11" s="11" t="s">
        <v>42</v>
      </c>
      <c r="X11" s="11" t="s">
        <v>42</v>
      </c>
      <c r="Y11" s="11" t="s">
        <v>42</v>
      </c>
      <c r="Z11" s="11"/>
    </row>
    <row r="12" s="234" customFormat="1" ht="66" spans="1:26">
      <c r="A12" s="11">
        <v>10</v>
      </c>
      <c r="B12" s="11" t="s">
        <v>42</v>
      </c>
      <c r="C12" s="217"/>
      <c r="D12" s="268" t="s">
        <v>431</v>
      </c>
      <c r="E12" s="11" t="s">
        <v>432</v>
      </c>
      <c r="F12" s="11" t="s">
        <v>416</v>
      </c>
      <c r="G12" s="217"/>
      <c r="H12" s="217"/>
      <c r="I12" s="217"/>
      <c r="J12" s="217"/>
      <c r="K12" s="232" t="s">
        <v>433</v>
      </c>
      <c r="L12" s="230"/>
      <c r="M12" s="11" t="s">
        <v>434</v>
      </c>
      <c r="N12" s="60">
        <v>42989</v>
      </c>
      <c r="O12" s="60">
        <v>43020</v>
      </c>
      <c r="P12" s="241" t="s">
        <v>401</v>
      </c>
      <c r="Q12" s="244">
        <v>1</v>
      </c>
      <c r="R12" s="217"/>
      <c r="S12" s="217"/>
      <c r="T12" s="217"/>
      <c r="U12" s="11" t="s">
        <v>42</v>
      </c>
      <c r="V12" s="11" t="s">
        <v>42</v>
      </c>
      <c r="W12" s="11" t="s">
        <v>42</v>
      </c>
      <c r="X12" s="11" t="s">
        <v>42</v>
      </c>
      <c r="Y12" s="11" t="s">
        <v>42</v>
      </c>
      <c r="Z12" s="11"/>
    </row>
    <row r="13" s="234" customFormat="1" ht="66" spans="1:26">
      <c r="A13" s="11">
        <v>11</v>
      </c>
      <c r="B13" s="11" t="s">
        <v>42</v>
      </c>
      <c r="C13" s="217"/>
      <c r="D13" s="268" t="s">
        <v>435</v>
      </c>
      <c r="E13" s="11" t="s">
        <v>436</v>
      </c>
      <c r="F13" s="11" t="s">
        <v>416</v>
      </c>
      <c r="G13" s="217"/>
      <c r="H13" s="217"/>
      <c r="I13" s="217"/>
      <c r="J13" s="217"/>
      <c r="K13" s="229" t="s">
        <v>437</v>
      </c>
      <c r="L13" s="230"/>
      <c r="M13" s="11" t="s">
        <v>438</v>
      </c>
      <c r="N13" s="60">
        <v>43033</v>
      </c>
      <c r="O13" s="60">
        <v>43056</v>
      </c>
      <c r="P13" s="241" t="s">
        <v>401</v>
      </c>
      <c r="Q13" s="244">
        <v>5</v>
      </c>
      <c r="R13" s="217"/>
      <c r="S13" s="217"/>
      <c r="T13" s="217"/>
      <c r="U13" s="11" t="s">
        <v>42</v>
      </c>
      <c r="V13" s="11" t="s">
        <v>42</v>
      </c>
      <c r="W13" s="11" t="s">
        <v>42</v>
      </c>
      <c r="X13" s="11" t="s">
        <v>42</v>
      </c>
      <c r="Y13" s="11" t="s">
        <v>42</v>
      </c>
      <c r="Z13" s="11"/>
    </row>
    <row r="14" s="234" customFormat="1" ht="82.5" spans="1:26">
      <c r="A14" s="11">
        <v>12</v>
      </c>
      <c r="B14" s="11" t="s">
        <v>42</v>
      </c>
      <c r="C14" s="217"/>
      <c r="D14" s="268" t="s">
        <v>439</v>
      </c>
      <c r="E14" s="11" t="s">
        <v>432</v>
      </c>
      <c r="F14" s="11" t="s">
        <v>416</v>
      </c>
      <c r="G14" s="217"/>
      <c r="H14" s="217"/>
      <c r="I14" s="217"/>
      <c r="J14" s="217"/>
      <c r="K14" s="229" t="s">
        <v>440</v>
      </c>
      <c r="L14" s="230"/>
      <c r="M14" s="11" t="s">
        <v>441</v>
      </c>
      <c r="N14" s="60">
        <v>43018</v>
      </c>
      <c r="O14" s="60">
        <v>43056</v>
      </c>
      <c r="P14" s="241" t="s">
        <v>401</v>
      </c>
      <c r="Q14" s="244">
        <v>6.5</v>
      </c>
      <c r="R14" s="217"/>
      <c r="S14" s="217"/>
      <c r="T14" s="217"/>
      <c r="U14" s="11" t="s">
        <v>42</v>
      </c>
      <c r="V14" s="11" t="s">
        <v>42</v>
      </c>
      <c r="W14" s="11" t="s">
        <v>42</v>
      </c>
      <c r="X14" s="11" t="s">
        <v>42</v>
      </c>
      <c r="Y14" s="11" t="s">
        <v>42</v>
      </c>
      <c r="Z14" s="11"/>
    </row>
    <row r="15" s="234" customFormat="1" ht="66" spans="1:26">
      <c r="A15" s="11">
        <v>13</v>
      </c>
      <c r="B15" s="11" t="s">
        <v>42</v>
      </c>
      <c r="C15" s="217"/>
      <c r="D15" s="268" t="s">
        <v>442</v>
      </c>
      <c r="E15" s="11" t="s">
        <v>443</v>
      </c>
      <c r="F15" s="11" t="s">
        <v>416</v>
      </c>
      <c r="G15" s="217"/>
      <c r="H15" s="217"/>
      <c r="I15" s="217"/>
      <c r="J15" s="217"/>
      <c r="K15" s="229" t="s">
        <v>444</v>
      </c>
      <c r="L15" s="230"/>
      <c r="M15" s="11" t="s">
        <v>445</v>
      </c>
      <c r="N15" s="60">
        <v>43034</v>
      </c>
      <c r="O15" s="60">
        <v>43084</v>
      </c>
      <c r="P15" s="241" t="s">
        <v>401</v>
      </c>
      <c r="Q15" s="244">
        <v>5</v>
      </c>
      <c r="R15" s="217"/>
      <c r="S15" s="217"/>
      <c r="T15" s="217"/>
      <c r="U15" s="11" t="s">
        <v>42</v>
      </c>
      <c r="V15" s="11" t="s">
        <v>42</v>
      </c>
      <c r="W15" s="11" t="s">
        <v>42</v>
      </c>
      <c r="X15" s="11" t="s">
        <v>42</v>
      </c>
      <c r="Y15" s="11" t="s">
        <v>42</v>
      </c>
      <c r="Z15" s="11"/>
    </row>
    <row r="16" s="234" customFormat="1" ht="132" spans="1:27">
      <c r="A16" s="11">
        <v>1</v>
      </c>
      <c r="B16" s="11" t="s">
        <v>42</v>
      </c>
      <c r="C16" s="217"/>
      <c r="D16" s="268" t="s">
        <v>446</v>
      </c>
      <c r="E16" s="11" t="s">
        <v>447</v>
      </c>
      <c r="F16" s="11" t="s">
        <v>408</v>
      </c>
      <c r="G16" s="217"/>
      <c r="H16" s="217"/>
      <c r="I16" s="217"/>
      <c r="J16" s="217"/>
      <c r="K16" s="229" t="s">
        <v>448</v>
      </c>
      <c r="L16" s="230"/>
      <c r="M16" s="11" t="s">
        <v>449</v>
      </c>
      <c r="N16" s="60">
        <v>43088</v>
      </c>
      <c r="O16" s="60">
        <v>43124</v>
      </c>
      <c r="P16" s="241" t="s">
        <v>401</v>
      </c>
      <c r="Q16" s="244">
        <v>3</v>
      </c>
      <c r="R16" s="35">
        <v>43131</v>
      </c>
      <c r="S16" s="51"/>
      <c r="T16" s="11" t="s">
        <v>450</v>
      </c>
      <c r="U16" s="11" t="s">
        <v>42</v>
      </c>
      <c r="V16" s="11" t="s">
        <v>42</v>
      </c>
      <c r="W16" s="11" t="s">
        <v>42</v>
      </c>
      <c r="X16" s="11" t="s">
        <v>42</v>
      </c>
      <c r="Y16" s="11" t="s">
        <v>42</v>
      </c>
      <c r="Z16" s="35"/>
      <c r="AA16" s="276"/>
    </row>
    <row r="17" s="234" customFormat="1" ht="115.5" spans="1:27">
      <c r="A17" s="11">
        <v>2</v>
      </c>
      <c r="B17" s="11" t="s">
        <v>42</v>
      </c>
      <c r="C17" s="217"/>
      <c r="D17" s="268"/>
      <c r="E17" s="11" t="s">
        <v>451</v>
      </c>
      <c r="F17" s="11" t="s">
        <v>416</v>
      </c>
      <c r="G17" s="217"/>
      <c r="H17" s="217"/>
      <c r="I17" s="217"/>
      <c r="J17" s="217"/>
      <c r="K17" s="229" t="s">
        <v>452</v>
      </c>
      <c r="L17" s="230"/>
      <c r="M17" s="11" t="s">
        <v>453</v>
      </c>
      <c r="N17" s="60">
        <v>43088</v>
      </c>
      <c r="O17" s="60">
        <v>43124</v>
      </c>
      <c r="P17" s="241" t="s">
        <v>401</v>
      </c>
      <c r="Q17" s="244">
        <v>3</v>
      </c>
      <c r="R17" s="35">
        <v>43131</v>
      </c>
      <c r="S17" s="51"/>
      <c r="T17" s="11" t="s">
        <v>450</v>
      </c>
      <c r="U17" s="11" t="s">
        <v>42</v>
      </c>
      <c r="V17" s="11" t="s">
        <v>42</v>
      </c>
      <c r="W17" s="11" t="s">
        <v>42</v>
      </c>
      <c r="X17" s="11" t="s">
        <v>42</v>
      </c>
      <c r="Y17" s="11" t="s">
        <v>42</v>
      </c>
      <c r="Z17" s="35"/>
      <c r="AA17" s="276"/>
    </row>
    <row r="18" s="234" customFormat="1" ht="165" spans="1:27">
      <c r="A18" s="11">
        <v>3</v>
      </c>
      <c r="B18" s="11" t="s">
        <v>42</v>
      </c>
      <c r="C18" s="217"/>
      <c r="D18" s="268"/>
      <c r="E18" s="11" t="s">
        <v>454</v>
      </c>
      <c r="F18" s="11" t="s">
        <v>425</v>
      </c>
      <c r="G18" s="217"/>
      <c r="H18" s="217"/>
      <c r="I18" s="217"/>
      <c r="J18" s="217"/>
      <c r="K18" s="229" t="s">
        <v>455</v>
      </c>
      <c r="L18" s="230"/>
      <c r="M18" s="11" t="s">
        <v>456</v>
      </c>
      <c r="N18" s="60">
        <v>43088</v>
      </c>
      <c r="O18" s="60">
        <v>43124</v>
      </c>
      <c r="P18" s="241" t="s">
        <v>401</v>
      </c>
      <c r="Q18" s="244">
        <v>1</v>
      </c>
      <c r="R18" s="35">
        <v>43131</v>
      </c>
      <c r="S18" s="51"/>
      <c r="T18" s="11" t="s">
        <v>450</v>
      </c>
      <c r="U18" s="11" t="s">
        <v>42</v>
      </c>
      <c r="V18" s="11" t="s">
        <v>42</v>
      </c>
      <c r="W18" s="11" t="s">
        <v>42</v>
      </c>
      <c r="X18" s="11" t="s">
        <v>42</v>
      </c>
      <c r="Y18" s="11" t="s">
        <v>42</v>
      </c>
      <c r="Z18" s="35" t="s">
        <v>457</v>
      </c>
      <c r="AA18" s="276"/>
    </row>
    <row r="19" s="234" customFormat="1" ht="132" spans="1:27">
      <c r="A19" s="11">
        <v>4</v>
      </c>
      <c r="B19" s="11" t="s">
        <v>42</v>
      </c>
      <c r="C19" s="217"/>
      <c r="D19" s="13" t="s">
        <v>458</v>
      </c>
      <c r="E19" s="11" t="s">
        <v>459</v>
      </c>
      <c r="F19" s="11" t="s">
        <v>408</v>
      </c>
      <c r="G19" s="217"/>
      <c r="H19" s="217"/>
      <c r="I19" s="217"/>
      <c r="J19" s="217"/>
      <c r="K19" s="229" t="s">
        <v>460</v>
      </c>
      <c r="L19" s="230"/>
      <c r="M19" s="11" t="s">
        <v>461</v>
      </c>
      <c r="N19" s="60">
        <v>43095</v>
      </c>
      <c r="O19" s="60">
        <v>43118</v>
      </c>
      <c r="P19" s="241" t="s">
        <v>401</v>
      </c>
      <c r="Q19" s="244">
        <v>3</v>
      </c>
      <c r="R19" s="35">
        <v>43129</v>
      </c>
      <c r="S19" s="51"/>
      <c r="T19" s="11" t="s">
        <v>450</v>
      </c>
      <c r="U19" s="11" t="s">
        <v>42</v>
      </c>
      <c r="V19" s="11" t="s">
        <v>42</v>
      </c>
      <c r="W19" s="11" t="s">
        <v>42</v>
      </c>
      <c r="X19" s="11" t="s">
        <v>42</v>
      </c>
      <c r="Y19" s="11" t="s">
        <v>42</v>
      </c>
      <c r="Z19" s="35"/>
      <c r="AA19" s="276"/>
    </row>
    <row r="20" s="234" customFormat="1" ht="82.5" spans="1:27">
      <c r="A20" s="11">
        <v>5</v>
      </c>
      <c r="B20" s="11" t="s">
        <v>42</v>
      </c>
      <c r="C20" s="217"/>
      <c r="D20" s="13"/>
      <c r="E20" s="11" t="s">
        <v>462</v>
      </c>
      <c r="F20" s="11" t="s">
        <v>425</v>
      </c>
      <c r="G20" s="217"/>
      <c r="H20" s="217"/>
      <c r="I20" s="217"/>
      <c r="J20" s="217"/>
      <c r="K20" s="229" t="s">
        <v>463</v>
      </c>
      <c r="L20" s="230"/>
      <c r="M20" s="11" t="s">
        <v>464</v>
      </c>
      <c r="N20" s="60">
        <v>43095</v>
      </c>
      <c r="O20" s="60">
        <v>43118</v>
      </c>
      <c r="P20" s="241" t="s">
        <v>401</v>
      </c>
      <c r="Q20" s="244">
        <v>1</v>
      </c>
      <c r="R20" s="35">
        <v>43129</v>
      </c>
      <c r="S20" s="51"/>
      <c r="T20" s="11" t="s">
        <v>450</v>
      </c>
      <c r="U20" s="11" t="s">
        <v>42</v>
      </c>
      <c r="V20" s="11" t="s">
        <v>42</v>
      </c>
      <c r="W20" s="11" t="s">
        <v>42</v>
      </c>
      <c r="X20" s="11" t="s">
        <v>42</v>
      </c>
      <c r="Y20" s="11" t="s">
        <v>42</v>
      </c>
      <c r="Z20" s="35"/>
      <c r="AA20" s="276"/>
    </row>
    <row r="21" s="234" customFormat="1" ht="115.5" spans="1:27">
      <c r="A21" s="11">
        <v>6</v>
      </c>
      <c r="B21" s="11" t="s">
        <v>42</v>
      </c>
      <c r="C21" s="217"/>
      <c r="D21" s="13"/>
      <c r="E21" s="11" t="s">
        <v>465</v>
      </c>
      <c r="F21" s="11" t="s">
        <v>412</v>
      </c>
      <c r="G21" s="217"/>
      <c r="H21" s="217"/>
      <c r="I21" s="217"/>
      <c r="J21" s="217"/>
      <c r="K21" s="229" t="s">
        <v>466</v>
      </c>
      <c r="L21" s="230"/>
      <c r="M21" s="11" t="s">
        <v>467</v>
      </c>
      <c r="N21" s="60">
        <v>43095</v>
      </c>
      <c r="O21" s="60">
        <v>43118</v>
      </c>
      <c r="P21" s="241" t="s">
        <v>401</v>
      </c>
      <c r="Q21" s="244">
        <v>3</v>
      </c>
      <c r="R21" s="35">
        <v>43129</v>
      </c>
      <c r="S21" s="51"/>
      <c r="T21" s="11" t="s">
        <v>450</v>
      </c>
      <c r="U21" s="11" t="s">
        <v>42</v>
      </c>
      <c r="V21" s="11" t="s">
        <v>42</v>
      </c>
      <c r="W21" s="11" t="s">
        <v>42</v>
      </c>
      <c r="X21" s="11" t="s">
        <v>42</v>
      </c>
      <c r="Y21" s="11" t="s">
        <v>42</v>
      </c>
      <c r="Z21" s="35"/>
      <c r="AA21" s="276"/>
    </row>
    <row r="22" s="234" customFormat="1" ht="82.5" spans="1:27">
      <c r="A22" s="11">
        <v>7</v>
      </c>
      <c r="B22" s="11" t="s">
        <v>42</v>
      </c>
      <c r="C22" s="11" t="s">
        <v>468</v>
      </c>
      <c r="D22" s="13" t="s">
        <v>469</v>
      </c>
      <c r="E22" s="11" t="s">
        <v>470</v>
      </c>
      <c r="F22" s="11" t="s">
        <v>408</v>
      </c>
      <c r="G22" s="323" t="s">
        <v>471</v>
      </c>
      <c r="H22" s="11"/>
      <c r="I22" s="11"/>
      <c r="J22" s="11" t="s">
        <v>472</v>
      </c>
      <c r="K22" s="229" t="s">
        <v>473</v>
      </c>
      <c r="L22" s="229" t="s">
        <v>474</v>
      </c>
      <c r="M22" s="11" t="s">
        <v>475</v>
      </c>
      <c r="N22" s="60">
        <v>43132</v>
      </c>
      <c r="O22" s="60">
        <v>43175</v>
      </c>
      <c r="P22" s="241" t="s">
        <v>401</v>
      </c>
      <c r="Q22" s="244">
        <v>1</v>
      </c>
      <c r="R22" s="35">
        <v>43182</v>
      </c>
      <c r="S22" s="51"/>
      <c r="T22" s="11" t="s">
        <v>476</v>
      </c>
      <c r="U22" s="217"/>
      <c r="V22" s="11" t="s">
        <v>42</v>
      </c>
      <c r="W22" s="11" t="s">
        <v>477</v>
      </c>
      <c r="X22" s="11" t="s">
        <v>42</v>
      </c>
      <c r="Y22" s="11" t="s">
        <v>42</v>
      </c>
      <c r="Z22" s="35"/>
      <c r="AA22" s="276"/>
    </row>
    <row r="23" s="234" customFormat="1" ht="66" spans="1:27">
      <c r="A23" s="11">
        <v>8</v>
      </c>
      <c r="B23" s="11" t="s">
        <v>42</v>
      </c>
      <c r="C23" s="11" t="s">
        <v>478</v>
      </c>
      <c r="D23" s="13"/>
      <c r="E23" s="12" t="s">
        <v>479</v>
      </c>
      <c r="F23" s="11" t="s">
        <v>425</v>
      </c>
      <c r="G23" s="323" t="s">
        <v>480</v>
      </c>
      <c r="H23" s="11"/>
      <c r="I23" s="11"/>
      <c r="J23" s="11" t="s">
        <v>481</v>
      </c>
      <c r="K23" s="229" t="s">
        <v>482</v>
      </c>
      <c r="L23" s="229" t="s">
        <v>483</v>
      </c>
      <c r="M23" s="11" t="s">
        <v>484</v>
      </c>
      <c r="N23" s="60">
        <v>43132</v>
      </c>
      <c r="O23" s="60">
        <v>43167</v>
      </c>
      <c r="P23" s="241" t="s">
        <v>401</v>
      </c>
      <c r="Q23" s="244">
        <v>1</v>
      </c>
      <c r="R23" s="35">
        <v>43182</v>
      </c>
      <c r="S23" s="51"/>
      <c r="T23" s="11" t="s">
        <v>476</v>
      </c>
      <c r="U23" s="217"/>
      <c r="V23" s="11" t="s">
        <v>42</v>
      </c>
      <c r="W23" s="11" t="s">
        <v>477</v>
      </c>
      <c r="X23" s="11" t="s">
        <v>42</v>
      </c>
      <c r="Y23" s="11" t="s">
        <v>42</v>
      </c>
      <c r="Z23" s="35"/>
      <c r="AA23" s="276"/>
    </row>
    <row r="24" s="234" customFormat="1" ht="115.5" spans="1:27">
      <c r="A24" s="11">
        <v>9</v>
      </c>
      <c r="B24" s="11" t="s">
        <v>42</v>
      </c>
      <c r="C24" s="11" t="s">
        <v>485</v>
      </c>
      <c r="D24" s="13"/>
      <c r="E24" s="11" t="s">
        <v>486</v>
      </c>
      <c r="F24" s="11" t="s">
        <v>416</v>
      </c>
      <c r="G24" s="323" t="s">
        <v>487</v>
      </c>
      <c r="H24" s="11"/>
      <c r="I24" s="11"/>
      <c r="J24" s="11" t="s">
        <v>488</v>
      </c>
      <c r="K24" s="229" t="s">
        <v>489</v>
      </c>
      <c r="L24" s="229" t="s">
        <v>490</v>
      </c>
      <c r="M24" s="11" t="s">
        <v>491</v>
      </c>
      <c r="N24" s="60">
        <v>43132</v>
      </c>
      <c r="O24" s="60">
        <v>43167</v>
      </c>
      <c r="P24" s="241" t="s">
        <v>401</v>
      </c>
      <c r="Q24" s="244">
        <v>1</v>
      </c>
      <c r="R24" s="35">
        <v>43182</v>
      </c>
      <c r="S24" s="51"/>
      <c r="T24" s="11" t="s">
        <v>476</v>
      </c>
      <c r="U24" s="217"/>
      <c r="V24" s="11" t="s">
        <v>42</v>
      </c>
      <c r="W24" s="11" t="s">
        <v>477</v>
      </c>
      <c r="X24" s="11" t="s">
        <v>42</v>
      </c>
      <c r="Y24" s="11" t="s">
        <v>42</v>
      </c>
      <c r="Z24" s="35"/>
      <c r="AA24" s="276"/>
    </row>
    <row r="25" s="234" customFormat="1" ht="99" spans="1:27">
      <c r="A25" s="11">
        <v>10</v>
      </c>
      <c r="B25" s="11" t="s">
        <v>42</v>
      </c>
      <c r="C25" s="11" t="s">
        <v>492</v>
      </c>
      <c r="D25" s="268" t="s">
        <v>493</v>
      </c>
      <c r="E25" s="11" t="s">
        <v>494</v>
      </c>
      <c r="F25" s="11" t="s">
        <v>416</v>
      </c>
      <c r="G25" s="323" t="s">
        <v>495</v>
      </c>
      <c r="H25" s="11"/>
      <c r="I25" s="11"/>
      <c r="J25" s="11" t="s">
        <v>496</v>
      </c>
      <c r="K25" s="229" t="s">
        <v>497</v>
      </c>
      <c r="L25" s="229" t="s">
        <v>498</v>
      </c>
      <c r="M25" s="11" t="s">
        <v>499</v>
      </c>
      <c r="N25" s="60">
        <v>43179</v>
      </c>
      <c r="O25" s="60">
        <v>43202</v>
      </c>
      <c r="P25" s="241" t="s">
        <v>401</v>
      </c>
      <c r="Q25" s="244">
        <v>5</v>
      </c>
      <c r="R25" s="35">
        <v>43214</v>
      </c>
      <c r="S25" s="51"/>
      <c r="T25" s="11" t="s">
        <v>476</v>
      </c>
      <c r="U25" s="217"/>
      <c r="V25" s="11" t="s">
        <v>42</v>
      </c>
      <c r="W25" s="11" t="s">
        <v>477</v>
      </c>
      <c r="X25" s="11" t="s">
        <v>42</v>
      </c>
      <c r="Y25" s="11" t="s">
        <v>42</v>
      </c>
      <c r="Z25" s="35" t="s">
        <v>500</v>
      </c>
      <c r="AA25" s="276"/>
    </row>
    <row r="26" s="234" customFormat="1" ht="115.5" spans="1:27">
      <c r="A26" s="11">
        <v>11</v>
      </c>
      <c r="B26" s="11" t="s">
        <v>42</v>
      </c>
      <c r="C26" s="11" t="s">
        <v>501</v>
      </c>
      <c r="D26" s="13" t="s">
        <v>502</v>
      </c>
      <c r="E26" s="11" t="s">
        <v>486</v>
      </c>
      <c r="F26" s="11" t="s">
        <v>416</v>
      </c>
      <c r="G26" s="323" t="s">
        <v>487</v>
      </c>
      <c r="H26" s="11"/>
      <c r="I26" s="11"/>
      <c r="J26" s="11" t="s">
        <v>503</v>
      </c>
      <c r="K26" s="229" t="s">
        <v>504</v>
      </c>
      <c r="L26" s="229" t="s">
        <v>505</v>
      </c>
      <c r="M26" s="11" t="s">
        <v>506</v>
      </c>
      <c r="N26" s="60">
        <v>43273</v>
      </c>
      <c r="O26" s="60">
        <v>43293</v>
      </c>
      <c r="P26" s="241" t="s">
        <v>401</v>
      </c>
      <c r="Q26" s="244">
        <v>3</v>
      </c>
      <c r="R26" s="35">
        <v>43314</v>
      </c>
      <c r="S26" s="51"/>
      <c r="T26" s="11" t="s">
        <v>476</v>
      </c>
      <c r="U26" s="217"/>
      <c r="V26" s="11" t="s">
        <v>42</v>
      </c>
      <c r="W26" s="11" t="s">
        <v>477</v>
      </c>
      <c r="X26" s="11" t="s">
        <v>42</v>
      </c>
      <c r="Y26" s="11" t="s">
        <v>42</v>
      </c>
      <c r="Z26" s="35"/>
      <c r="AA26" s="276"/>
    </row>
    <row r="27" s="234" customFormat="1" ht="115.5" spans="1:27">
      <c r="A27" s="11">
        <v>12</v>
      </c>
      <c r="B27" s="11" t="s">
        <v>42</v>
      </c>
      <c r="C27" s="11" t="s">
        <v>507</v>
      </c>
      <c r="D27" s="13"/>
      <c r="E27" s="11" t="s">
        <v>508</v>
      </c>
      <c r="F27" s="11" t="s">
        <v>509</v>
      </c>
      <c r="G27" s="323" t="s">
        <v>510</v>
      </c>
      <c r="H27" s="11"/>
      <c r="I27" s="11"/>
      <c r="J27" s="11" t="s">
        <v>511</v>
      </c>
      <c r="K27" s="229" t="s">
        <v>504</v>
      </c>
      <c r="L27" s="229" t="s">
        <v>512</v>
      </c>
      <c r="M27" s="11" t="s">
        <v>513</v>
      </c>
      <c r="N27" s="60">
        <v>43273</v>
      </c>
      <c r="O27" s="60">
        <v>43293</v>
      </c>
      <c r="P27" s="241" t="s">
        <v>401</v>
      </c>
      <c r="Q27" s="244">
        <v>0.5</v>
      </c>
      <c r="R27" s="35">
        <v>43314</v>
      </c>
      <c r="S27" s="51"/>
      <c r="T27" s="11" t="s">
        <v>476</v>
      </c>
      <c r="U27" s="217"/>
      <c r="V27" s="11" t="s">
        <v>42</v>
      </c>
      <c r="W27" s="11" t="s">
        <v>477</v>
      </c>
      <c r="X27" s="11" t="s">
        <v>42</v>
      </c>
      <c r="Y27" s="11" t="s">
        <v>42</v>
      </c>
      <c r="Z27" s="35"/>
      <c r="AA27" s="276"/>
    </row>
    <row r="28" s="234" customFormat="1" ht="115.5" spans="1:27">
      <c r="A28" s="11">
        <v>13</v>
      </c>
      <c r="B28" s="11" t="s">
        <v>42</v>
      </c>
      <c r="C28" s="11" t="s">
        <v>514</v>
      </c>
      <c r="D28" s="13"/>
      <c r="E28" s="11" t="s">
        <v>515</v>
      </c>
      <c r="F28" s="11" t="s">
        <v>516</v>
      </c>
      <c r="G28" s="323" t="s">
        <v>517</v>
      </c>
      <c r="H28" s="11"/>
      <c r="I28" s="11"/>
      <c r="J28" s="11" t="s">
        <v>518</v>
      </c>
      <c r="K28" s="229" t="s">
        <v>504</v>
      </c>
      <c r="L28" s="229" t="s">
        <v>519</v>
      </c>
      <c r="M28" s="11" t="s">
        <v>520</v>
      </c>
      <c r="N28" s="60">
        <v>43273</v>
      </c>
      <c r="O28" s="60">
        <v>43293</v>
      </c>
      <c r="P28" s="241" t="s">
        <v>401</v>
      </c>
      <c r="Q28" s="244">
        <v>0.5</v>
      </c>
      <c r="R28" s="35">
        <v>43314</v>
      </c>
      <c r="S28" s="51"/>
      <c r="T28" s="11" t="s">
        <v>476</v>
      </c>
      <c r="U28" s="217"/>
      <c r="V28" s="11" t="s">
        <v>42</v>
      </c>
      <c r="W28" s="11" t="s">
        <v>477</v>
      </c>
      <c r="X28" s="11" t="s">
        <v>42</v>
      </c>
      <c r="Y28" s="11" t="s">
        <v>42</v>
      </c>
      <c r="Z28" s="35"/>
      <c r="AA28" s="276"/>
    </row>
    <row r="29" s="234" customFormat="1" ht="148.5" spans="1:27">
      <c r="A29" s="11">
        <v>14</v>
      </c>
      <c r="B29" s="11" t="s">
        <v>42</v>
      </c>
      <c r="C29" s="11" t="s">
        <v>521</v>
      </c>
      <c r="D29" s="13" t="s">
        <v>522</v>
      </c>
      <c r="E29" s="11" t="s">
        <v>523</v>
      </c>
      <c r="F29" s="11" t="s">
        <v>416</v>
      </c>
      <c r="G29" s="323" t="s">
        <v>524</v>
      </c>
      <c r="H29" s="11"/>
      <c r="I29" s="11"/>
      <c r="J29" s="11" t="s">
        <v>525</v>
      </c>
      <c r="K29" s="229" t="s">
        <v>526</v>
      </c>
      <c r="L29" s="229" t="s">
        <v>527</v>
      </c>
      <c r="M29" s="11" t="s">
        <v>528</v>
      </c>
      <c r="N29" s="60">
        <v>43322</v>
      </c>
      <c r="O29" s="60">
        <v>43335</v>
      </c>
      <c r="P29" s="241" t="s">
        <v>401</v>
      </c>
      <c r="Q29" s="244">
        <v>2.9999</v>
      </c>
      <c r="R29" s="35">
        <v>43360</v>
      </c>
      <c r="S29" s="51"/>
      <c r="T29" s="11" t="s">
        <v>529</v>
      </c>
      <c r="U29" s="217"/>
      <c r="V29" s="11" t="s">
        <v>42</v>
      </c>
      <c r="W29" s="11" t="s">
        <v>477</v>
      </c>
      <c r="X29" s="11" t="s">
        <v>42</v>
      </c>
      <c r="Y29" s="11" t="s">
        <v>42</v>
      </c>
      <c r="Z29" s="35" t="s">
        <v>530</v>
      </c>
      <c r="AA29" s="276"/>
    </row>
    <row r="30" s="234" customFormat="1" ht="148.5" spans="1:27">
      <c r="A30" s="11">
        <v>15</v>
      </c>
      <c r="B30" s="11" t="s">
        <v>42</v>
      </c>
      <c r="C30" s="11" t="s">
        <v>531</v>
      </c>
      <c r="D30" s="13" t="s">
        <v>532</v>
      </c>
      <c r="E30" s="12" t="s">
        <v>432</v>
      </c>
      <c r="F30" s="11" t="s">
        <v>416</v>
      </c>
      <c r="G30" s="323" t="s">
        <v>211</v>
      </c>
      <c r="H30" s="11"/>
      <c r="I30" s="11"/>
      <c r="J30" s="11" t="s">
        <v>533</v>
      </c>
      <c r="K30" s="232" t="s">
        <v>534</v>
      </c>
      <c r="L30" s="229" t="s">
        <v>535</v>
      </c>
      <c r="M30" s="11" t="s">
        <v>536</v>
      </c>
      <c r="N30" s="60">
        <v>43335</v>
      </c>
      <c r="O30" s="60">
        <v>43355</v>
      </c>
      <c r="P30" s="241" t="s">
        <v>401</v>
      </c>
      <c r="Q30" s="244">
        <v>1</v>
      </c>
      <c r="R30" s="35">
        <v>43373</v>
      </c>
      <c r="S30" s="51"/>
      <c r="T30" s="11" t="s">
        <v>529</v>
      </c>
      <c r="U30" s="217"/>
      <c r="V30" s="11" t="s">
        <v>42</v>
      </c>
      <c r="W30" s="11" t="s">
        <v>477</v>
      </c>
      <c r="X30" s="11" t="s">
        <v>42</v>
      </c>
      <c r="Y30" s="11" t="s">
        <v>42</v>
      </c>
      <c r="Z30" s="35" t="s">
        <v>537</v>
      </c>
      <c r="AA30" s="276"/>
    </row>
    <row r="31" s="234" customFormat="1" ht="66" spans="1:27">
      <c r="A31" s="11">
        <v>16</v>
      </c>
      <c r="B31" s="11" t="s">
        <v>42</v>
      </c>
      <c r="C31" s="11" t="s">
        <v>538</v>
      </c>
      <c r="D31" s="268" t="s">
        <v>539</v>
      </c>
      <c r="E31" s="11" t="s">
        <v>540</v>
      </c>
      <c r="F31" s="11" t="s">
        <v>408</v>
      </c>
      <c r="G31" s="323" t="s">
        <v>541</v>
      </c>
      <c r="H31" s="11"/>
      <c r="I31" s="11"/>
      <c r="J31" s="11" t="s">
        <v>472</v>
      </c>
      <c r="K31" s="229" t="s">
        <v>542</v>
      </c>
      <c r="L31" s="229" t="s">
        <v>543</v>
      </c>
      <c r="M31" s="35" t="s">
        <v>544</v>
      </c>
      <c r="N31" s="60">
        <v>43321</v>
      </c>
      <c r="O31" s="60">
        <v>43348</v>
      </c>
      <c r="P31" s="241" t="s">
        <v>401</v>
      </c>
      <c r="Q31" s="244">
        <v>1</v>
      </c>
      <c r="R31" s="35">
        <v>43370</v>
      </c>
      <c r="S31" s="51"/>
      <c r="T31" s="11" t="s">
        <v>476</v>
      </c>
      <c r="U31" s="217"/>
      <c r="V31" s="11" t="s">
        <v>42</v>
      </c>
      <c r="W31" s="11" t="s">
        <v>477</v>
      </c>
      <c r="X31" s="11" t="s">
        <v>42</v>
      </c>
      <c r="Y31" s="11" t="s">
        <v>42</v>
      </c>
      <c r="Z31" s="35"/>
      <c r="AA31" s="276"/>
    </row>
    <row r="32" s="234" customFormat="1" ht="66" spans="1:27">
      <c r="A32" s="11">
        <v>17</v>
      </c>
      <c r="B32" s="11" t="s">
        <v>42</v>
      </c>
      <c r="C32" s="11" t="s">
        <v>545</v>
      </c>
      <c r="D32" s="268"/>
      <c r="E32" s="12" t="s">
        <v>546</v>
      </c>
      <c r="F32" s="11" t="s">
        <v>408</v>
      </c>
      <c r="G32" s="323" t="s">
        <v>547</v>
      </c>
      <c r="H32" s="11"/>
      <c r="I32" s="11"/>
      <c r="J32" s="11" t="s">
        <v>472</v>
      </c>
      <c r="K32" s="229" t="s">
        <v>548</v>
      </c>
      <c r="L32" s="229" t="s">
        <v>549</v>
      </c>
      <c r="M32" s="35" t="s">
        <v>550</v>
      </c>
      <c r="N32" s="60">
        <v>43321</v>
      </c>
      <c r="O32" s="60">
        <v>43348</v>
      </c>
      <c r="P32" s="241" t="s">
        <v>401</v>
      </c>
      <c r="Q32" s="244">
        <v>2</v>
      </c>
      <c r="R32" s="35">
        <v>43370</v>
      </c>
      <c r="S32" s="51"/>
      <c r="T32" s="11" t="s">
        <v>476</v>
      </c>
      <c r="U32" s="217"/>
      <c r="V32" s="11" t="s">
        <v>42</v>
      </c>
      <c r="W32" s="11" t="s">
        <v>477</v>
      </c>
      <c r="X32" s="11" t="s">
        <v>42</v>
      </c>
      <c r="Y32" s="11" t="s">
        <v>42</v>
      </c>
      <c r="Z32" s="35" t="s">
        <v>500</v>
      </c>
      <c r="AA32" s="276"/>
    </row>
    <row r="33" s="234" customFormat="1" ht="82.5" spans="1:27">
      <c r="A33" s="11">
        <v>18</v>
      </c>
      <c r="B33" s="11" t="s">
        <v>42</v>
      </c>
      <c r="C33" s="11" t="s">
        <v>551</v>
      </c>
      <c r="D33" s="268"/>
      <c r="E33" s="12" t="s">
        <v>465</v>
      </c>
      <c r="F33" s="11" t="s">
        <v>412</v>
      </c>
      <c r="G33" s="323" t="s">
        <v>552</v>
      </c>
      <c r="H33" s="11"/>
      <c r="I33" s="11"/>
      <c r="J33" s="11" t="s">
        <v>553</v>
      </c>
      <c r="K33" s="229" t="s">
        <v>554</v>
      </c>
      <c r="L33" s="229" t="s">
        <v>555</v>
      </c>
      <c r="M33" s="35" t="s">
        <v>556</v>
      </c>
      <c r="N33" s="60">
        <v>43321</v>
      </c>
      <c r="O33" s="60">
        <v>43348</v>
      </c>
      <c r="P33" s="241" t="s">
        <v>401</v>
      </c>
      <c r="Q33" s="244">
        <v>1</v>
      </c>
      <c r="R33" s="35">
        <v>43370</v>
      </c>
      <c r="S33" s="51"/>
      <c r="T33" s="11" t="s">
        <v>476</v>
      </c>
      <c r="U33" s="217"/>
      <c r="V33" s="11" t="s">
        <v>42</v>
      </c>
      <c r="W33" s="11" t="s">
        <v>477</v>
      </c>
      <c r="X33" s="11" t="s">
        <v>42</v>
      </c>
      <c r="Y33" s="11" t="s">
        <v>42</v>
      </c>
      <c r="Z33" s="35"/>
      <c r="AA33" s="276"/>
    </row>
    <row r="34" s="234" customFormat="1" ht="66" spans="1:27">
      <c r="A34" s="11">
        <v>19</v>
      </c>
      <c r="B34" s="11" t="s">
        <v>42</v>
      </c>
      <c r="C34" s="11" t="s">
        <v>557</v>
      </c>
      <c r="D34" s="268"/>
      <c r="E34" s="12" t="s">
        <v>462</v>
      </c>
      <c r="F34" s="11" t="s">
        <v>425</v>
      </c>
      <c r="G34" s="323" t="s">
        <v>558</v>
      </c>
      <c r="H34" s="11"/>
      <c r="I34" s="11"/>
      <c r="J34" s="11" t="s">
        <v>481</v>
      </c>
      <c r="K34" s="229" t="s">
        <v>559</v>
      </c>
      <c r="L34" s="229" t="s">
        <v>560</v>
      </c>
      <c r="M34" s="35" t="s">
        <v>561</v>
      </c>
      <c r="N34" s="60">
        <v>43321</v>
      </c>
      <c r="O34" s="60">
        <v>43348</v>
      </c>
      <c r="P34" s="241" t="s">
        <v>401</v>
      </c>
      <c r="Q34" s="244">
        <v>1</v>
      </c>
      <c r="R34" s="35">
        <v>43370</v>
      </c>
      <c r="S34" s="51"/>
      <c r="T34" s="11" t="s">
        <v>476</v>
      </c>
      <c r="U34" s="217"/>
      <c r="V34" s="11" t="s">
        <v>42</v>
      </c>
      <c r="W34" s="11" t="s">
        <v>477</v>
      </c>
      <c r="X34" s="11" t="s">
        <v>42</v>
      </c>
      <c r="Y34" s="11" t="s">
        <v>42</v>
      </c>
      <c r="Z34" s="35" t="s">
        <v>562</v>
      </c>
      <c r="AA34" s="276"/>
    </row>
    <row r="35" s="234" customFormat="1" ht="82.5" spans="1:27">
      <c r="A35" s="11">
        <v>20</v>
      </c>
      <c r="B35" s="11" t="s">
        <v>42</v>
      </c>
      <c r="C35" s="11" t="s">
        <v>563</v>
      </c>
      <c r="D35" s="13" t="s">
        <v>564</v>
      </c>
      <c r="E35" s="11" t="s">
        <v>565</v>
      </c>
      <c r="F35" s="11" t="s">
        <v>416</v>
      </c>
      <c r="G35" s="323" t="s">
        <v>566</v>
      </c>
      <c r="H35" s="11"/>
      <c r="I35" s="11"/>
      <c r="J35" s="11" t="s">
        <v>567</v>
      </c>
      <c r="K35" s="232" t="s">
        <v>568</v>
      </c>
      <c r="L35" s="229" t="s">
        <v>569</v>
      </c>
      <c r="M35" s="35" t="s">
        <v>570</v>
      </c>
      <c r="N35" s="60">
        <v>43273</v>
      </c>
      <c r="O35" s="60">
        <v>43304</v>
      </c>
      <c r="P35" s="241" t="s">
        <v>401</v>
      </c>
      <c r="Q35" s="244">
        <v>10</v>
      </c>
      <c r="R35" s="35">
        <v>43306</v>
      </c>
      <c r="S35" s="51"/>
      <c r="T35" s="11" t="s">
        <v>571</v>
      </c>
      <c r="U35" s="217"/>
      <c r="V35" s="11" t="s">
        <v>42</v>
      </c>
      <c r="W35" s="11" t="s">
        <v>477</v>
      </c>
      <c r="X35" s="11" t="s">
        <v>42</v>
      </c>
      <c r="Y35" s="11" t="s">
        <v>42</v>
      </c>
      <c r="Z35" s="35"/>
      <c r="AA35" s="276"/>
    </row>
    <row r="36" s="234" customFormat="1" ht="82.5" spans="1:27">
      <c r="A36" s="11">
        <v>21</v>
      </c>
      <c r="B36" s="11" t="s">
        <v>42</v>
      </c>
      <c r="C36" s="11" t="s">
        <v>538</v>
      </c>
      <c r="D36" s="13" t="s">
        <v>572</v>
      </c>
      <c r="E36" s="11" t="s">
        <v>540</v>
      </c>
      <c r="F36" s="11" t="s">
        <v>408</v>
      </c>
      <c r="G36" s="323" t="s">
        <v>541</v>
      </c>
      <c r="H36" s="11"/>
      <c r="I36" s="11"/>
      <c r="J36" s="11" t="s">
        <v>472</v>
      </c>
      <c r="K36" s="229" t="s">
        <v>573</v>
      </c>
      <c r="L36" s="229" t="s">
        <v>574</v>
      </c>
      <c r="M36" s="11" t="s">
        <v>575</v>
      </c>
      <c r="N36" s="60">
        <v>43311</v>
      </c>
      <c r="O36" s="60">
        <v>43332</v>
      </c>
      <c r="P36" s="241" t="s">
        <v>401</v>
      </c>
      <c r="Q36" s="244">
        <v>2</v>
      </c>
      <c r="R36" s="35">
        <v>43360</v>
      </c>
      <c r="S36" s="51"/>
      <c r="T36" s="11" t="s">
        <v>571</v>
      </c>
      <c r="U36" s="217"/>
      <c r="V36" s="11" t="s">
        <v>42</v>
      </c>
      <c r="W36" s="11" t="s">
        <v>477</v>
      </c>
      <c r="X36" s="11" t="s">
        <v>42</v>
      </c>
      <c r="Y36" s="11" t="s">
        <v>42</v>
      </c>
      <c r="Z36" s="35"/>
      <c r="AA36" s="276"/>
    </row>
    <row r="37" s="234" customFormat="1" ht="66" spans="1:27">
      <c r="A37" s="11">
        <v>22</v>
      </c>
      <c r="B37" s="11" t="s">
        <v>42</v>
      </c>
      <c r="C37" s="11" t="s">
        <v>576</v>
      </c>
      <c r="D37" s="13"/>
      <c r="E37" s="11" t="s">
        <v>462</v>
      </c>
      <c r="F37" s="11" t="s">
        <v>425</v>
      </c>
      <c r="G37" s="323" t="s">
        <v>558</v>
      </c>
      <c r="H37" s="11"/>
      <c r="I37" s="11"/>
      <c r="J37" s="11" t="s">
        <v>481</v>
      </c>
      <c r="K37" s="229" t="s">
        <v>577</v>
      </c>
      <c r="L37" s="229" t="s">
        <v>578</v>
      </c>
      <c r="M37" s="11" t="s">
        <v>579</v>
      </c>
      <c r="N37" s="60">
        <v>43311</v>
      </c>
      <c r="O37" s="60">
        <v>43332</v>
      </c>
      <c r="P37" s="241" t="s">
        <v>401</v>
      </c>
      <c r="Q37" s="244">
        <v>1</v>
      </c>
      <c r="R37" s="35">
        <v>43360</v>
      </c>
      <c r="S37" s="51"/>
      <c r="T37" s="11" t="s">
        <v>571</v>
      </c>
      <c r="U37" s="217"/>
      <c r="V37" s="11" t="s">
        <v>42</v>
      </c>
      <c r="W37" s="11" t="s">
        <v>477</v>
      </c>
      <c r="X37" s="11" t="s">
        <v>42</v>
      </c>
      <c r="Y37" s="11" t="s">
        <v>42</v>
      </c>
      <c r="Z37" s="35" t="s">
        <v>500</v>
      </c>
      <c r="AA37" s="276"/>
    </row>
    <row r="38" s="234" customFormat="1" ht="99" spans="1:27">
      <c r="A38" s="11">
        <v>23</v>
      </c>
      <c r="B38" s="11" t="s">
        <v>42</v>
      </c>
      <c r="C38" s="11" t="s">
        <v>551</v>
      </c>
      <c r="D38" s="13"/>
      <c r="E38" s="11" t="s">
        <v>465</v>
      </c>
      <c r="F38" s="11" t="s">
        <v>412</v>
      </c>
      <c r="G38" s="323" t="s">
        <v>552</v>
      </c>
      <c r="H38" s="11"/>
      <c r="I38" s="11"/>
      <c r="J38" s="11" t="s">
        <v>553</v>
      </c>
      <c r="K38" s="229" t="s">
        <v>580</v>
      </c>
      <c r="L38" s="229" t="s">
        <v>581</v>
      </c>
      <c r="M38" s="11" t="s">
        <v>582</v>
      </c>
      <c r="N38" s="60">
        <v>43313</v>
      </c>
      <c r="O38" s="60">
        <v>43332</v>
      </c>
      <c r="P38" s="241" t="s">
        <v>401</v>
      </c>
      <c r="Q38" s="244">
        <v>1</v>
      </c>
      <c r="R38" s="35">
        <v>43360</v>
      </c>
      <c r="S38" s="51"/>
      <c r="T38" s="11" t="s">
        <v>571</v>
      </c>
      <c r="U38" s="217"/>
      <c r="V38" s="11" t="s">
        <v>42</v>
      </c>
      <c r="W38" s="11" t="s">
        <v>477</v>
      </c>
      <c r="X38" s="11" t="s">
        <v>42</v>
      </c>
      <c r="Y38" s="11" t="s">
        <v>42</v>
      </c>
      <c r="Z38" s="35"/>
      <c r="AA38" s="276"/>
    </row>
    <row r="39" s="234" customFormat="1" ht="82.5" spans="1:27">
      <c r="A39" s="11">
        <v>24</v>
      </c>
      <c r="B39" s="11" t="s">
        <v>42</v>
      </c>
      <c r="C39" s="11" t="s">
        <v>583</v>
      </c>
      <c r="D39" s="13"/>
      <c r="E39" s="11" t="s">
        <v>584</v>
      </c>
      <c r="F39" s="11" t="s">
        <v>408</v>
      </c>
      <c r="G39" s="323" t="s">
        <v>585</v>
      </c>
      <c r="H39" s="11"/>
      <c r="I39" s="11"/>
      <c r="J39" s="11" t="s">
        <v>472</v>
      </c>
      <c r="K39" s="229" t="s">
        <v>586</v>
      </c>
      <c r="L39" s="229" t="s">
        <v>587</v>
      </c>
      <c r="M39" s="11" t="s">
        <v>588</v>
      </c>
      <c r="N39" s="60">
        <v>43313</v>
      </c>
      <c r="O39" s="60">
        <v>43332</v>
      </c>
      <c r="P39" s="241" t="s">
        <v>401</v>
      </c>
      <c r="Q39" s="244">
        <v>3</v>
      </c>
      <c r="R39" s="35">
        <v>43360</v>
      </c>
      <c r="S39" s="51"/>
      <c r="T39" s="11" t="s">
        <v>571</v>
      </c>
      <c r="U39" s="217"/>
      <c r="V39" s="11" t="s">
        <v>42</v>
      </c>
      <c r="W39" s="11" t="s">
        <v>477</v>
      </c>
      <c r="X39" s="11" t="s">
        <v>42</v>
      </c>
      <c r="Y39" s="11" t="s">
        <v>42</v>
      </c>
      <c r="Z39" s="35" t="s">
        <v>500</v>
      </c>
      <c r="AA39" s="276"/>
    </row>
    <row r="40" s="234" customFormat="1" ht="66" spans="1:27">
      <c r="A40" s="11">
        <v>25</v>
      </c>
      <c r="B40" s="11" t="s">
        <v>42</v>
      </c>
      <c r="C40" s="11" t="s">
        <v>589</v>
      </c>
      <c r="D40" s="268" t="s">
        <v>590</v>
      </c>
      <c r="E40" s="11" t="s">
        <v>591</v>
      </c>
      <c r="F40" s="11" t="s">
        <v>408</v>
      </c>
      <c r="G40" s="323" t="s">
        <v>592</v>
      </c>
      <c r="H40" s="11"/>
      <c r="I40" s="11"/>
      <c r="J40" s="11" t="s">
        <v>472</v>
      </c>
      <c r="K40" s="229" t="s">
        <v>593</v>
      </c>
      <c r="L40" s="229" t="s">
        <v>594</v>
      </c>
      <c r="M40" s="11" t="s">
        <v>595</v>
      </c>
      <c r="N40" s="60">
        <v>43368</v>
      </c>
      <c r="O40" s="60">
        <v>43399</v>
      </c>
      <c r="P40" s="241" t="s">
        <v>401</v>
      </c>
      <c r="Q40" s="244">
        <v>1</v>
      </c>
      <c r="R40" s="35">
        <v>43419</v>
      </c>
      <c r="S40" s="51"/>
      <c r="T40" s="11" t="s">
        <v>476</v>
      </c>
      <c r="U40" s="217"/>
      <c r="V40" s="11" t="s">
        <v>42</v>
      </c>
      <c r="W40" s="11" t="s">
        <v>477</v>
      </c>
      <c r="X40" s="11" t="s">
        <v>42</v>
      </c>
      <c r="Y40" s="11" t="s">
        <v>42</v>
      </c>
      <c r="Z40" s="35" t="s">
        <v>500</v>
      </c>
      <c r="AA40" s="276"/>
    </row>
    <row r="41" s="234" customFormat="1" ht="66" spans="1:27">
      <c r="A41" s="11">
        <v>26</v>
      </c>
      <c r="B41" s="11" t="s">
        <v>42</v>
      </c>
      <c r="C41" s="11" t="s">
        <v>596</v>
      </c>
      <c r="D41" s="268"/>
      <c r="E41" s="11" t="s">
        <v>597</v>
      </c>
      <c r="F41" s="11" t="s">
        <v>408</v>
      </c>
      <c r="G41" s="323" t="s">
        <v>598</v>
      </c>
      <c r="H41" s="11"/>
      <c r="I41" s="11"/>
      <c r="J41" s="11" t="s">
        <v>472</v>
      </c>
      <c r="K41" s="229" t="s">
        <v>599</v>
      </c>
      <c r="L41" s="229" t="s">
        <v>600</v>
      </c>
      <c r="M41" s="11" t="s">
        <v>601</v>
      </c>
      <c r="N41" s="60">
        <v>43368</v>
      </c>
      <c r="O41" s="60">
        <v>43399</v>
      </c>
      <c r="P41" s="241" t="s">
        <v>401</v>
      </c>
      <c r="Q41" s="244">
        <v>3</v>
      </c>
      <c r="R41" s="35">
        <v>43419</v>
      </c>
      <c r="S41" s="51"/>
      <c r="T41" s="11" t="s">
        <v>476</v>
      </c>
      <c r="U41" s="217"/>
      <c r="V41" s="11" t="s">
        <v>42</v>
      </c>
      <c r="W41" s="11" t="s">
        <v>477</v>
      </c>
      <c r="X41" s="11" t="s">
        <v>42</v>
      </c>
      <c r="Y41" s="11" t="s">
        <v>42</v>
      </c>
      <c r="Z41" s="35" t="s">
        <v>500</v>
      </c>
      <c r="AA41" s="276"/>
    </row>
    <row r="42" s="234" customFormat="1" ht="66" spans="1:27">
      <c r="A42" s="11">
        <v>27</v>
      </c>
      <c r="B42" s="11" t="s">
        <v>42</v>
      </c>
      <c r="C42" s="11" t="s">
        <v>557</v>
      </c>
      <c r="D42" s="268"/>
      <c r="E42" s="11" t="s">
        <v>462</v>
      </c>
      <c r="F42" s="11" t="s">
        <v>425</v>
      </c>
      <c r="G42" s="323" t="s">
        <v>558</v>
      </c>
      <c r="H42" s="11"/>
      <c r="I42" s="11"/>
      <c r="J42" s="11" t="s">
        <v>481</v>
      </c>
      <c r="K42" s="229" t="s">
        <v>602</v>
      </c>
      <c r="L42" s="229" t="s">
        <v>603</v>
      </c>
      <c r="M42" s="11" t="s">
        <v>604</v>
      </c>
      <c r="N42" s="60">
        <v>43368</v>
      </c>
      <c r="O42" s="60">
        <v>43399</v>
      </c>
      <c r="P42" s="241" t="s">
        <v>401</v>
      </c>
      <c r="Q42" s="244">
        <v>1</v>
      </c>
      <c r="R42" s="35">
        <v>43419</v>
      </c>
      <c r="S42" s="51"/>
      <c r="T42" s="11" t="s">
        <v>476</v>
      </c>
      <c r="U42" s="217"/>
      <c r="V42" s="11" t="s">
        <v>42</v>
      </c>
      <c r="W42" s="11" t="s">
        <v>477</v>
      </c>
      <c r="X42" s="11" t="s">
        <v>42</v>
      </c>
      <c r="Y42" s="11" t="s">
        <v>42</v>
      </c>
      <c r="Z42" s="35" t="s">
        <v>500</v>
      </c>
      <c r="AA42" s="276"/>
    </row>
    <row r="43" s="234" customFormat="1" ht="82.5" spans="1:27">
      <c r="A43" s="11">
        <v>28</v>
      </c>
      <c r="B43" s="11" t="s">
        <v>42</v>
      </c>
      <c r="C43" s="11" t="s">
        <v>605</v>
      </c>
      <c r="D43" s="268"/>
      <c r="E43" s="11" t="s">
        <v>606</v>
      </c>
      <c r="F43" s="11" t="s">
        <v>412</v>
      </c>
      <c r="G43" s="323" t="s">
        <v>607</v>
      </c>
      <c r="H43" s="11"/>
      <c r="I43" s="11"/>
      <c r="J43" s="11" t="s">
        <v>553</v>
      </c>
      <c r="K43" s="229" t="s">
        <v>608</v>
      </c>
      <c r="L43" s="229" t="s">
        <v>609</v>
      </c>
      <c r="M43" s="11" t="s">
        <v>610</v>
      </c>
      <c r="N43" s="60">
        <v>43368</v>
      </c>
      <c r="O43" s="60">
        <v>43399</v>
      </c>
      <c r="P43" s="241" t="s">
        <v>401</v>
      </c>
      <c r="Q43" s="244">
        <v>2</v>
      </c>
      <c r="R43" s="35">
        <v>43419</v>
      </c>
      <c r="S43" s="51"/>
      <c r="T43" s="11" t="s">
        <v>476</v>
      </c>
      <c r="U43" s="217"/>
      <c r="V43" s="11" t="s">
        <v>42</v>
      </c>
      <c r="W43" s="11" t="s">
        <v>477</v>
      </c>
      <c r="X43" s="11" t="s">
        <v>42</v>
      </c>
      <c r="Y43" s="11" t="s">
        <v>42</v>
      </c>
      <c r="Z43" s="35" t="s">
        <v>500</v>
      </c>
      <c r="AA43" s="276"/>
    </row>
    <row r="44" s="234" customFormat="1" ht="66" spans="1:27">
      <c r="A44" s="11">
        <v>29</v>
      </c>
      <c r="B44" s="11" t="s">
        <v>42</v>
      </c>
      <c r="C44" s="11" t="s">
        <v>611</v>
      </c>
      <c r="D44" s="268"/>
      <c r="E44" s="11" t="s">
        <v>612</v>
      </c>
      <c r="F44" s="11" t="s">
        <v>416</v>
      </c>
      <c r="G44" s="323" t="s">
        <v>613</v>
      </c>
      <c r="H44" s="11"/>
      <c r="I44" s="11"/>
      <c r="J44" s="11" t="s">
        <v>614</v>
      </c>
      <c r="K44" s="229" t="s">
        <v>615</v>
      </c>
      <c r="L44" s="229" t="s">
        <v>616</v>
      </c>
      <c r="M44" s="11" t="s">
        <v>617</v>
      </c>
      <c r="N44" s="60">
        <v>43368</v>
      </c>
      <c r="O44" s="60">
        <v>43399</v>
      </c>
      <c r="P44" s="241" t="s">
        <v>401</v>
      </c>
      <c r="Q44" s="244">
        <v>3</v>
      </c>
      <c r="R44" s="35">
        <v>43419</v>
      </c>
      <c r="S44" s="51"/>
      <c r="T44" s="11" t="s">
        <v>476</v>
      </c>
      <c r="U44" s="217"/>
      <c r="V44" s="11" t="s">
        <v>42</v>
      </c>
      <c r="W44" s="11" t="s">
        <v>477</v>
      </c>
      <c r="X44" s="11" t="s">
        <v>42</v>
      </c>
      <c r="Y44" s="11" t="s">
        <v>42</v>
      </c>
      <c r="Z44" s="35" t="s">
        <v>500</v>
      </c>
      <c r="AA44" s="276"/>
    </row>
    <row r="45" s="265" customFormat="1" ht="66" spans="1:42">
      <c r="A45" s="213">
        <v>1</v>
      </c>
      <c r="B45" s="11" t="s">
        <v>42</v>
      </c>
      <c r="C45" s="12" t="s">
        <v>618</v>
      </c>
      <c r="D45" s="13" t="s">
        <v>539</v>
      </c>
      <c r="E45" s="12" t="s">
        <v>540</v>
      </c>
      <c r="F45" s="213" t="s">
        <v>416</v>
      </c>
      <c r="G45" s="323" t="s">
        <v>541</v>
      </c>
      <c r="H45" s="11"/>
      <c r="I45" s="11"/>
      <c r="J45" s="11" t="s">
        <v>619</v>
      </c>
      <c r="K45" s="273" t="s">
        <v>620</v>
      </c>
      <c r="L45" s="229" t="s">
        <v>621</v>
      </c>
      <c r="M45" s="11" t="s">
        <v>622</v>
      </c>
      <c r="N45" s="274">
        <v>43466</v>
      </c>
      <c r="O45" s="274">
        <v>43490</v>
      </c>
      <c r="P45" s="241" t="s">
        <v>401</v>
      </c>
      <c r="Q45" s="244">
        <v>1</v>
      </c>
      <c r="R45" s="275">
        <v>43510</v>
      </c>
      <c r="S45" s="275" t="s">
        <v>623</v>
      </c>
      <c r="T45" s="11" t="s">
        <v>571</v>
      </c>
      <c r="U45" s="213" t="s">
        <v>624</v>
      </c>
      <c r="V45" s="11" t="s">
        <v>42</v>
      </c>
      <c r="W45" s="11" t="s">
        <v>477</v>
      </c>
      <c r="X45" s="11" t="s">
        <v>42</v>
      </c>
      <c r="Y45" s="11" t="s">
        <v>42</v>
      </c>
      <c r="Z45" s="275" t="s">
        <v>625</v>
      </c>
      <c r="AA45" s="224"/>
      <c r="AP45" s="261"/>
    </row>
    <row r="46" s="265" customFormat="1" ht="82.5" spans="1:42">
      <c r="A46" s="213">
        <v>2</v>
      </c>
      <c r="B46" s="11" t="s">
        <v>42</v>
      </c>
      <c r="C46" s="213" t="s">
        <v>626</v>
      </c>
      <c r="D46" s="13" t="s">
        <v>627</v>
      </c>
      <c r="E46" s="213" t="s">
        <v>628</v>
      </c>
      <c r="F46" s="213" t="s">
        <v>412</v>
      </c>
      <c r="G46" s="323" t="s">
        <v>629</v>
      </c>
      <c r="H46" s="11"/>
      <c r="I46" s="11"/>
      <c r="J46" s="11" t="s">
        <v>630</v>
      </c>
      <c r="K46" s="273" t="s">
        <v>631</v>
      </c>
      <c r="L46" s="229" t="s">
        <v>632</v>
      </c>
      <c r="M46" s="11" t="s">
        <v>633</v>
      </c>
      <c r="N46" s="274">
        <v>43553</v>
      </c>
      <c r="O46" s="274">
        <v>43563</v>
      </c>
      <c r="P46" s="241" t="s">
        <v>634</v>
      </c>
      <c r="Q46" s="244">
        <v>1</v>
      </c>
      <c r="R46" s="275">
        <v>43614</v>
      </c>
      <c r="S46" s="275" t="s">
        <v>635</v>
      </c>
      <c r="T46" s="11" t="s">
        <v>571</v>
      </c>
      <c r="U46" s="213" t="s">
        <v>636</v>
      </c>
      <c r="V46" s="11" t="s">
        <v>42</v>
      </c>
      <c r="W46" s="11" t="s">
        <v>477</v>
      </c>
      <c r="X46" s="11" t="s">
        <v>42</v>
      </c>
      <c r="Y46" s="11" t="s">
        <v>42</v>
      </c>
      <c r="Z46" s="275" t="s">
        <v>625</v>
      </c>
      <c r="AA46" s="224"/>
      <c r="AP46" s="261"/>
    </row>
    <row r="47" s="265" customFormat="1" ht="82.5" spans="1:42">
      <c r="A47" s="213">
        <v>3</v>
      </c>
      <c r="B47" s="11" t="s">
        <v>42</v>
      </c>
      <c r="C47" s="213" t="s">
        <v>637</v>
      </c>
      <c r="D47" s="13" t="s">
        <v>638</v>
      </c>
      <c r="E47" s="213" t="s">
        <v>639</v>
      </c>
      <c r="F47" s="11" t="s">
        <v>509</v>
      </c>
      <c r="G47" s="323" t="s">
        <v>640</v>
      </c>
      <c r="H47" s="11"/>
      <c r="I47" s="11"/>
      <c r="J47" s="11" t="s">
        <v>641</v>
      </c>
      <c r="K47" s="273" t="s">
        <v>642</v>
      </c>
      <c r="L47" s="229" t="s">
        <v>643</v>
      </c>
      <c r="M47" s="11" t="s">
        <v>644</v>
      </c>
      <c r="N47" s="274">
        <v>43595</v>
      </c>
      <c r="O47" s="274">
        <v>43616</v>
      </c>
      <c r="P47" s="241" t="s">
        <v>401</v>
      </c>
      <c r="Q47" s="244">
        <v>0.5</v>
      </c>
      <c r="R47" s="275">
        <v>43627</v>
      </c>
      <c r="S47" s="275" t="s">
        <v>645</v>
      </c>
      <c r="T47" s="11" t="s">
        <v>529</v>
      </c>
      <c r="U47" s="213" t="s">
        <v>636</v>
      </c>
      <c r="V47" s="11" t="s">
        <v>42</v>
      </c>
      <c r="W47" s="11" t="s">
        <v>477</v>
      </c>
      <c r="X47" s="11" t="s">
        <v>42</v>
      </c>
      <c r="Y47" s="11" t="s">
        <v>42</v>
      </c>
      <c r="Z47" s="275" t="s">
        <v>625</v>
      </c>
      <c r="AA47" s="224"/>
      <c r="AP47" s="261"/>
    </row>
    <row r="48" s="265" customFormat="1" ht="66" spans="1:42">
      <c r="A48" s="213">
        <v>4</v>
      </c>
      <c r="B48" s="11" t="s">
        <v>42</v>
      </c>
      <c r="C48" s="213" t="s">
        <v>646</v>
      </c>
      <c r="D48" s="272" t="s">
        <v>647</v>
      </c>
      <c r="E48" s="213" t="s">
        <v>648</v>
      </c>
      <c r="F48" s="213" t="s">
        <v>416</v>
      </c>
      <c r="G48" s="323" t="s">
        <v>649</v>
      </c>
      <c r="H48" s="11"/>
      <c r="I48" s="11"/>
      <c r="J48" s="11" t="s">
        <v>650</v>
      </c>
      <c r="K48" s="273" t="s">
        <v>651</v>
      </c>
      <c r="L48" s="229" t="s">
        <v>652</v>
      </c>
      <c r="M48" s="11" t="s">
        <v>653</v>
      </c>
      <c r="N48" s="274">
        <v>43640</v>
      </c>
      <c r="O48" s="274">
        <v>43677</v>
      </c>
      <c r="P48" s="241" t="s">
        <v>401</v>
      </c>
      <c r="Q48" s="244">
        <v>2.5</v>
      </c>
      <c r="R48" s="275">
        <v>43699</v>
      </c>
      <c r="S48" s="275" t="s">
        <v>654</v>
      </c>
      <c r="T48" s="11" t="s">
        <v>571</v>
      </c>
      <c r="U48" s="213" t="s">
        <v>636</v>
      </c>
      <c r="V48" s="11" t="s">
        <v>42</v>
      </c>
      <c r="W48" s="213" t="s">
        <v>655</v>
      </c>
      <c r="X48" s="11" t="s">
        <v>42</v>
      </c>
      <c r="Y48" s="11" t="s">
        <v>42</v>
      </c>
      <c r="Z48" s="275"/>
      <c r="AA48" s="224"/>
      <c r="AP48" s="261"/>
    </row>
    <row r="49" s="265" customFormat="1" ht="99" spans="1:42">
      <c r="A49" s="213">
        <v>5</v>
      </c>
      <c r="B49" s="11" t="s">
        <v>42</v>
      </c>
      <c r="C49" s="213" t="s">
        <v>656</v>
      </c>
      <c r="D49" s="272" t="s">
        <v>657</v>
      </c>
      <c r="E49" s="12" t="s">
        <v>658</v>
      </c>
      <c r="F49" s="213" t="s">
        <v>416</v>
      </c>
      <c r="G49" s="323" t="s">
        <v>659</v>
      </c>
      <c r="H49" s="11"/>
      <c r="I49" s="11"/>
      <c r="J49" s="11" t="s">
        <v>660</v>
      </c>
      <c r="K49" s="273" t="s">
        <v>661</v>
      </c>
      <c r="L49" s="229" t="s">
        <v>662</v>
      </c>
      <c r="M49" s="11" t="s">
        <v>663</v>
      </c>
      <c r="N49" s="274">
        <v>43647</v>
      </c>
      <c r="O49" s="274">
        <v>43676</v>
      </c>
      <c r="P49" s="241" t="s">
        <v>401</v>
      </c>
      <c r="Q49" s="244">
        <v>3</v>
      </c>
      <c r="R49" s="275">
        <v>43685</v>
      </c>
      <c r="S49" s="275" t="s">
        <v>664</v>
      </c>
      <c r="T49" s="11" t="s">
        <v>476</v>
      </c>
      <c r="U49" s="213" t="s">
        <v>636</v>
      </c>
      <c r="V49" s="11" t="s">
        <v>42</v>
      </c>
      <c r="W49" s="213" t="s">
        <v>655</v>
      </c>
      <c r="X49" s="11" t="s">
        <v>42</v>
      </c>
      <c r="Y49" s="11" t="s">
        <v>42</v>
      </c>
      <c r="Z49" s="275" t="s">
        <v>665</v>
      </c>
      <c r="AA49" s="224"/>
      <c r="AP49" s="261"/>
    </row>
    <row r="50" s="265" customFormat="1" ht="99" spans="1:42">
      <c r="A50" s="213">
        <v>6</v>
      </c>
      <c r="B50" s="11" t="s">
        <v>42</v>
      </c>
      <c r="C50" s="213" t="s">
        <v>666</v>
      </c>
      <c r="D50" s="272"/>
      <c r="E50" s="213" t="s">
        <v>667</v>
      </c>
      <c r="F50" s="11" t="s">
        <v>509</v>
      </c>
      <c r="G50" s="323" t="s">
        <v>668</v>
      </c>
      <c r="H50" s="11"/>
      <c r="I50" s="11"/>
      <c r="J50" s="11" t="s">
        <v>660</v>
      </c>
      <c r="K50" s="273" t="s">
        <v>669</v>
      </c>
      <c r="L50" s="229" t="s">
        <v>670</v>
      </c>
      <c r="M50" s="11" t="s">
        <v>671</v>
      </c>
      <c r="N50" s="274">
        <v>43647</v>
      </c>
      <c r="O50" s="274">
        <v>43676</v>
      </c>
      <c r="P50" s="241" t="s">
        <v>401</v>
      </c>
      <c r="Q50" s="244">
        <v>0.5</v>
      </c>
      <c r="R50" s="275">
        <v>43685</v>
      </c>
      <c r="S50" s="275" t="s">
        <v>672</v>
      </c>
      <c r="T50" s="11" t="s">
        <v>476</v>
      </c>
      <c r="U50" s="213" t="s">
        <v>636</v>
      </c>
      <c r="V50" s="11" t="s">
        <v>42</v>
      </c>
      <c r="W50" s="213" t="s">
        <v>655</v>
      </c>
      <c r="X50" s="11" t="s">
        <v>42</v>
      </c>
      <c r="Y50" s="11" t="s">
        <v>42</v>
      </c>
      <c r="Z50" s="275" t="s">
        <v>665</v>
      </c>
      <c r="AA50" s="224"/>
      <c r="AP50" s="261"/>
    </row>
    <row r="51" s="265" customFormat="1" ht="99" spans="1:42">
      <c r="A51" s="213">
        <v>7</v>
      </c>
      <c r="B51" s="11" t="s">
        <v>42</v>
      </c>
      <c r="C51" s="213" t="s">
        <v>673</v>
      </c>
      <c r="D51" s="272"/>
      <c r="E51" s="213" t="s">
        <v>674</v>
      </c>
      <c r="F51" s="213" t="s">
        <v>516</v>
      </c>
      <c r="G51" s="323" t="s">
        <v>675</v>
      </c>
      <c r="H51" s="11"/>
      <c r="I51" s="11"/>
      <c r="J51" s="11" t="s">
        <v>660</v>
      </c>
      <c r="K51" s="273" t="s">
        <v>676</v>
      </c>
      <c r="L51" s="229" t="s">
        <v>677</v>
      </c>
      <c r="M51" s="11" t="s">
        <v>678</v>
      </c>
      <c r="N51" s="274">
        <v>43647</v>
      </c>
      <c r="O51" s="274">
        <v>43676</v>
      </c>
      <c r="P51" s="241" t="s">
        <v>401</v>
      </c>
      <c r="Q51" s="244">
        <v>0.5</v>
      </c>
      <c r="R51" s="275">
        <v>43685</v>
      </c>
      <c r="S51" s="275" t="s">
        <v>679</v>
      </c>
      <c r="T51" s="11" t="s">
        <v>476</v>
      </c>
      <c r="U51" s="213" t="s">
        <v>636</v>
      </c>
      <c r="V51" s="11" t="s">
        <v>42</v>
      </c>
      <c r="W51" s="213" t="s">
        <v>655</v>
      </c>
      <c r="X51" s="11" t="s">
        <v>42</v>
      </c>
      <c r="Y51" s="11" t="s">
        <v>42</v>
      </c>
      <c r="Z51" s="275"/>
      <c r="AA51" s="224"/>
      <c r="AP51" s="261"/>
    </row>
    <row r="52" s="265" customFormat="1" ht="66" spans="1:42">
      <c r="A52" s="213">
        <v>8</v>
      </c>
      <c r="B52" s="11" t="s">
        <v>42</v>
      </c>
      <c r="C52" s="12" t="s">
        <v>680</v>
      </c>
      <c r="D52" s="13" t="s">
        <v>681</v>
      </c>
      <c r="E52" s="12" t="s">
        <v>682</v>
      </c>
      <c r="F52" s="213" t="s">
        <v>416</v>
      </c>
      <c r="G52" s="323" t="s">
        <v>683</v>
      </c>
      <c r="H52" s="11"/>
      <c r="I52" s="11"/>
      <c r="J52" s="11" t="s">
        <v>684</v>
      </c>
      <c r="K52" s="232" t="s">
        <v>685</v>
      </c>
      <c r="L52" s="229" t="s">
        <v>686</v>
      </c>
      <c r="M52" s="11" t="s">
        <v>687</v>
      </c>
      <c r="N52" s="274">
        <v>43685</v>
      </c>
      <c r="O52" s="274">
        <v>43717</v>
      </c>
      <c r="P52" s="241" t="s">
        <v>401</v>
      </c>
      <c r="Q52" s="244">
        <v>10</v>
      </c>
      <c r="R52" s="275">
        <v>43735</v>
      </c>
      <c r="S52" s="275" t="s">
        <v>688</v>
      </c>
      <c r="T52" s="11" t="s">
        <v>476</v>
      </c>
      <c r="U52" s="213" t="s">
        <v>636</v>
      </c>
      <c r="V52" s="11" t="s">
        <v>42</v>
      </c>
      <c r="W52" s="213" t="s">
        <v>655</v>
      </c>
      <c r="X52" s="35" t="s">
        <v>689</v>
      </c>
      <c r="Y52" s="217"/>
      <c r="Z52" s="275"/>
      <c r="AA52" s="224"/>
      <c r="AP52" s="261"/>
    </row>
    <row r="53" s="265" customFormat="1" ht="82.5" spans="1:42">
      <c r="A53" s="213">
        <v>9</v>
      </c>
      <c r="B53" s="11" t="s">
        <v>42</v>
      </c>
      <c r="C53" s="213" t="s">
        <v>690</v>
      </c>
      <c r="D53" s="272" t="s">
        <v>691</v>
      </c>
      <c r="E53" s="213" t="s">
        <v>692</v>
      </c>
      <c r="F53" s="213" t="s">
        <v>416</v>
      </c>
      <c r="G53" s="323" t="s">
        <v>693</v>
      </c>
      <c r="H53" s="11"/>
      <c r="I53" s="11"/>
      <c r="J53" s="11" t="s">
        <v>694</v>
      </c>
      <c r="K53" s="273" t="s">
        <v>695</v>
      </c>
      <c r="L53" s="229" t="s">
        <v>696</v>
      </c>
      <c r="M53" s="11" t="s">
        <v>697</v>
      </c>
      <c r="N53" s="274">
        <v>43692</v>
      </c>
      <c r="O53" s="274">
        <v>43717</v>
      </c>
      <c r="P53" s="241" t="s">
        <v>401</v>
      </c>
      <c r="Q53" s="244">
        <v>3</v>
      </c>
      <c r="R53" s="275">
        <v>43735</v>
      </c>
      <c r="S53" s="275" t="s">
        <v>698</v>
      </c>
      <c r="T53" s="11" t="s">
        <v>476</v>
      </c>
      <c r="U53" s="213" t="s">
        <v>636</v>
      </c>
      <c r="V53" s="11" t="s">
        <v>42</v>
      </c>
      <c r="W53" s="213" t="s">
        <v>655</v>
      </c>
      <c r="X53" s="35" t="s">
        <v>689</v>
      </c>
      <c r="Y53" s="217"/>
      <c r="Z53" s="35" t="s">
        <v>699</v>
      </c>
      <c r="AA53" s="224"/>
      <c r="AB53" s="277"/>
      <c r="AP53" s="261"/>
    </row>
    <row r="54" s="265" customFormat="1" ht="66" spans="1:42">
      <c r="A54" s="213">
        <v>10</v>
      </c>
      <c r="B54" s="11" t="s">
        <v>42</v>
      </c>
      <c r="C54" s="213" t="s">
        <v>700</v>
      </c>
      <c r="D54" s="272"/>
      <c r="E54" s="213" t="s">
        <v>701</v>
      </c>
      <c r="F54" s="11" t="s">
        <v>509</v>
      </c>
      <c r="G54" s="323" t="s">
        <v>702</v>
      </c>
      <c r="H54" s="11"/>
      <c r="I54" s="11"/>
      <c r="J54" s="11" t="s">
        <v>694</v>
      </c>
      <c r="K54" s="273" t="s">
        <v>703</v>
      </c>
      <c r="L54" s="229" t="s">
        <v>704</v>
      </c>
      <c r="M54" s="11" t="s">
        <v>705</v>
      </c>
      <c r="N54" s="274">
        <v>43692</v>
      </c>
      <c r="O54" s="274">
        <v>43717</v>
      </c>
      <c r="P54" s="241" t="s">
        <v>401</v>
      </c>
      <c r="Q54" s="244">
        <v>0.5</v>
      </c>
      <c r="R54" s="275">
        <v>43735</v>
      </c>
      <c r="S54" s="275" t="s">
        <v>706</v>
      </c>
      <c r="T54" s="11" t="s">
        <v>476</v>
      </c>
      <c r="U54" s="213" t="s">
        <v>636</v>
      </c>
      <c r="V54" s="11" t="s">
        <v>42</v>
      </c>
      <c r="W54" s="213" t="s">
        <v>655</v>
      </c>
      <c r="X54" s="35" t="s">
        <v>689</v>
      </c>
      <c r="Y54" s="217"/>
      <c r="Z54" s="35" t="s">
        <v>699</v>
      </c>
      <c r="AA54" s="224"/>
      <c r="AB54" s="277"/>
      <c r="AP54" s="261"/>
    </row>
    <row r="55" s="265" customFormat="1" ht="82.5" spans="1:42">
      <c r="A55" s="213">
        <v>11</v>
      </c>
      <c r="B55" s="11" t="s">
        <v>42</v>
      </c>
      <c r="C55" s="213" t="s">
        <v>707</v>
      </c>
      <c r="D55" s="272"/>
      <c r="E55" s="213" t="s">
        <v>708</v>
      </c>
      <c r="F55" s="213" t="s">
        <v>516</v>
      </c>
      <c r="G55" s="323" t="s">
        <v>709</v>
      </c>
      <c r="H55" s="11"/>
      <c r="I55" s="11"/>
      <c r="J55" s="11" t="s">
        <v>694</v>
      </c>
      <c r="K55" s="273" t="s">
        <v>710</v>
      </c>
      <c r="L55" s="229" t="s">
        <v>711</v>
      </c>
      <c r="M55" s="11" t="s">
        <v>712</v>
      </c>
      <c r="N55" s="274">
        <v>43692</v>
      </c>
      <c r="O55" s="274">
        <v>43717</v>
      </c>
      <c r="P55" s="241" t="s">
        <v>401</v>
      </c>
      <c r="Q55" s="244">
        <v>0.5</v>
      </c>
      <c r="R55" s="275">
        <v>43735</v>
      </c>
      <c r="S55" s="275" t="s">
        <v>713</v>
      </c>
      <c r="T55" s="11" t="s">
        <v>476</v>
      </c>
      <c r="U55" s="213" t="s">
        <v>636</v>
      </c>
      <c r="V55" s="11" t="s">
        <v>42</v>
      </c>
      <c r="W55" s="213" t="s">
        <v>655</v>
      </c>
      <c r="X55" s="35" t="s">
        <v>689</v>
      </c>
      <c r="Y55" s="217"/>
      <c r="Z55" s="275"/>
      <c r="AA55" s="224"/>
      <c r="AP55" s="261"/>
    </row>
    <row r="56" s="265" customFormat="1" ht="115.5" spans="1:42">
      <c r="A56" s="213">
        <v>12</v>
      </c>
      <c r="B56" s="11" t="s">
        <v>42</v>
      </c>
      <c r="C56" s="213" t="s">
        <v>714</v>
      </c>
      <c r="D56" s="272" t="s">
        <v>715</v>
      </c>
      <c r="E56" s="213" t="s">
        <v>716</v>
      </c>
      <c r="F56" s="213" t="s">
        <v>416</v>
      </c>
      <c r="G56" s="323" t="s">
        <v>717</v>
      </c>
      <c r="H56" s="11"/>
      <c r="I56" s="11"/>
      <c r="J56" s="11" t="s">
        <v>718</v>
      </c>
      <c r="K56" s="273" t="s">
        <v>719</v>
      </c>
      <c r="L56" s="229" t="s">
        <v>720</v>
      </c>
      <c r="M56" s="11" t="s">
        <v>721</v>
      </c>
      <c r="N56" s="274">
        <v>43707</v>
      </c>
      <c r="O56" s="274">
        <v>43731</v>
      </c>
      <c r="P56" s="241" t="s">
        <v>401</v>
      </c>
      <c r="Q56" s="244">
        <v>3</v>
      </c>
      <c r="R56" s="275">
        <v>43752</v>
      </c>
      <c r="S56" s="275" t="s">
        <v>722</v>
      </c>
      <c r="T56" s="11" t="s">
        <v>529</v>
      </c>
      <c r="U56" s="213" t="s">
        <v>636</v>
      </c>
      <c r="V56" s="11" t="s">
        <v>42</v>
      </c>
      <c r="W56" s="213" t="s">
        <v>655</v>
      </c>
      <c r="X56" s="35" t="s">
        <v>689</v>
      </c>
      <c r="Y56" s="217"/>
      <c r="Z56" s="275" t="s">
        <v>723</v>
      </c>
      <c r="AA56" s="224"/>
      <c r="AP56" s="261"/>
    </row>
    <row r="57" s="265" customFormat="1" ht="132" spans="1:42">
      <c r="A57" s="213">
        <v>13</v>
      </c>
      <c r="B57" s="11" t="s">
        <v>42</v>
      </c>
      <c r="C57" s="213" t="s">
        <v>724</v>
      </c>
      <c r="D57" s="272"/>
      <c r="E57" s="213" t="s">
        <v>725</v>
      </c>
      <c r="F57" s="11" t="s">
        <v>509</v>
      </c>
      <c r="G57" s="323" t="s">
        <v>726</v>
      </c>
      <c r="H57" s="11"/>
      <c r="I57" s="11"/>
      <c r="J57" s="11" t="s">
        <v>727</v>
      </c>
      <c r="K57" s="273" t="s">
        <v>728</v>
      </c>
      <c r="L57" s="229" t="s">
        <v>729</v>
      </c>
      <c r="M57" s="11" t="s">
        <v>730</v>
      </c>
      <c r="N57" s="274">
        <v>43707</v>
      </c>
      <c r="O57" s="274">
        <v>43731</v>
      </c>
      <c r="P57" s="241" t="s">
        <v>401</v>
      </c>
      <c r="Q57" s="244">
        <v>0.5</v>
      </c>
      <c r="R57" s="275">
        <v>43752</v>
      </c>
      <c r="S57" s="275" t="s">
        <v>731</v>
      </c>
      <c r="T57" s="11" t="s">
        <v>529</v>
      </c>
      <c r="U57" s="213" t="s">
        <v>636</v>
      </c>
      <c r="V57" s="11" t="s">
        <v>42</v>
      </c>
      <c r="W57" s="213" t="s">
        <v>655</v>
      </c>
      <c r="X57" s="35" t="s">
        <v>689</v>
      </c>
      <c r="Y57" s="217"/>
      <c r="Z57" s="275" t="s">
        <v>732</v>
      </c>
      <c r="AA57" s="224"/>
      <c r="AP57" s="261"/>
    </row>
    <row r="58" s="265" customFormat="1" ht="132" spans="1:42">
      <c r="A58" s="213">
        <v>14</v>
      </c>
      <c r="B58" s="11" t="s">
        <v>42</v>
      </c>
      <c r="C58" s="213" t="s">
        <v>733</v>
      </c>
      <c r="D58" s="272"/>
      <c r="E58" s="213" t="s">
        <v>734</v>
      </c>
      <c r="F58" s="213" t="s">
        <v>516</v>
      </c>
      <c r="G58" s="323" t="s">
        <v>735</v>
      </c>
      <c r="H58" s="11"/>
      <c r="I58" s="11"/>
      <c r="J58" s="11" t="s">
        <v>736</v>
      </c>
      <c r="K58" s="273" t="s">
        <v>737</v>
      </c>
      <c r="L58" s="229" t="s">
        <v>738</v>
      </c>
      <c r="M58" s="11" t="s">
        <v>739</v>
      </c>
      <c r="N58" s="274">
        <v>43707</v>
      </c>
      <c r="O58" s="274">
        <v>43731</v>
      </c>
      <c r="P58" s="241" t="s">
        <v>401</v>
      </c>
      <c r="Q58" s="244">
        <v>0.5</v>
      </c>
      <c r="R58" s="275">
        <v>43752</v>
      </c>
      <c r="S58" s="275" t="s">
        <v>740</v>
      </c>
      <c r="T58" s="11" t="s">
        <v>529</v>
      </c>
      <c r="U58" s="213" t="s">
        <v>636</v>
      </c>
      <c r="V58" s="11" t="s">
        <v>42</v>
      </c>
      <c r="W58" s="213" t="s">
        <v>655</v>
      </c>
      <c r="X58" s="35" t="s">
        <v>689</v>
      </c>
      <c r="Y58" s="217"/>
      <c r="Z58" s="275" t="s">
        <v>732</v>
      </c>
      <c r="AA58" s="224"/>
      <c r="AP58" s="261"/>
    </row>
    <row r="59" s="265" customFormat="1" ht="82.5" spans="1:42">
      <c r="A59" s="213">
        <v>15</v>
      </c>
      <c r="B59" s="11" t="s">
        <v>42</v>
      </c>
      <c r="C59" s="213" t="s">
        <v>741</v>
      </c>
      <c r="D59" s="13" t="s">
        <v>742</v>
      </c>
      <c r="E59" s="12" t="s">
        <v>743</v>
      </c>
      <c r="F59" s="11" t="s">
        <v>408</v>
      </c>
      <c r="G59" s="323" t="s">
        <v>744</v>
      </c>
      <c r="H59" s="11"/>
      <c r="I59" s="11"/>
      <c r="J59" s="11" t="s">
        <v>694</v>
      </c>
      <c r="K59" s="229" t="s">
        <v>745</v>
      </c>
      <c r="L59" s="229" t="s">
        <v>746</v>
      </c>
      <c r="M59" s="11" t="s">
        <v>747</v>
      </c>
      <c r="N59" s="60">
        <v>43713</v>
      </c>
      <c r="O59" s="60">
        <v>43747</v>
      </c>
      <c r="P59" s="241" t="s">
        <v>401</v>
      </c>
      <c r="Q59" s="244">
        <v>3</v>
      </c>
      <c r="R59" s="35">
        <v>43732</v>
      </c>
      <c r="S59" s="275" t="s">
        <v>748</v>
      </c>
      <c r="T59" s="11" t="s">
        <v>571</v>
      </c>
      <c r="U59" s="213" t="s">
        <v>636</v>
      </c>
      <c r="V59" s="11" t="s">
        <v>42</v>
      </c>
      <c r="W59" s="213" t="s">
        <v>655</v>
      </c>
      <c r="X59" s="35" t="s">
        <v>689</v>
      </c>
      <c r="Y59" s="217"/>
      <c r="Z59" s="35" t="s">
        <v>732</v>
      </c>
      <c r="AA59" s="224"/>
      <c r="AP59" s="261"/>
    </row>
    <row r="60" s="265" customFormat="1" ht="82.5" spans="1:42">
      <c r="A60" s="213">
        <v>16</v>
      </c>
      <c r="B60" s="11" t="s">
        <v>42</v>
      </c>
      <c r="C60" s="213" t="s">
        <v>749</v>
      </c>
      <c r="D60" s="13"/>
      <c r="E60" s="11" t="s">
        <v>750</v>
      </c>
      <c r="F60" s="11" t="s">
        <v>751</v>
      </c>
      <c r="G60" s="323" t="s">
        <v>752</v>
      </c>
      <c r="H60" s="11"/>
      <c r="I60" s="11"/>
      <c r="J60" s="11" t="s">
        <v>694</v>
      </c>
      <c r="K60" s="229" t="s">
        <v>753</v>
      </c>
      <c r="L60" s="229" t="s">
        <v>754</v>
      </c>
      <c r="M60" s="11" t="s">
        <v>755</v>
      </c>
      <c r="N60" s="60">
        <v>43713</v>
      </c>
      <c r="O60" s="60">
        <v>43747</v>
      </c>
      <c r="P60" s="241" t="s">
        <v>401</v>
      </c>
      <c r="Q60" s="244">
        <v>0.5</v>
      </c>
      <c r="R60" s="35">
        <v>43732</v>
      </c>
      <c r="S60" s="275" t="s">
        <v>756</v>
      </c>
      <c r="T60" s="11" t="s">
        <v>571</v>
      </c>
      <c r="U60" s="213" t="s">
        <v>636</v>
      </c>
      <c r="V60" s="11" t="s">
        <v>42</v>
      </c>
      <c r="W60" s="213" t="s">
        <v>655</v>
      </c>
      <c r="X60" s="35" t="s">
        <v>689</v>
      </c>
      <c r="Y60" s="217"/>
      <c r="Z60" s="35" t="s">
        <v>732</v>
      </c>
      <c r="AA60" s="224"/>
      <c r="AP60" s="262"/>
    </row>
    <row r="61" s="265" customFormat="1" ht="82.5" spans="1:42">
      <c r="A61" s="213">
        <v>17</v>
      </c>
      <c r="B61" s="11" t="s">
        <v>42</v>
      </c>
      <c r="C61" s="213" t="s">
        <v>757</v>
      </c>
      <c r="D61" s="13"/>
      <c r="E61" s="12" t="s">
        <v>758</v>
      </c>
      <c r="F61" s="213" t="s">
        <v>759</v>
      </c>
      <c r="G61" s="323" t="s">
        <v>760</v>
      </c>
      <c r="H61" s="11"/>
      <c r="I61" s="11"/>
      <c r="J61" s="11" t="s">
        <v>694</v>
      </c>
      <c r="K61" s="229" t="s">
        <v>761</v>
      </c>
      <c r="L61" s="229" t="s">
        <v>762</v>
      </c>
      <c r="M61" s="11" t="s">
        <v>763</v>
      </c>
      <c r="N61" s="60">
        <v>43713</v>
      </c>
      <c r="O61" s="60">
        <v>43747</v>
      </c>
      <c r="P61" s="241" t="s">
        <v>401</v>
      </c>
      <c r="Q61" s="244">
        <v>0.5</v>
      </c>
      <c r="R61" s="35">
        <v>43732</v>
      </c>
      <c r="S61" s="275" t="s">
        <v>764</v>
      </c>
      <c r="T61" s="11" t="s">
        <v>571</v>
      </c>
      <c r="U61" s="213" t="s">
        <v>636</v>
      </c>
      <c r="V61" s="11" t="s">
        <v>42</v>
      </c>
      <c r="W61" s="213" t="s">
        <v>655</v>
      </c>
      <c r="X61" s="35" t="s">
        <v>689</v>
      </c>
      <c r="Y61" s="217"/>
      <c r="Z61" s="35" t="s">
        <v>699</v>
      </c>
      <c r="AA61" s="224"/>
      <c r="AB61" s="277"/>
      <c r="AP61" s="262"/>
    </row>
    <row r="62" s="265" customFormat="1" ht="66" spans="1:42">
      <c r="A62" s="213">
        <v>18</v>
      </c>
      <c r="B62" s="11" t="s">
        <v>42</v>
      </c>
      <c r="C62" s="12" t="s">
        <v>765</v>
      </c>
      <c r="D62" s="13" t="s">
        <v>766</v>
      </c>
      <c r="E62" s="12" t="s">
        <v>767</v>
      </c>
      <c r="F62" s="11" t="s">
        <v>408</v>
      </c>
      <c r="G62" s="323" t="s">
        <v>768</v>
      </c>
      <c r="H62" s="11"/>
      <c r="I62" s="11"/>
      <c r="J62" s="11" t="s">
        <v>769</v>
      </c>
      <c r="K62" s="229" t="s">
        <v>770</v>
      </c>
      <c r="L62" s="229" t="s">
        <v>771</v>
      </c>
      <c r="M62" s="11" t="s">
        <v>772</v>
      </c>
      <c r="N62" s="60">
        <v>43763</v>
      </c>
      <c r="O62" s="60">
        <v>43801</v>
      </c>
      <c r="P62" s="241" t="s">
        <v>401</v>
      </c>
      <c r="Q62" s="244">
        <v>2</v>
      </c>
      <c r="R62" s="35">
        <v>43809</v>
      </c>
      <c r="S62" s="275" t="s">
        <v>773</v>
      </c>
      <c r="T62" s="11" t="s">
        <v>476</v>
      </c>
      <c r="U62" s="213" t="s">
        <v>636</v>
      </c>
      <c r="V62" s="11" t="s">
        <v>42</v>
      </c>
      <c r="W62" s="213" t="s">
        <v>655</v>
      </c>
      <c r="X62" s="35" t="s">
        <v>689</v>
      </c>
      <c r="Y62" s="217"/>
      <c r="Z62" s="35" t="s">
        <v>774</v>
      </c>
      <c r="AA62" s="224"/>
      <c r="AB62" s="277"/>
      <c r="AP62" s="262"/>
    </row>
    <row r="63" s="265" customFormat="1" ht="82.5" spans="1:42">
      <c r="A63" s="213">
        <v>19</v>
      </c>
      <c r="B63" s="11" t="s">
        <v>42</v>
      </c>
      <c r="C63" s="12" t="s">
        <v>775</v>
      </c>
      <c r="D63" s="13" t="s">
        <v>776</v>
      </c>
      <c r="E63" s="12" t="s">
        <v>50</v>
      </c>
      <c r="F63" s="11" t="s">
        <v>416</v>
      </c>
      <c r="G63" s="323" t="s">
        <v>51</v>
      </c>
      <c r="H63" s="11"/>
      <c r="I63" s="11"/>
      <c r="J63" s="11" t="s">
        <v>777</v>
      </c>
      <c r="K63" s="229" t="s">
        <v>778</v>
      </c>
      <c r="L63" s="229" t="s">
        <v>779</v>
      </c>
      <c r="M63" s="11" t="s">
        <v>780</v>
      </c>
      <c r="N63" s="60">
        <v>43762</v>
      </c>
      <c r="O63" s="60">
        <v>43781</v>
      </c>
      <c r="P63" s="241" t="s">
        <v>401</v>
      </c>
      <c r="Q63" s="244">
        <v>1</v>
      </c>
      <c r="R63" s="35">
        <v>43804</v>
      </c>
      <c r="S63" s="275" t="s">
        <v>781</v>
      </c>
      <c r="T63" s="11" t="s">
        <v>529</v>
      </c>
      <c r="U63" s="213" t="s">
        <v>636</v>
      </c>
      <c r="V63" s="11" t="s">
        <v>42</v>
      </c>
      <c r="W63" s="213" t="s">
        <v>655</v>
      </c>
      <c r="X63" s="35" t="s">
        <v>689</v>
      </c>
      <c r="Y63" s="217"/>
      <c r="Z63" s="35" t="s">
        <v>774</v>
      </c>
      <c r="AA63" s="224"/>
      <c r="AB63" s="277"/>
      <c r="AP63" s="261"/>
    </row>
    <row r="64" s="265" customFormat="1" ht="82.5" spans="1:42">
      <c r="A64" s="213">
        <v>20</v>
      </c>
      <c r="B64" s="11" t="s">
        <v>42</v>
      </c>
      <c r="C64" s="12" t="s">
        <v>782</v>
      </c>
      <c r="D64" s="13"/>
      <c r="E64" s="12" t="s">
        <v>50</v>
      </c>
      <c r="F64" s="11" t="s">
        <v>416</v>
      </c>
      <c r="G64" s="323" t="s">
        <v>51</v>
      </c>
      <c r="H64" s="11"/>
      <c r="I64" s="11"/>
      <c r="J64" s="11" t="s">
        <v>783</v>
      </c>
      <c r="K64" s="229" t="s">
        <v>784</v>
      </c>
      <c r="L64" s="229" t="s">
        <v>785</v>
      </c>
      <c r="M64" s="11" t="s">
        <v>786</v>
      </c>
      <c r="N64" s="60">
        <v>43762</v>
      </c>
      <c r="O64" s="60">
        <v>43781</v>
      </c>
      <c r="P64" s="241" t="s">
        <v>401</v>
      </c>
      <c r="Q64" s="244">
        <v>2</v>
      </c>
      <c r="R64" s="35">
        <v>43804</v>
      </c>
      <c r="S64" s="275" t="s">
        <v>787</v>
      </c>
      <c r="T64" s="11" t="s">
        <v>529</v>
      </c>
      <c r="U64" s="213" t="s">
        <v>636</v>
      </c>
      <c r="V64" s="11" t="s">
        <v>42</v>
      </c>
      <c r="W64" s="213" t="s">
        <v>655</v>
      </c>
      <c r="X64" s="35" t="s">
        <v>689</v>
      </c>
      <c r="Y64" s="217"/>
      <c r="Z64" s="35" t="s">
        <v>774</v>
      </c>
      <c r="AA64" s="224"/>
      <c r="AB64" s="277"/>
      <c r="AP64" s="261"/>
    </row>
    <row r="65" s="265" customFormat="1" ht="66" spans="1:42">
      <c r="A65" s="213">
        <v>21</v>
      </c>
      <c r="B65" s="11" t="s">
        <v>42</v>
      </c>
      <c r="C65" s="12" t="s">
        <v>788</v>
      </c>
      <c r="D65" s="13" t="s">
        <v>789</v>
      </c>
      <c r="E65" s="12" t="s">
        <v>790</v>
      </c>
      <c r="F65" s="11" t="s">
        <v>416</v>
      </c>
      <c r="G65" s="323" t="s">
        <v>791</v>
      </c>
      <c r="H65" s="11"/>
      <c r="I65" s="11"/>
      <c r="J65" s="11" t="s">
        <v>792</v>
      </c>
      <c r="K65" s="279" t="s">
        <v>793</v>
      </c>
      <c r="L65" s="229" t="s">
        <v>794</v>
      </c>
      <c r="M65" s="11" t="s">
        <v>795</v>
      </c>
      <c r="N65" s="60">
        <v>43763</v>
      </c>
      <c r="O65" s="60">
        <v>43789</v>
      </c>
      <c r="P65" s="241" t="s">
        <v>401</v>
      </c>
      <c r="Q65" s="244">
        <v>0.5</v>
      </c>
      <c r="R65" s="35">
        <v>43819</v>
      </c>
      <c r="S65" s="275" t="s">
        <v>796</v>
      </c>
      <c r="T65" s="11" t="s">
        <v>571</v>
      </c>
      <c r="U65" s="213" t="s">
        <v>636</v>
      </c>
      <c r="V65" s="11" t="s">
        <v>42</v>
      </c>
      <c r="W65" s="213" t="s">
        <v>655</v>
      </c>
      <c r="X65" s="35" t="s">
        <v>689</v>
      </c>
      <c r="Y65" s="217"/>
      <c r="Z65" s="35" t="s">
        <v>774</v>
      </c>
      <c r="AA65" s="224"/>
      <c r="AB65" s="277"/>
      <c r="AP65" s="262"/>
    </row>
    <row r="66" s="265" customFormat="1" ht="82.5" spans="1:42">
      <c r="A66" s="213">
        <v>1</v>
      </c>
      <c r="B66" s="275" t="s">
        <v>797</v>
      </c>
      <c r="C66" s="213" t="s">
        <v>798</v>
      </c>
      <c r="D66" s="13" t="s">
        <v>799</v>
      </c>
      <c r="E66" s="12" t="s">
        <v>800</v>
      </c>
      <c r="F66" s="11" t="s">
        <v>751</v>
      </c>
      <c r="G66" s="323" t="s">
        <v>801</v>
      </c>
      <c r="H66" s="11"/>
      <c r="I66" s="11"/>
      <c r="J66" s="11" t="s">
        <v>802</v>
      </c>
      <c r="K66" s="229" t="s">
        <v>803</v>
      </c>
      <c r="L66" s="229" t="s">
        <v>804</v>
      </c>
      <c r="M66" s="35" t="s">
        <v>805</v>
      </c>
      <c r="N66" s="60">
        <v>43796</v>
      </c>
      <c r="O66" s="60">
        <v>43833</v>
      </c>
      <c r="P66" s="241" t="s">
        <v>401</v>
      </c>
      <c r="Q66" s="244">
        <v>0.5</v>
      </c>
      <c r="R66" s="35">
        <v>43845</v>
      </c>
      <c r="S66" s="241" t="s">
        <v>806</v>
      </c>
      <c r="T66" s="11" t="s">
        <v>529</v>
      </c>
      <c r="U66" s="251">
        <v>43837</v>
      </c>
      <c r="V66" s="251">
        <v>43892</v>
      </c>
      <c r="W66" s="213" t="s">
        <v>655</v>
      </c>
      <c r="X66" s="35" t="s">
        <v>689</v>
      </c>
      <c r="Y66" s="251">
        <v>44036</v>
      </c>
      <c r="Z66" s="35"/>
      <c r="AA66" s="202" t="s">
        <v>807</v>
      </c>
      <c r="AB66" s="265" t="s">
        <v>808</v>
      </c>
      <c r="AC66" s="265" t="s">
        <v>294</v>
      </c>
      <c r="AD66" s="265" t="s">
        <v>294</v>
      </c>
      <c r="AF66" s="265" t="s">
        <v>294</v>
      </c>
      <c r="AP66" s="261"/>
    </row>
    <row r="67" s="265" customFormat="1" ht="66" spans="1:42">
      <c r="A67" s="213">
        <v>2</v>
      </c>
      <c r="B67" s="275" t="s">
        <v>809</v>
      </c>
      <c r="C67" s="12" t="s">
        <v>810</v>
      </c>
      <c r="D67" s="13" t="s">
        <v>811</v>
      </c>
      <c r="E67" s="12" t="s">
        <v>812</v>
      </c>
      <c r="F67" s="11" t="s">
        <v>408</v>
      </c>
      <c r="G67" s="323" t="s">
        <v>813</v>
      </c>
      <c r="H67" s="11"/>
      <c r="I67" s="11"/>
      <c r="J67" s="11" t="s">
        <v>783</v>
      </c>
      <c r="K67" s="229" t="s">
        <v>814</v>
      </c>
      <c r="L67" s="229" t="s">
        <v>815</v>
      </c>
      <c r="M67" s="35" t="s">
        <v>816</v>
      </c>
      <c r="N67" s="60">
        <v>43813</v>
      </c>
      <c r="O67" s="60">
        <v>43833</v>
      </c>
      <c r="P67" s="241" t="s">
        <v>401</v>
      </c>
      <c r="Q67" s="244">
        <v>2</v>
      </c>
      <c r="R67" s="35">
        <v>43845</v>
      </c>
      <c r="S67" s="241" t="s">
        <v>817</v>
      </c>
      <c r="T67" s="11" t="s">
        <v>529</v>
      </c>
      <c r="U67" s="251">
        <v>43837</v>
      </c>
      <c r="V67" s="251">
        <v>43892</v>
      </c>
      <c r="W67" s="213" t="s">
        <v>655</v>
      </c>
      <c r="X67" s="35" t="s">
        <v>689</v>
      </c>
      <c r="Y67" s="251">
        <v>44036</v>
      </c>
      <c r="Z67" s="35"/>
      <c r="AA67" s="202" t="s">
        <v>807</v>
      </c>
      <c r="AB67" s="265" t="s">
        <v>808</v>
      </c>
      <c r="AC67" s="265" t="s">
        <v>294</v>
      </c>
      <c r="AD67" s="265" t="s">
        <v>294</v>
      </c>
      <c r="AF67" s="265" t="s">
        <v>294</v>
      </c>
      <c r="AP67" s="261"/>
    </row>
    <row r="68" s="265" customFormat="1" ht="66" spans="1:42">
      <c r="A68" s="213">
        <v>3</v>
      </c>
      <c r="B68" s="275" t="s">
        <v>818</v>
      </c>
      <c r="C68" s="213" t="s">
        <v>819</v>
      </c>
      <c r="D68" s="272" t="s">
        <v>820</v>
      </c>
      <c r="E68" s="213" t="s">
        <v>821</v>
      </c>
      <c r="F68" s="213" t="s">
        <v>416</v>
      </c>
      <c r="G68" s="323" t="s">
        <v>822</v>
      </c>
      <c r="H68" s="11"/>
      <c r="I68" s="11"/>
      <c r="J68" s="11" t="s">
        <v>823</v>
      </c>
      <c r="K68" s="232" t="s">
        <v>824</v>
      </c>
      <c r="L68" s="229" t="s">
        <v>825</v>
      </c>
      <c r="M68" s="35" t="s">
        <v>826</v>
      </c>
      <c r="N68" s="60">
        <v>43830</v>
      </c>
      <c r="O68" s="274">
        <v>43846</v>
      </c>
      <c r="P68" s="241" t="s">
        <v>401</v>
      </c>
      <c r="Q68" s="244">
        <v>2</v>
      </c>
      <c r="R68" s="275">
        <v>43851</v>
      </c>
      <c r="S68" s="241" t="s">
        <v>827</v>
      </c>
      <c r="T68" s="11" t="s">
        <v>529</v>
      </c>
      <c r="U68" s="251">
        <v>43847</v>
      </c>
      <c r="V68" s="251">
        <v>43892</v>
      </c>
      <c r="W68" s="213" t="s">
        <v>655</v>
      </c>
      <c r="X68" s="35" t="s">
        <v>689</v>
      </c>
      <c r="Y68" s="251" t="s">
        <v>828</v>
      </c>
      <c r="Z68" s="35"/>
      <c r="AA68" s="202" t="s">
        <v>807</v>
      </c>
      <c r="AB68" s="265" t="s">
        <v>808</v>
      </c>
      <c r="AC68" s="265" t="s">
        <v>294</v>
      </c>
      <c r="AD68" s="265" t="s">
        <v>294</v>
      </c>
      <c r="AF68" s="265" t="s">
        <v>294</v>
      </c>
      <c r="AP68" s="261"/>
    </row>
    <row r="69" s="265" customFormat="1" ht="82.5" spans="1:42">
      <c r="A69" s="213">
        <v>4</v>
      </c>
      <c r="B69" s="275" t="s">
        <v>829</v>
      </c>
      <c r="C69" s="213" t="str">
        <f t="shared" ref="C69:C71" si="0">_xlfn.CONCAT(E69,J69,"行政处罚案")</f>
        <v>深圳市深安企业有限公司未按照规定组织危大工程验收行政处罚案</v>
      </c>
      <c r="D69" s="272" t="s">
        <v>830</v>
      </c>
      <c r="E69" s="12" t="s">
        <v>658</v>
      </c>
      <c r="F69" s="213" t="s">
        <v>416</v>
      </c>
      <c r="G69" s="323" t="s">
        <v>659</v>
      </c>
      <c r="H69" s="11"/>
      <c r="I69" s="11"/>
      <c r="J69" s="11" t="s">
        <v>831</v>
      </c>
      <c r="K69" s="273" t="s">
        <v>832</v>
      </c>
      <c r="L69" s="229" t="s">
        <v>833</v>
      </c>
      <c r="M69" s="35" t="s">
        <v>834</v>
      </c>
      <c r="N69" s="274">
        <v>43970</v>
      </c>
      <c r="O69" s="274">
        <v>44005</v>
      </c>
      <c r="P69" s="241" t="s">
        <v>401</v>
      </c>
      <c r="Q69" s="244">
        <v>3</v>
      </c>
      <c r="R69" s="275">
        <v>44018</v>
      </c>
      <c r="S69" s="241" t="s">
        <v>835</v>
      </c>
      <c r="T69" s="11" t="s">
        <v>476</v>
      </c>
      <c r="U69" s="251">
        <v>44010</v>
      </c>
      <c r="V69" s="251">
        <v>44019</v>
      </c>
      <c r="W69" s="213" t="s">
        <v>655</v>
      </c>
      <c r="X69" s="35" t="s">
        <v>689</v>
      </c>
      <c r="Y69" s="251">
        <v>44032</v>
      </c>
      <c r="Z69" s="275"/>
      <c r="AA69" s="202" t="s">
        <v>807</v>
      </c>
      <c r="AB69" s="265" t="s">
        <v>808</v>
      </c>
      <c r="AC69" s="265" t="s">
        <v>294</v>
      </c>
      <c r="AD69" s="265" t="s">
        <v>294</v>
      </c>
      <c r="AF69" s="265" t="s">
        <v>294</v>
      </c>
      <c r="AP69" s="261"/>
    </row>
    <row r="70" s="265" customFormat="1" ht="82.5" spans="1:42">
      <c r="A70" s="213">
        <v>5</v>
      </c>
      <c r="B70" s="275" t="s">
        <v>836</v>
      </c>
      <c r="C70" s="213" t="str">
        <f t="shared" si="0"/>
        <v>林明涛未按照规定组织危大工程验收行政处罚案</v>
      </c>
      <c r="D70" s="272"/>
      <c r="E70" s="213" t="s">
        <v>837</v>
      </c>
      <c r="F70" s="213" t="s">
        <v>509</v>
      </c>
      <c r="G70" s="323" t="s">
        <v>838</v>
      </c>
      <c r="H70" s="11"/>
      <c r="I70" s="11"/>
      <c r="J70" s="11" t="s">
        <v>831</v>
      </c>
      <c r="K70" s="273" t="s">
        <v>839</v>
      </c>
      <c r="L70" s="229" t="s">
        <v>840</v>
      </c>
      <c r="M70" s="35" t="s">
        <v>841</v>
      </c>
      <c r="N70" s="274">
        <v>43970</v>
      </c>
      <c r="O70" s="274">
        <v>44005</v>
      </c>
      <c r="P70" s="241" t="s">
        <v>401</v>
      </c>
      <c r="Q70" s="244">
        <v>0.5</v>
      </c>
      <c r="R70" s="275">
        <v>44018</v>
      </c>
      <c r="S70" s="241" t="s">
        <v>842</v>
      </c>
      <c r="T70" s="11" t="s">
        <v>476</v>
      </c>
      <c r="U70" s="251">
        <v>44010</v>
      </c>
      <c r="V70" s="251">
        <v>44019</v>
      </c>
      <c r="W70" s="213" t="s">
        <v>655</v>
      </c>
      <c r="X70" s="35" t="s">
        <v>689</v>
      </c>
      <c r="Y70" s="251">
        <v>44032</v>
      </c>
      <c r="Z70" s="275"/>
      <c r="AA70" s="202" t="s">
        <v>807</v>
      </c>
      <c r="AB70" s="265" t="s">
        <v>808</v>
      </c>
      <c r="AC70" s="265" t="s">
        <v>294</v>
      </c>
      <c r="AD70" s="265" t="s">
        <v>294</v>
      </c>
      <c r="AF70" s="265" t="s">
        <v>294</v>
      </c>
      <c r="AP70" s="261"/>
    </row>
    <row r="71" s="265" customFormat="1" ht="82.5" spans="1:42">
      <c r="A71" s="213">
        <v>6</v>
      </c>
      <c r="B71" s="275" t="s">
        <v>843</v>
      </c>
      <c r="C71" s="213" t="str">
        <f t="shared" si="0"/>
        <v>王烨炜未按照规定组织危大工程验收行政处罚案</v>
      </c>
      <c r="D71" s="272"/>
      <c r="E71" s="213" t="s">
        <v>844</v>
      </c>
      <c r="F71" s="213" t="s">
        <v>516</v>
      </c>
      <c r="G71" s="323" t="s">
        <v>845</v>
      </c>
      <c r="H71" s="11"/>
      <c r="I71" s="11"/>
      <c r="J71" s="11" t="s">
        <v>831</v>
      </c>
      <c r="K71" s="273" t="s">
        <v>846</v>
      </c>
      <c r="L71" s="229" t="s">
        <v>847</v>
      </c>
      <c r="M71" s="35" t="s">
        <v>848</v>
      </c>
      <c r="N71" s="274">
        <v>43970</v>
      </c>
      <c r="O71" s="274">
        <v>44005</v>
      </c>
      <c r="P71" s="241" t="s">
        <v>401</v>
      </c>
      <c r="Q71" s="244">
        <v>0.5</v>
      </c>
      <c r="R71" s="275">
        <v>44018</v>
      </c>
      <c r="S71" s="241" t="s">
        <v>849</v>
      </c>
      <c r="T71" s="11" t="s">
        <v>476</v>
      </c>
      <c r="U71" s="251">
        <v>44010</v>
      </c>
      <c r="V71" s="251">
        <v>44019</v>
      </c>
      <c r="W71" s="213" t="s">
        <v>655</v>
      </c>
      <c r="X71" s="35" t="s">
        <v>689</v>
      </c>
      <c r="Y71" s="251">
        <v>44032</v>
      </c>
      <c r="Z71" s="275"/>
      <c r="AA71" s="202" t="s">
        <v>807</v>
      </c>
      <c r="AB71" s="265" t="s">
        <v>808</v>
      </c>
      <c r="AC71" s="265" t="s">
        <v>294</v>
      </c>
      <c r="AD71" s="265" t="s">
        <v>294</v>
      </c>
      <c r="AF71" s="265" t="s">
        <v>294</v>
      </c>
      <c r="AP71" s="261"/>
    </row>
    <row r="72" s="265" customFormat="1" ht="99" spans="1:42">
      <c r="A72" s="213">
        <v>7</v>
      </c>
      <c r="B72" s="275" t="s">
        <v>850</v>
      </c>
      <c r="C72" s="213" t="s">
        <v>851</v>
      </c>
      <c r="D72" s="13" t="s">
        <v>852</v>
      </c>
      <c r="E72" s="12" t="s">
        <v>853</v>
      </c>
      <c r="F72" s="213" t="s">
        <v>854</v>
      </c>
      <c r="G72" s="323" t="s">
        <v>855</v>
      </c>
      <c r="H72" s="11"/>
      <c r="I72" s="11"/>
      <c r="J72" s="11" t="s">
        <v>856</v>
      </c>
      <c r="K72" s="273" t="s">
        <v>857</v>
      </c>
      <c r="L72" s="229" t="s">
        <v>858</v>
      </c>
      <c r="M72" s="35" t="s">
        <v>859</v>
      </c>
      <c r="N72" s="274">
        <v>43972</v>
      </c>
      <c r="O72" s="274">
        <v>44020</v>
      </c>
      <c r="P72" s="241" t="s">
        <v>401</v>
      </c>
      <c r="Q72" s="244">
        <v>0.3</v>
      </c>
      <c r="R72" s="275">
        <v>44032</v>
      </c>
      <c r="S72" s="241" t="s">
        <v>860</v>
      </c>
      <c r="T72" s="11" t="s">
        <v>571</v>
      </c>
      <c r="U72" s="251">
        <v>44027</v>
      </c>
      <c r="V72" s="251">
        <v>44027</v>
      </c>
      <c r="W72" s="213" t="s">
        <v>655</v>
      </c>
      <c r="X72" s="251" t="s">
        <v>861</v>
      </c>
      <c r="Y72" s="251">
        <v>44032</v>
      </c>
      <c r="Z72" s="275"/>
      <c r="AA72" s="202" t="s">
        <v>807</v>
      </c>
      <c r="AB72" s="265" t="s">
        <v>808</v>
      </c>
      <c r="AC72" s="265" t="s">
        <v>294</v>
      </c>
      <c r="AD72" s="265" t="s">
        <v>294</v>
      </c>
      <c r="AF72" s="265" t="s">
        <v>294</v>
      </c>
      <c r="AP72" s="261"/>
    </row>
    <row r="73" s="265" customFormat="1" ht="115.5" spans="1:42">
      <c r="A73" s="213">
        <v>8</v>
      </c>
      <c r="B73" s="254" t="s">
        <v>862</v>
      </c>
      <c r="C73" s="217" t="s">
        <v>863</v>
      </c>
      <c r="D73" s="278" t="s">
        <v>864</v>
      </c>
      <c r="E73" s="217" t="s">
        <v>865</v>
      </c>
      <c r="F73" s="217" t="s">
        <v>866</v>
      </c>
      <c r="G73" s="326" t="s">
        <v>867</v>
      </c>
      <c r="H73" s="217"/>
      <c r="I73" s="217"/>
      <c r="J73" s="217" t="s">
        <v>868</v>
      </c>
      <c r="K73" s="230" t="s">
        <v>869</v>
      </c>
      <c r="L73" s="230" t="s">
        <v>870</v>
      </c>
      <c r="M73" s="51" t="s">
        <v>871</v>
      </c>
      <c r="N73" s="231">
        <v>43978</v>
      </c>
      <c r="O73" s="231">
        <v>44014</v>
      </c>
      <c r="P73" s="37" t="s">
        <v>401</v>
      </c>
      <c r="Q73" s="244">
        <v>0.3</v>
      </c>
      <c r="R73" s="51"/>
      <c r="S73" s="37" t="s">
        <v>872</v>
      </c>
      <c r="T73" s="217" t="s">
        <v>529</v>
      </c>
      <c r="U73" s="254" t="s">
        <v>862</v>
      </c>
      <c r="V73" s="254" t="s">
        <v>862</v>
      </c>
      <c r="W73" s="254" t="s">
        <v>862</v>
      </c>
      <c r="X73" s="254" t="s">
        <v>862</v>
      </c>
      <c r="Y73" s="250" t="s">
        <v>873</v>
      </c>
      <c r="Z73" s="51"/>
      <c r="AA73" s="202" t="s">
        <v>807</v>
      </c>
      <c r="AB73" s="265" t="s">
        <v>808</v>
      </c>
      <c r="AC73" s="265" t="s">
        <v>294</v>
      </c>
      <c r="AD73" s="265" t="s">
        <v>294</v>
      </c>
      <c r="AF73" s="265" t="s">
        <v>294</v>
      </c>
      <c r="AP73" s="262"/>
    </row>
    <row r="74" s="265" customFormat="1" ht="66" spans="1:42">
      <c r="A74" s="213">
        <v>9</v>
      </c>
      <c r="B74" s="275" t="s">
        <v>874</v>
      </c>
      <c r="C74" s="213" t="str">
        <f t="shared" ref="C74:C76" si="1">_xlfn.CONCAT(E74,J74,"行政处罚案")</f>
        <v>远洋国际建设有限公司未按照规定组织危大工程验收行政处罚案</v>
      </c>
      <c r="D74" s="272" t="s">
        <v>875</v>
      </c>
      <c r="E74" s="213" t="s">
        <v>876</v>
      </c>
      <c r="F74" s="213" t="s">
        <v>416</v>
      </c>
      <c r="G74" s="324" t="s">
        <v>877</v>
      </c>
      <c r="H74" s="213"/>
      <c r="I74" s="213"/>
      <c r="J74" s="213" t="s">
        <v>831</v>
      </c>
      <c r="K74" s="273" t="s">
        <v>878</v>
      </c>
      <c r="L74" s="229" t="s">
        <v>879</v>
      </c>
      <c r="M74" s="11" t="s">
        <v>880</v>
      </c>
      <c r="N74" s="274">
        <v>44026</v>
      </c>
      <c r="O74" s="274">
        <v>44056</v>
      </c>
      <c r="P74" s="241" t="s">
        <v>401</v>
      </c>
      <c r="Q74" s="244">
        <v>3</v>
      </c>
      <c r="R74" s="275">
        <v>44085</v>
      </c>
      <c r="S74" s="327" t="s">
        <v>881</v>
      </c>
      <c r="T74" s="11" t="s">
        <v>476</v>
      </c>
      <c r="U74" s="251">
        <v>44060</v>
      </c>
      <c r="V74" s="251">
        <f t="shared" ref="V74:V76" si="2">+$O74+5</f>
        <v>44061</v>
      </c>
      <c r="W74" s="251" t="s">
        <v>44</v>
      </c>
      <c r="X74" s="251" t="s">
        <v>882</v>
      </c>
      <c r="Y74" s="251">
        <v>44062</v>
      </c>
      <c r="Z74" s="35"/>
      <c r="AA74" s="202" t="s">
        <v>807</v>
      </c>
      <c r="AB74" s="265" t="s">
        <v>808</v>
      </c>
      <c r="AC74" s="265" t="s">
        <v>294</v>
      </c>
      <c r="AD74" s="265" t="s">
        <v>294</v>
      </c>
      <c r="AF74" s="265" t="s">
        <v>294</v>
      </c>
      <c r="AP74" s="328" t="s">
        <v>883</v>
      </c>
    </row>
    <row r="75" s="265" customFormat="1" ht="66" spans="1:42">
      <c r="A75" s="213">
        <v>10</v>
      </c>
      <c r="B75" s="275" t="s">
        <v>884</v>
      </c>
      <c r="C75" s="213" t="str">
        <f t="shared" si="1"/>
        <v>黄灵俊未按照规定组织危大工程验收行政处罚案</v>
      </c>
      <c r="D75" s="272"/>
      <c r="E75" s="213" t="s">
        <v>885</v>
      </c>
      <c r="F75" s="213" t="s">
        <v>509</v>
      </c>
      <c r="G75" s="324" t="s">
        <v>886</v>
      </c>
      <c r="H75" s="213"/>
      <c r="I75" s="213"/>
      <c r="J75" s="213" t="s">
        <v>831</v>
      </c>
      <c r="K75" s="273" t="s">
        <v>887</v>
      </c>
      <c r="L75" s="229" t="s">
        <v>888</v>
      </c>
      <c r="M75" s="11" t="s">
        <v>889</v>
      </c>
      <c r="N75" s="274">
        <v>44026</v>
      </c>
      <c r="O75" s="274">
        <v>44056</v>
      </c>
      <c r="P75" s="241" t="s">
        <v>401</v>
      </c>
      <c r="Q75" s="244">
        <v>0.5</v>
      </c>
      <c r="R75" s="275">
        <v>44085</v>
      </c>
      <c r="S75" s="327" t="s">
        <v>890</v>
      </c>
      <c r="T75" s="11" t="s">
        <v>476</v>
      </c>
      <c r="U75" s="251">
        <v>44060</v>
      </c>
      <c r="V75" s="251">
        <f t="shared" si="2"/>
        <v>44061</v>
      </c>
      <c r="W75" s="251" t="s">
        <v>44</v>
      </c>
      <c r="X75" s="251" t="s">
        <v>689</v>
      </c>
      <c r="Y75" s="251">
        <v>44062</v>
      </c>
      <c r="Z75" s="275"/>
      <c r="AA75" s="202" t="s">
        <v>807</v>
      </c>
      <c r="AB75" s="265" t="s">
        <v>808</v>
      </c>
      <c r="AC75" s="265" t="s">
        <v>294</v>
      </c>
      <c r="AD75" s="265" t="s">
        <v>294</v>
      </c>
      <c r="AF75" s="265" t="s">
        <v>294</v>
      </c>
      <c r="AP75" s="328" t="s">
        <v>891</v>
      </c>
    </row>
    <row r="76" s="265" customFormat="1" ht="66" spans="1:42">
      <c r="A76" s="213">
        <v>11</v>
      </c>
      <c r="B76" s="275" t="s">
        <v>892</v>
      </c>
      <c r="C76" s="213" t="str">
        <f t="shared" si="1"/>
        <v>姜海建未按照规定组织危大工程验收行政处罚案</v>
      </c>
      <c r="D76" s="272"/>
      <c r="E76" s="213" t="s">
        <v>893</v>
      </c>
      <c r="F76" s="213" t="s">
        <v>516</v>
      </c>
      <c r="G76" s="324" t="s">
        <v>894</v>
      </c>
      <c r="H76" s="213"/>
      <c r="I76" s="213"/>
      <c r="J76" s="213" t="s">
        <v>831</v>
      </c>
      <c r="K76" s="273" t="s">
        <v>895</v>
      </c>
      <c r="L76" s="229" t="s">
        <v>896</v>
      </c>
      <c r="M76" s="11" t="s">
        <v>897</v>
      </c>
      <c r="N76" s="274">
        <v>44026</v>
      </c>
      <c r="O76" s="274">
        <v>44056</v>
      </c>
      <c r="P76" s="241" t="s">
        <v>401</v>
      </c>
      <c r="Q76" s="244">
        <v>0.5</v>
      </c>
      <c r="R76" s="275">
        <v>44085</v>
      </c>
      <c r="S76" s="327" t="s">
        <v>898</v>
      </c>
      <c r="T76" s="11" t="s">
        <v>476</v>
      </c>
      <c r="U76" s="251">
        <v>44060</v>
      </c>
      <c r="V76" s="251">
        <f t="shared" si="2"/>
        <v>44061</v>
      </c>
      <c r="W76" s="251" t="s">
        <v>44</v>
      </c>
      <c r="X76" s="251" t="s">
        <v>689</v>
      </c>
      <c r="Y76" s="251">
        <v>44062</v>
      </c>
      <c r="Z76" s="275"/>
      <c r="AA76" s="202" t="s">
        <v>807</v>
      </c>
      <c r="AB76" s="265" t="s">
        <v>808</v>
      </c>
      <c r="AC76" s="265" t="s">
        <v>294</v>
      </c>
      <c r="AD76" s="265" t="s">
        <v>294</v>
      </c>
      <c r="AF76" s="265" t="s">
        <v>294</v>
      </c>
      <c r="AP76" s="328" t="s">
        <v>899</v>
      </c>
    </row>
    <row r="77" s="265" customFormat="1" ht="82.5" spans="1:42">
      <c r="A77" s="213">
        <v>12</v>
      </c>
      <c r="B77" s="213" t="s">
        <v>900</v>
      </c>
      <c r="C77" s="213" t="s">
        <v>901</v>
      </c>
      <c r="D77" s="272" t="s">
        <v>776</v>
      </c>
      <c r="E77" s="213" t="s">
        <v>902</v>
      </c>
      <c r="F77" s="213" t="s">
        <v>854</v>
      </c>
      <c r="G77" s="324" t="s">
        <v>903</v>
      </c>
      <c r="H77" s="213"/>
      <c r="I77" s="213"/>
      <c r="J77" s="213" t="s">
        <v>904</v>
      </c>
      <c r="K77" s="273" t="s">
        <v>905</v>
      </c>
      <c r="L77" s="229" t="s">
        <v>870</v>
      </c>
      <c r="M77" s="11" t="s">
        <v>906</v>
      </c>
      <c r="N77" s="274">
        <v>44048</v>
      </c>
      <c r="O77" s="274">
        <v>44101</v>
      </c>
      <c r="P77" s="241" t="s">
        <v>401</v>
      </c>
      <c r="Q77" s="244">
        <v>0.3</v>
      </c>
      <c r="R77" s="275">
        <v>44125</v>
      </c>
      <c r="S77" s="327" t="s">
        <v>907</v>
      </c>
      <c r="T77" s="11" t="s">
        <v>529</v>
      </c>
      <c r="U77" s="251">
        <v>44103</v>
      </c>
      <c r="V77" s="251">
        <v>44103</v>
      </c>
      <c r="W77" s="251" t="s">
        <v>44</v>
      </c>
      <c r="X77" s="251">
        <v>44103</v>
      </c>
      <c r="Y77" s="251">
        <v>44103</v>
      </c>
      <c r="Z77" s="275"/>
      <c r="AA77" s="202" t="s">
        <v>807</v>
      </c>
      <c r="AB77" s="265" t="s">
        <v>808</v>
      </c>
      <c r="AC77" s="265" t="s">
        <v>294</v>
      </c>
      <c r="AD77" s="265" t="s">
        <v>294</v>
      </c>
      <c r="AF77" s="265" t="s">
        <v>294</v>
      </c>
      <c r="AP77" s="328" t="s">
        <v>908</v>
      </c>
    </row>
    <row r="78" s="265" customFormat="1" ht="66" spans="1:42">
      <c r="A78" s="213">
        <v>13</v>
      </c>
      <c r="B78" s="213" t="s">
        <v>909</v>
      </c>
      <c r="C78" s="213" t="s">
        <v>910</v>
      </c>
      <c r="D78" s="272" t="s">
        <v>911</v>
      </c>
      <c r="E78" s="213" t="s">
        <v>912</v>
      </c>
      <c r="F78" s="213" t="s">
        <v>416</v>
      </c>
      <c r="G78" s="324" t="s">
        <v>913</v>
      </c>
      <c r="H78" s="213"/>
      <c r="I78" s="213"/>
      <c r="J78" s="213" t="s">
        <v>910</v>
      </c>
      <c r="K78" s="273" t="s">
        <v>914</v>
      </c>
      <c r="L78" s="229" t="s">
        <v>915</v>
      </c>
      <c r="M78" s="11" t="s">
        <v>916</v>
      </c>
      <c r="N78" s="60">
        <v>44117</v>
      </c>
      <c r="O78" s="274">
        <v>44144</v>
      </c>
      <c r="P78" s="241" t="s">
        <v>401</v>
      </c>
      <c r="Q78" s="244">
        <v>2</v>
      </c>
      <c r="R78" s="51" t="s">
        <v>917</v>
      </c>
      <c r="S78" s="275"/>
      <c r="T78" s="11" t="s">
        <v>571</v>
      </c>
      <c r="U78" s="251">
        <v>44148</v>
      </c>
      <c r="V78" s="251">
        <v>44148</v>
      </c>
      <c r="W78" s="251" t="s">
        <v>44</v>
      </c>
      <c r="X78" s="251">
        <v>44151</v>
      </c>
      <c r="Y78" s="251">
        <v>44151</v>
      </c>
      <c r="Z78" s="35"/>
      <c r="AA78" s="202" t="s">
        <v>807</v>
      </c>
      <c r="AB78" s="265" t="s">
        <v>808</v>
      </c>
      <c r="AC78" s="265" t="s">
        <v>294</v>
      </c>
      <c r="AD78" s="265" t="s">
        <v>294</v>
      </c>
      <c r="AF78" s="265" t="s">
        <v>294</v>
      </c>
      <c r="AP78" s="328" t="s">
        <v>918</v>
      </c>
    </row>
    <row r="79" s="265" customFormat="1" ht="82.5" spans="1:42">
      <c r="A79" s="213">
        <v>14</v>
      </c>
      <c r="B79" s="213" t="s">
        <v>909</v>
      </c>
      <c r="C79" s="213" t="s">
        <v>919</v>
      </c>
      <c r="D79" s="272"/>
      <c r="E79" s="12" t="s">
        <v>920</v>
      </c>
      <c r="F79" s="213" t="s">
        <v>509</v>
      </c>
      <c r="G79" s="323" t="s">
        <v>921</v>
      </c>
      <c r="H79" s="11"/>
      <c r="I79" s="11"/>
      <c r="J79" s="213" t="s">
        <v>922</v>
      </c>
      <c r="K79" s="273" t="s">
        <v>923</v>
      </c>
      <c r="L79" s="229" t="s">
        <v>924</v>
      </c>
      <c r="M79" s="11" t="s">
        <v>925</v>
      </c>
      <c r="N79" s="60">
        <v>44117</v>
      </c>
      <c r="O79" s="274">
        <v>44144</v>
      </c>
      <c r="P79" s="241" t="s">
        <v>401</v>
      </c>
      <c r="Q79" s="244">
        <v>0.3</v>
      </c>
      <c r="R79" s="51" t="s">
        <v>917</v>
      </c>
      <c r="S79" s="275"/>
      <c r="T79" s="11" t="s">
        <v>571</v>
      </c>
      <c r="U79" s="251">
        <v>44148</v>
      </c>
      <c r="V79" s="251">
        <v>44148</v>
      </c>
      <c r="W79" s="251" t="s">
        <v>44</v>
      </c>
      <c r="X79" s="251">
        <v>44151</v>
      </c>
      <c r="Y79" s="251">
        <v>44151</v>
      </c>
      <c r="Z79" s="35"/>
      <c r="AA79" s="202" t="s">
        <v>807</v>
      </c>
      <c r="AB79" s="265" t="s">
        <v>808</v>
      </c>
      <c r="AC79" s="265" t="s">
        <v>294</v>
      </c>
      <c r="AD79" s="265" t="s">
        <v>294</v>
      </c>
      <c r="AF79" s="265" t="s">
        <v>294</v>
      </c>
      <c r="AP79" s="328" t="s">
        <v>926</v>
      </c>
    </row>
    <row r="80" s="265" customFormat="1" ht="82.5" spans="1:42">
      <c r="A80" s="213">
        <v>15</v>
      </c>
      <c r="B80" s="213" t="s">
        <v>909</v>
      </c>
      <c r="C80" s="213" t="s">
        <v>927</v>
      </c>
      <c r="D80" s="272"/>
      <c r="E80" s="11" t="s">
        <v>928</v>
      </c>
      <c r="F80" s="213" t="s">
        <v>516</v>
      </c>
      <c r="G80" s="324" t="s">
        <v>929</v>
      </c>
      <c r="H80" s="213"/>
      <c r="I80" s="213"/>
      <c r="J80" s="213" t="s">
        <v>930</v>
      </c>
      <c r="K80" s="273" t="s">
        <v>931</v>
      </c>
      <c r="L80" s="229" t="s">
        <v>932</v>
      </c>
      <c r="M80" s="11" t="s">
        <v>933</v>
      </c>
      <c r="N80" s="60">
        <v>44117</v>
      </c>
      <c r="O80" s="274">
        <v>44144</v>
      </c>
      <c r="P80" s="241" t="s">
        <v>401</v>
      </c>
      <c r="Q80" s="244">
        <v>0.3</v>
      </c>
      <c r="R80" s="51" t="s">
        <v>917</v>
      </c>
      <c r="S80" s="275"/>
      <c r="T80" s="11" t="s">
        <v>571</v>
      </c>
      <c r="U80" s="251">
        <v>44148</v>
      </c>
      <c r="V80" s="251">
        <v>44148</v>
      </c>
      <c r="W80" s="251" t="s">
        <v>44</v>
      </c>
      <c r="X80" s="251">
        <v>44151</v>
      </c>
      <c r="Y80" s="251">
        <v>44151</v>
      </c>
      <c r="Z80" s="35"/>
      <c r="AA80" s="202" t="s">
        <v>807</v>
      </c>
      <c r="AB80" s="265" t="s">
        <v>808</v>
      </c>
      <c r="AC80" s="265" t="s">
        <v>294</v>
      </c>
      <c r="AD80" s="265" t="s">
        <v>294</v>
      </c>
      <c r="AF80" s="265" t="s">
        <v>294</v>
      </c>
      <c r="AP80" s="328" t="s">
        <v>934</v>
      </c>
    </row>
    <row r="81" s="224" customFormat="1" ht="66" spans="1:42">
      <c r="A81" s="213" t="s">
        <v>935</v>
      </c>
      <c r="B81" s="214">
        <v>20203000007</v>
      </c>
      <c r="C81" s="213" t="s">
        <v>802</v>
      </c>
      <c r="D81" s="272" t="s">
        <v>936</v>
      </c>
      <c r="E81" s="12" t="s">
        <v>937</v>
      </c>
      <c r="F81" s="213" t="s">
        <v>938</v>
      </c>
      <c r="G81" s="324" t="s">
        <v>939</v>
      </c>
      <c r="H81" s="213"/>
      <c r="I81" s="213"/>
      <c r="J81" s="213" t="s">
        <v>802</v>
      </c>
      <c r="K81" s="229" t="s">
        <v>940</v>
      </c>
      <c r="L81" s="229" t="s">
        <v>941</v>
      </c>
      <c r="M81" s="11" t="s">
        <v>942</v>
      </c>
      <c r="N81" s="60">
        <v>44183</v>
      </c>
      <c r="O81" s="60">
        <v>44257</v>
      </c>
      <c r="P81" s="241" t="s">
        <v>401</v>
      </c>
      <c r="Q81" s="244">
        <v>0.4999</v>
      </c>
      <c r="R81" s="35">
        <v>44264</v>
      </c>
      <c r="S81" s="329" t="s">
        <v>943</v>
      </c>
      <c r="T81" s="11" t="s">
        <v>529</v>
      </c>
      <c r="U81" s="251">
        <v>44259</v>
      </c>
      <c r="V81" s="251">
        <v>44260</v>
      </c>
      <c r="W81" s="251" t="s">
        <v>44</v>
      </c>
      <c r="X81" s="251">
        <v>44259</v>
      </c>
      <c r="Y81" s="251">
        <v>44259</v>
      </c>
      <c r="Z81" s="35" t="s">
        <v>944</v>
      </c>
      <c r="AA81" s="202" t="s">
        <v>807</v>
      </c>
      <c r="AB81" s="265" t="s">
        <v>808</v>
      </c>
      <c r="AC81" s="265" t="s">
        <v>294</v>
      </c>
      <c r="AD81" s="265" t="s">
        <v>294</v>
      </c>
      <c r="AE81" s="265"/>
      <c r="AF81" s="265" t="s">
        <v>294</v>
      </c>
      <c r="AP81" s="328" t="s">
        <v>945</v>
      </c>
    </row>
    <row r="82" s="224" customFormat="1" ht="115.5" spans="1:42">
      <c r="A82" s="213" t="s">
        <v>935</v>
      </c>
      <c r="B82" s="214">
        <v>20203000009</v>
      </c>
      <c r="C82" s="213" t="s">
        <v>901</v>
      </c>
      <c r="D82" s="13" t="s">
        <v>946</v>
      </c>
      <c r="E82" s="12" t="s">
        <v>947</v>
      </c>
      <c r="F82" s="213" t="s">
        <v>854</v>
      </c>
      <c r="G82" s="323" t="s">
        <v>948</v>
      </c>
      <c r="H82" s="11"/>
      <c r="I82" s="11"/>
      <c r="J82" s="11" t="s">
        <v>901</v>
      </c>
      <c r="K82" s="229" t="s">
        <v>949</v>
      </c>
      <c r="L82" s="229" t="s">
        <v>950</v>
      </c>
      <c r="M82" s="11" t="s">
        <v>951</v>
      </c>
      <c r="N82" s="60">
        <v>44190</v>
      </c>
      <c r="O82" s="60">
        <v>44257</v>
      </c>
      <c r="P82" s="241" t="s">
        <v>401</v>
      </c>
      <c r="Q82" s="244">
        <v>0.3</v>
      </c>
      <c r="R82" s="35">
        <v>44264</v>
      </c>
      <c r="S82" s="275"/>
      <c r="T82" s="11" t="s">
        <v>529</v>
      </c>
      <c r="U82" s="251">
        <v>44259</v>
      </c>
      <c r="V82" s="251">
        <v>44260</v>
      </c>
      <c r="W82" s="251" t="s">
        <v>44</v>
      </c>
      <c r="X82" s="251">
        <v>44259</v>
      </c>
      <c r="Y82" s="251">
        <v>44259</v>
      </c>
      <c r="Z82" s="35" t="s">
        <v>944</v>
      </c>
      <c r="AA82" s="202" t="s">
        <v>807</v>
      </c>
      <c r="AB82" s="265" t="s">
        <v>808</v>
      </c>
      <c r="AC82" s="265" t="s">
        <v>294</v>
      </c>
      <c r="AD82" s="265" t="s">
        <v>294</v>
      </c>
      <c r="AE82" s="265"/>
      <c r="AF82" s="265" t="s">
        <v>294</v>
      </c>
      <c r="AP82" s="328" t="s">
        <v>952</v>
      </c>
    </row>
    <row r="83" s="224" customFormat="1" ht="115.5" spans="1:42">
      <c r="A83" s="213">
        <v>1</v>
      </c>
      <c r="B83" s="214">
        <v>20213000011</v>
      </c>
      <c r="C83" s="213" t="s">
        <v>953</v>
      </c>
      <c r="D83" s="13" t="s">
        <v>954</v>
      </c>
      <c r="E83" s="12" t="s">
        <v>955</v>
      </c>
      <c r="F83" s="11" t="s">
        <v>408</v>
      </c>
      <c r="G83" s="323" t="s">
        <v>956</v>
      </c>
      <c r="H83" s="11"/>
      <c r="I83" s="11"/>
      <c r="J83" s="11" t="s">
        <v>694</v>
      </c>
      <c r="K83" s="229" t="s">
        <v>957</v>
      </c>
      <c r="L83" s="229" t="s">
        <v>958</v>
      </c>
      <c r="M83" s="11" t="s">
        <v>959</v>
      </c>
      <c r="N83" s="60">
        <v>44277</v>
      </c>
      <c r="O83" s="60">
        <v>44328</v>
      </c>
      <c r="P83" s="241" t="s">
        <v>401</v>
      </c>
      <c r="Q83" s="244">
        <v>1.5</v>
      </c>
      <c r="R83" s="35">
        <v>44340</v>
      </c>
      <c r="S83" s="275"/>
      <c r="T83" s="11" t="s">
        <v>960</v>
      </c>
      <c r="U83" s="251">
        <v>44329</v>
      </c>
      <c r="V83" s="251">
        <v>44330</v>
      </c>
      <c r="W83" s="251" t="s">
        <v>44</v>
      </c>
      <c r="X83" s="251">
        <v>44336</v>
      </c>
      <c r="Y83" s="251">
        <v>44330</v>
      </c>
      <c r="Z83" s="35" t="s">
        <v>961</v>
      </c>
      <c r="AA83" s="202" t="s">
        <v>807</v>
      </c>
      <c r="AB83" s="265" t="s">
        <v>808</v>
      </c>
      <c r="AC83" s="265" t="s">
        <v>294</v>
      </c>
      <c r="AD83" s="265" t="s">
        <v>294</v>
      </c>
      <c r="AE83" s="265"/>
      <c r="AF83" s="265" t="s">
        <v>294</v>
      </c>
      <c r="AP83" s="328" t="s">
        <v>962</v>
      </c>
    </row>
    <row r="84" s="224" customFormat="1" ht="132" spans="1:42">
      <c r="A84" s="213">
        <v>2</v>
      </c>
      <c r="B84" s="214">
        <v>20213000012</v>
      </c>
      <c r="C84" s="213" t="s">
        <v>953</v>
      </c>
      <c r="D84" s="13"/>
      <c r="E84" s="12" t="s">
        <v>963</v>
      </c>
      <c r="F84" s="213" t="s">
        <v>751</v>
      </c>
      <c r="G84" s="323" t="s">
        <v>964</v>
      </c>
      <c r="H84" s="11"/>
      <c r="I84" s="11"/>
      <c r="J84" s="11" t="s">
        <v>694</v>
      </c>
      <c r="K84" s="229" t="s">
        <v>965</v>
      </c>
      <c r="L84" s="229" t="s">
        <v>966</v>
      </c>
      <c r="M84" s="11" t="s">
        <v>967</v>
      </c>
      <c r="N84" s="60">
        <v>44277</v>
      </c>
      <c r="O84" s="60">
        <v>44328</v>
      </c>
      <c r="P84" s="241" t="s">
        <v>401</v>
      </c>
      <c r="Q84" s="244">
        <v>0.25</v>
      </c>
      <c r="R84" s="35">
        <v>44340</v>
      </c>
      <c r="S84" s="275"/>
      <c r="T84" s="11" t="s">
        <v>960</v>
      </c>
      <c r="U84" s="251">
        <v>44329</v>
      </c>
      <c r="V84" s="251">
        <v>44330</v>
      </c>
      <c r="W84" s="251" t="s">
        <v>44</v>
      </c>
      <c r="X84" s="251">
        <v>44336</v>
      </c>
      <c r="Y84" s="251">
        <v>44330</v>
      </c>
      <c r="Z84" s="35" t="s">
        <v>968</v>
      </c>
      <c r="AA84" s="202" t="s">
        <v>807</v>
      </c>
      <c r="AB84" s="265" t="s">
        <v>808</v>
      </c>
      <c r="AC84" s="265" t="s">
        <v>294</v>
      </c>
      <c r="AD84" s="265" t="s">
        <v>294</v>
      </c>
      <c r="AE84" s="265"/>
      <c r="AF84" s="265" t="s">
        <v>294</v>
      </c>
      <c r="AP84" s="328" t="s">
        <v>969</v>
      </c>
    </row>
    <row r="85" s="224" customFormat="1" ht="132" spans="1:42">
      <c r="A85" s="213">
        <v>3</v>
      </c>
      <c r="B85" s="214">
        <v>20213000013</v>
      </c>
      <c r="C85" s="213" t="str">
        <f>_xlfn.CONCAT(E85,J85,"行政处罚案")</f>
        <v>黄国林未按规定建立危大工程安全管理档案行政处罚案</v>
      </c>
      <c r="D85" s="13"/>
      <c r="E85" s="12" t="s">
        <v>970</v>
      </c>
      <c r="F85" s="213" t="s">
        <v>759</v>
      </c>
      <c r="G85" s="323" t="s">
        <v>971</v>
      </c>
      <c r="H85" s="11"/>
      <c r="I85" s="11"/>
      <c r="J85" s="11" t="s">
        <v>694</v>
      </c>
      <c r="K85" s="279" t="s">
        <v>972</v>
      </c>
      <c r="L85" s="229" t="s">
        <v>973</v>
      </c>
      <c r="M85" s="11" t="s">
        <v>974</v>
      </c>
      <c r="N85" s="60">
        <v>44277</v>
      </c>
      <c r="O85" s="60">
        <v>44328</v>
      </c>
      <c r="P85" s="241" t="s">
        <v>401</v>
      </c>
      <c r="Q85" s="244">
        <v>0.25</v>
      </c>
      <c r="R85" s="35">
        <v>44340</v>
      </c>
      <c r="S85" s="275"/>
      <c r="T85" s="11" t="s">
        <v>960</v>
      </c>
      <c r="U85" s="251">
        <v>44329</v>
      </c>
      <c r="V85" s="251">
        <v>44330</v>
      </c>
      <c r="W85" s="251" t="s">
        <v>44</v>
      </c>
      <c r="X85" s="251">
        <v>44336</v>
      </c>
      <c r="Y85" s="251">
        <v>44330</v>
      </c>
      <c r="Z85" s="35" t="s">
        <v>968</v>
      </c>
      <c r="AA85" s="202" t="s">
        <v>807</v>
      </c>
      <c r="AB85" s="265" t="s">
        <v>808</v>
      </c>
      <c r="AC85" s="265" t="s">
        <v>294</v>
      </c>
      <c r="AD85" s="265" t="s">
        <v>294</v>
      </c>
      <c r="AE85" s="265"/>
      <c r="AF85" s="265" t="s">
        <v>294</v>
      </c>
      <c r="AP85" s="328" t="s">
        <v>975</v>
      </c>
    </row>
    <row r="86" s="224" customFormat="1" ht="66" spans="1:42">
      <c r="A86" s="213">
        <v>4</v>
      </c>
      <c r="B86" s="214">
        <v>20213000055</v>
      </c>
      <c r="C86" s="213" t="s">
        <v>976</v>
      </c>
      <c r="D86" s="13" t="s">
        <v>977</v>
      </c>
      <c r="E86" s="12" t="s">
        <v>232</v>
      </c>
      <c r="F86" s="11" t="s">
        <v>416</v>
      </c>
      <c r="G86" s="323" t="s">
        <v>233</v>
      </c>
      <c r="H86" s="11"/>
      <c r="I86" s="11"/>
      <c r="J86" s="11" t="s">
        <v>978</v>
      </c>
      <c r="K86" s="232" t="s">
        <v>979</v>
      </c>
      <c r="L86" s="229" t="s">
        <v>980</v>
      </c>
      <c r="M86" s="35" t="s">
        <v>981</v>
      </c>
      <c r="N86" s="60">
        <v>44322</v>
      </c>
      <c r="O86" s="60">
        <v>44376</v>
      </c>
      <c r="P86" s="241" t="s">
        <v>401</v>
      </c>
      <c r="Q86" s="244">
        <v>2.5</v>
      </c>
      <c r="R86" s="35">
        <v>44382</v>
      </c>
      <c r="S86" s="275"/>
      <c r="T86" s="11" t="s">
        <v>529</v>
      </c>
      <c r="U86" s="52">
        <v>44382</v>
      </c>
      <c r="V86" s="52">
        <v>44382</v>
      </c>
      <c r="W86" s="251" t="s">
        <v>44</v>
      </c>
      <c r="X86" s="251">
        <v>44378</v>
      </c>
      <c r="Y86" s="251">
        <v>44378</v>
      </c>
      <c r="Z86" s="35" t="s">
        <v>982</v>
      </c>
      <c r="AA86" s="202" t="s">
        <v>807</v>
      </c>
      <c r="AB86" s="265" t="s">
        <v>808</v>
      </c>
      <c r="AC86" s="265" t="s">
        <v>294</v>
      </c>
      <c r="AD86" s="265" t="s">
        <v>294</v>
      </c>
      <c r="AE86" s="265"/>
      <c r="AF86" s="265" t="s">
        <v>294</v>
      </c>
      <c r="AP86" s="328" t="s">
        <v>983</v>
      </c>
    </row>
    <row r="87" s="224" customFormat="1" ht="115.5" spans="1:42">
      <c r="A87" s="213">
        <v>5</v>
      </c>
      <c r="B87" s="214">
        <v>20213000064</v>
      </c>
      <c r="C87" s="213" t="s">
        <v>984</v>
      </c>
      <c r="D87" s="13" t="s">
        <v>985</v>
      </c>
      <c r="E87" s="12" t="s">
        <v>986</v>
      </c>
      <c r="F87" s="11" t="s">
        <v>416</v>
      </c>
      <c r="G87" s="323" t="s">
        <v>987</v>
      </c>
      <c r="H87" s="11"/>
      <c r="I87" s="11"/>
      <c r="J87" s="11" t="s">
        <v>831</v>
      </c>
      <c r="K87" s="229" t="s">
        <v>988</v>
      </c>
      <c r="L87" s="229" t="s">
        <v>989</v>
      </c>
      <c r="M87" s="35" t="s">
        <v>990</v>
      </c>
      <c r="N87" s="60">
        <v>44326</v>
      </c>
      <c r="O87" s="60">
        <v>44376</v>
      </c>
      <c r="P87" s="241" t="s">
        <v>401</v>
      </c>
      <c r="Q87" s="244">
        <v>1.6</v>
      </c>
      <c r="R87" s="35">
        <v>44396</v>
      </c>
      <c r="S87" s="35"/>
      <c r="T87" s="11" t="s">
        <v>476</v>
      </c>
      <c r="U87" s="52">
        <v>44382</v>
      </c>
      <c r="V87" s="52">
        <v>44382</v>
      </c>
      <c r="W87" s="251" t="s">
        <v>44</v>
      </c>
      <c r="X87" s="251">
        <v>44378</v>
      </c>
      <c r="Y87" s="251">
        <v>44378</v>
      </c>
      <c r="Z87" s="35"/>
      <c r="AA87" s="202" t="s">
        <v>807</v>
      </c>
      <c r="AB87" s="265" t="s">
        <v>808</v>
      </c>
      <c r="AC87" s="265" t="s">
        <v>294</v>
      </c>
      <c r="AD87" s="265" t="s">
        <v>294</v>
      </c>
      <c r="AE87" s="265"/>
      <c r="AF87" s="265" t="s">
        <v>294</v>
      </c>
      <c r="AP87" s="328" t="s">
        <v>991</v>
      </c>
    </row>
    <row r="88" s="224" customFormat="1" ht="115.5" spans="1:42">
      <c r="A88" s="213">
        <v>6</v>
      </c>
      <c r="B88" s="214">
        <v>20213000067</v>
      </c>
      <c r="C88" s="213" t="s">
        <v>992</v>
      </c>
      <c r="D88" s="13"/>
      <c r="E88" s="12" t="s">
        <v>993</v>
      </c>
      <c r="F88" s="11" t="s">
        <v>509</v>
      </c>
      <c r="G88" s="323" t="s">
        <v>994</v>
      </c>
      <c r="H88" s="11"/>
      <c r="I88" s="11"/>
      <c r="J88" s="11" t="s">
        <v>831</v>
      </c>
      <c r="K88" s="229" t="s">
        <v>995</v>
      </c>
      <c r="L88" s="229" t="s">
        <v>996</v>
      </c>
      <c r="M88" s="35" t="s">
        <v>997</v>
      </c>
      <c r="N88" s="60">
        <v>44326</v>
      </c>
      <c r="O88" s="60">
        <v>44376</v>
      </c>
      <c r="P88" s="241" t="s">
        <v>401</v>
      </c>
      <c r="Q88" s="244">
        <v>0.25</v>
      </c>
      <c r="R88" s="35">
        <v>44396</v>
      </c>
      <c r="S88" s="35"/>
      <c r="T88" s="11" t="s">
        <v>476</v>
      </c>
      <c r="U88" s="52">
        <v>44382</v>
      </c>
      <c r="V88" s="52">
        <v>44382</v>
      </c>
      <c r="W88" s="251" t="s">
        <v>44</v>
      </c>
      <c r="X88" s="251">
        <v>44378</v>
      </c>
      <c r="Y88" s="251">
        <v>44378</v>
      </c>
      <c r="Z88" s="35"/>
      <c r="AA88" s="202" t="s">
        <v>807</v>
      </c>
      <c r="AB88" s="265" t="s">
        <v>808</v>
      </c>
      <c r="AC88" s="265" t="s">
        <v>294</v>
      </c>
      <c r="AD88" s="265" t="s">
        <v>294</v>
      </c>
      <c r="AE88" s="265"/>
      <c r="AF88" s="265" t="s">
        <v>294</v>
      </c>
      <c r="AP88" s="328" t="s">
        <v>998</v>
      </c>
    </row>
    <row r="89" s="224" customFormat="1" ht="115.5" spans="1:42">
      <c r="A89" s="213">
        <v>7</v>
      </c>
      <c r="B89" s="214">
        <v>20213000067</v>
      </c>
      <c r="C89" s="213" t="s">
        <v>999</v>
      </c>
      <c r="D89" s="13"/>
      <c r="E89" s="12" t="s">
        <v>1000</v>
      </c>
      <c r="F89" s="11" t="s">
        <v>516</v>
      </c>
      <c r="G89" s="323" t="s">
        <v>1001</v>
      </c>
      <c r="H89" s="11"/>
      <c r="I89" s="11"/>
      <c r="J89" s="11" t="s">
        <v>831</v>
      </c>
      <c r="K89" s="229" t="s">
        <v>1002</v>
      </c>
      <c r="L89" s="229" t="s">
        <v>1003</v>
      </c>
      <c r="M89" s="35" t="s">
        <v>1004</v>
      </c>
      <c r="N89" s="60">
        <v>44326</v>
      </c>
      <c r="O89" s="60">
        <v>44376</v>
      </c>
      <c r="P89" s="241" t="s">
        <v>401</v>
      </c>
      <c r="Q89" s="244">
        <v>0.25</v>
      </c>
      <c r="R89" s="35">
        <v>44396</v>
      </c>
      <c r="S89" s="35"/>
      <c r="T89" s="11" t="s">
        <v>476</v>
      </c>
      <c r="U89" s="52">
        <v>44382</v>
      </c>
      <c r="V89" s="52">
        <v>44382</v>
      </c>
      <c r="W89" s="251" t="s">
        <v>44</v>
      </c>
      <c r="X89" s="251">
        <v>44378</v>
      </c>
      <c r="Y89" s="251">
        <v>44378</v>
      </c>
      <c r="Z89" s="35" t="s">
        <v>1005</v>
      </c>
      <c r="AA89" s="202" t="s">
        <v>807</v>
      </c>
      <c r="AB89" s="265" t="s">
        <v>808</v>
      </c>
      <c r="AC89" s="265" t="s">
        <v>294</v>
      </c>
      <c r="AD89" s="265" t="s">
        <v>294</v>
      </c>
      <c r="AE89" s="265"/>
      <c r="AF89" s="265" t="s">
        <v>294</v>
      </c>
      <c r="AP89" s="328" t="s">
        <v>1006</v>
      </c>
    </row>
    <row r="90" ht="82.5" spans="1:42">
      <c r="A90" s="213">
        <v>8</v>
      </c>
      <c r="B90" s="214" t="s">
        <v>1007</v>
      </c>
      <c r="C90" s="213" t="s">
        <v>1008</v>
      </c>
      <c r="D90" s="13" t="s">
        <v>1009</v>
      </c>
      <c r="E90" s="12" t="s">
        <v>1010</v>
      </c>
      <c r="F90" s="11" t="s">
        <v>416</v>
      </c>
      <c r="G90" s="323" t="s">
        <v>1011</v>
      </c>
      <c r="H90" s="11"/>
      <c r="I90" s="11"/>
      <c r="J90" s="11" t="s">
        <v>684</v>
      </c>
      <c r="K90" s="232" t="s">
        <v>1012</v>
      </c>
      <c r="L90" s="229" t="s">
        <v>1013</v>
      </c>
      <c r="M90" s="35" t="s">
        <v>1014</v>
      </c>
      <c r="N90" s="60">
        <v>44350</v>
      </c>
      <c r="O90" s="60">
        <v>44389</v>
      </c>
      <c r="P90" s="241" t="s">
        <v>401</v>
      </c>
      <c r="Q90" s="244">
        <v>3</v>
      </c>
      <c r="R90" s="35">
        <v>44400</v>
      </c>
      <c r="S90" s="35"/>
      <c r="T90" s="11" t="s">
        <v>476</v>
      </c>
      <c r="U90" s="52">
        <v>44391</v>
      </c>
      <c r="V90" s="251">
        <v>44392</v>
      </c>
      <c r="W90" s="251" t="s">
        <v>44</v>
      </c>
      <c r="X90" s="251">
        <v>44391</v>
      </c>
      <c r="Y90" s="251">
        <v>44392</v>
      </c>
      <c r="Z90" s="35" t="s">
        <v>982</v>
      </c>
      <c r="AA90" s="202" t="s">
        <v>807</v>
      </c>
      <c r="AB90" s="265" t="s">
        <v>808</v>
      </c>
      <c r="AC90" s="265" t="s">
        <v>294</v>
      </c>
      <c r="AD90" s="265" t="s">
        <v>294</v>
      </c>
      <c r="AE90" s="265"/>
      <c r="AF90" s="265" t="s">
        <v>294</v>
      </c>
      <c r="AG90" s="224"/>
      <c r="AP90" s="328" t="s">
        <v>1015</v>
      </c>
    </row>
    <row r="91" ht="82.5" spans="1:42">
      <c r="A91" s="213">
        <v>9</v>
      </c>
      <c r="B91" s="214" t="s">
        <v>1016</v>
      </c>
      <c r="C91" s="213" t="s">
        <v>1017</v>
      </c>
      <c r="D91" s="13" t="s">
        <v>1018</v>
      </c>
      <c r="E91" s="12" t="s">
        <v>1019</v>
      </c>
      <c r="F91" s="11" t="s">
        <v>416</v>
      </c>
      <c r="G91" s="323" t="s">
        <v>1020</v>
      </c>
      <c r="H91" s="11"/>
      <c r="I91" s="11"/>
      <c r="J91" s="11" t="s">
        <v>978</v>
      </c>
      <c r="K91" s="232" t="s">
        <v>1021</v>
      </c>
      <c r="L91" s="229" t="s">
        <v>1022</v>
      </c>
      <c r="M91" s="35" t="s">
        <v>1023</v>
      </c>
      <c r="N91" s="60">
        <v>44367</v>
      </c>
      <c r="O91" s="60">
        <v>44390</v>
      </c>
      <c r="P91" s="241" t="s">
        <v>401</v>
      </c>
      <c r="Q91" s="244">
        <v>2.5</v>
      </c>
      <c r="R91" s="35">
        <v>44404</v>
      </c>
      <c r="S91" s="35"/>
      <c r="T91" s="11" t="s">
        <v>960</v>
      </c>
      <c r="U91" s="52">
        <v>44390</v>
      </c>
      <c r="V91" s="251">
        <v>44392</v>
      </c>
      <c r="W91" s="251" t="s">
        <v>44</v>
      </c>
      <c r="X91" s="251">
        <v>44391</v>
      </c>
      <c r="Y91" s="251">
        <v>44391</v>
      </c>
      <c r="Z91" s="35" t="s">
        <v>982</v>
      </c>
      <c r="AA91" s="202" t="s">
        <v>807</v>
      </c>
      <c r="AB91" s="265" t="s">
        <v>808</v>
      </c>
      <c r="AC91" s="265" t="s">
        <v>294</v>
      </c>
      <c r="AD91" s="265" t="s">
        <v>294</v>
      </c>
      <c r="AE91" s="265"/>
      <c r="AF91" s="265" t="s">
        <v>294</v>
      </c>
      <c r="AG91" s="224"/>
      <c r="AP91" s="328" t="s">
        <v>1024</v>
      </c>
    </row>
    <row r="92" ht="82.5" spans="1:42">
      <c r="A92" s="213">
        <v>10</v>
      </c>
      <c r="B92" s="214" t="s">
        <v>1025</v>
      </c>
      <c r="C92" s="213" t="s">
        <v>1026</v>
      </c>
      <c r="D92" s="13" t="s">
        <v>1027</v>
      </c>
      <c r="E92" s="12" t="s">
        <v>1028</v>
      </c>
      <c r="F92" s="11" t="s">
        <v>416</v>
      </c>
      <c r="G92" s="323" t="s">
        <v>1029</v>
      </c>
      <c r="H92" s="11"/>
      <c r="I92" s="11"/>
      <c r="J92" s="11" t="s">
        <v>684</v>
      </c>
      <c r="K92" s="232" t="s">
        <v>1030</v>
      </c>
      <c r="L92" s="229" t="s">
        <v>1031</v>
      </c>
      <c r="M92" s="35" t="s">
        <v>1032</v>
      </c>
      <c r="N92" s="60">
        <v>44367</v>
      </c>
      <c r="O92" s="60">
        <v>44389</v>
      </c>
      <c r="P92" s="241" t="s">
        <v>401</v>
      </c>
      <c r="Q92" s="244">
        <v>2.5</v>
      </c>
      <c r="R92" s="35">
        <v>44400</v>
      </c>
      <c r="S92" s="35"/>
      <c r="T92" s="11" t="s">
        <v>476</v>
      </c>
      <c r="U92" s="52">
        <v>44391</v>
      </c>
      <c r="V92" s="251">
        <v>44392</v>
      </c>
      <c r="W92" s="251" t="s">
        <v>44</v>
      </c>
      <c r="X92" s="251">
        <v>44391</v>
      </c>
      <c r="Y92" s="251">
        <v>44392</v>
      </c>
      <c r="Z92" s="35"/>
      <c r="AA92" s="202" t="s">
        <v>807</v>
      </c>
      <c r="AB92" s="265" t="s">
        <v>808</v>
      </c>
      <c r="AC92" s="265" t="s">
        <v>294</v>
      </c>
      <c r="AD92" s="265" t="s">
        <v>294</v>
      </c>
      <c r="AE92" s="265"/>
      <c r="AF92" s="265" t="s">
        <v>294</v>
      </c>
      <c r="AG92" s="224"/>
      <c r="AP92" s="328" t="s">
        <v>1033</v>
      </c>
    </row>
    <row r="93" ht="99" spans="1:42">
      <c r="A93" s="213">
        <v>11</v>
      </c>
      <c r="B93" s="214" t="s">
        <v>1034</v>
      </c>
      <c r="C93" s="213" t="s">
        <v>976</v>
      </c>
      <c r="D93" s="13" t="s">
        <v>1035</v>
      </c>
      <c r="E93" s="12" t="s">
        <v>1036</v>
      </c>
      <c r="F93" s="11" t="s">
        <v>416</v>
      </c>
      <c r="G93" s="323" t="s">
        <v>1037</v>
      </c>
      <c r="H93" s="11"/>
      <c r="I93" s="11"/>
      <c r="J93" s="11" t="s">
        <v>978</v>
      </c>
      <c r="K93" s="232" t="s">
        <v>1038</v>
      </c>
      <c r="L93" s="229" t="s">
        <v>1039</v>
      </c>
      <c r="M93" s="35" t="s">
        <v>1040</v>
      </c>
      <c r="N93" s="60">
        <v>44367</v>
      </c>
      <c r="O93" s="60">
        <v>44391</v>
      </c>
      <c r="P93" s="241" t="s">
        <v>401</v>
      </c>
      <c r="Q93" s="244">
        <v>2.5</v>
      </c>
      <c r="R93" s="35">
        <v>44396</v>
      </c>
      <c r="S93" s="35"/>
      <c r="T93" s="11" t="s">
        <v>529</v>
      </c>
      <c r="U93" s="52">
        <v>44393</v>
      </c>
      <c r="V93" s="251">
        <v>44393</v>
      </c>
      <c r="W93" s="251" t="s">
        <v>44</v>
      </c>
      <c r="X93" s="251">
        <v>44393</v>
      </c>
      <c r="Y93" s="251">
        <v>44393</v>
      </c>
      <c r="Z93" s="35"/>
      <c r="AA93" s="202" t="s">
        <v>807</v>
      </c>
      <c r="AB93" s="265" t="s">
        <v>808</v>
      </c>
      <c r="AC93" s="265" t="s">
        <v>294</v>
      </c>
      <c r="AD93" s="265" t="s">
        <v>294</v>
      </c>
      <c r="AE93" s="265"/>
      <c r="AF93" s="265" t="s">
        <v>294</v>
      </c>
      <c r="AG93" s="224"/>
      <c r="AP93" s="328" t="s">
        <v>1041</v>
      </c>
    </row>
    <row r="94" ht="82.5" spans="1:42">
      <c r="A94" s="213">
        <v>12</v>
      </c>
      <c r="B94" s="214" t="s">
        <v>1042</v>
      </c>
      <c r="C94" s="213" t="s">
        <v>1043</v>
      </c>
      <c r="D94" s="13" t="s">
        <v>1044</v>
      </c>
      <c r="E94" s="12" t="s">
        <v>1045</v>
      </c>
      <c r="F94" s="11" t="s">
        <v>416</v>
      </c>
      <c r="G94" s="323" t="s">
        <v>1046</v>
      </c>
      <c r="H94" s="11"/>
      <c r="I94" s="11"/>
      <c r="J94" s="11" t="s">
        <v>978</v>
      </c>
      <c r="K94" s="232" t="s">
        <v>1047</v>
      </c>
      <c r="L94" s="229" t="s">
        <v>1048</v>
      </c>
      <c r="M94" s="35" t="s">
        <v>1049</v>
      </c>
      <c r="N94" s="60">
        <v>44427</v>
      </c>
      <c r="O94" s="60">
        <v>44466</v>
      </c>
      <c r="P94" s="241" t="s">
        <v>401</v>
      </c>
      <c r="Q94" s="244">
        <v>5.5</v>
      </c>
      <c r="R94" s="35">
        <v>44488</v>
      </c>
      <c r="S94" s="35"/>
      <c r="T94" s="11" t="s">
        <v>529</v>
      </c>
      <c r="U94" s="52">
        <v>44467</v>
      </c>
      <c r="V94" s="251">
        <v>44467</v>
      </c>
      <c r="W94" s="251" t="s">
        <v>44</v>
      </c>
      <c r="X94" s="251">
        <v>44467</v>
      </c>
      <c r="Y94" s="251">
        <v>44467</v>
      </c>
      <c r="Z94" s="35"/>
      <c r="AA94" s="202" t="s">
        <v>807</v>
      </c>
      <c r="AB94" s="265" t="s">
        <v>808</v>
      </c>
      <c r="AC94" s="265" t="s">
        <v>294</v>
      </c>
      <c r="AD94" s="265" t="s">
        <v>294</v>
      </c>
      <c r="AE94" s="265"/>
      <c r="AF94" s="265" t="s">
        <v>294</v>
      </c>
      <c r="AG94" s="224"/>
      <c r="AP94" s="328" t="s">
        <v>1050</v>
      </c>
    </row>
    <row r="95" ht="85.5" customHeight="1" spans="1:42">
      <c r="A95" s="213">
        <v>13</v>
      </c>
      <c r="B95" s="214" t="s">
        <v>1051</v>
      </c>
      <c r="C95" s="213" t="s">
        <v>802</v>
      </c>
      <c r="D95" s="13" t="s">
        <v>1052</v>
      </c>
      <c r="E95" s="12" t="s">
        <v>1053</v>
      </c>
      <c r="F95" s="11" t="s">
        <v>854</v>
      </c>
      <c r="G95" s="323" t="s">
        <v>1054</v>
      </c>
      <c r="H95" s="11"/>
      <c r="I95" s="11"/>
      <c r="J95" s="11" t="s">
        <v>802</v>
      </c>
      <c r="K95" s="229" t="s">
        <v>1055</v>
      </c>
      <c r="L95" s="229" t="s">
        <v>1056</v>
      </c>
      <c r="M95" s="35" t="s">
        <v>1057</v>
      </c>
      <c r="N95" s="60">
        <v>44504</v>
      </c>
      <c r="O95" s="60">
        <v>44529</v>
      </c>
      <c r="P95" s="241" t="s">
        <v>401</v>
      </c>
      <c r="Q95" s="244">
        <v>0.3</v>
      </c>
      <c r="R95" s="35">
        <v>44546</v>
      </c>
      <c r="S95" s="35"/>
      <c r="T95" s="11" t="s">
        <v>960</v>
      </c>
      <c r="U95" s="52">
        <v>44530</v>
      </c>
      <c r="V95" s="52">
        <v>44530</v>
      </c>
      <c r="W95" s="251" t="s">
        <v>44</v>
      </c>
      <c r="X95" s="52">
        <v>44530</v>
      </c>
      <c r="Y95" s="52">
        <v>44530</v>
      </c>
      <c r="Z95" s="35"/>
      <c r="AA95" s="202" t="s">
        <v>807</v>
      </c>
      <c r="AB95" s="265" t="s">
        <v>808</v>
      </c>
      <c r="AC95" s="265" t="s">
        <v>294</v>
      </c>
      <c r="AD95" s="265" t="s">
        <v>294</v>
      </c>
      <c r="AE95" s="265"/>
      <c r="AF95" s="265" t="s">
        <v>294</v>
      </c>
      <c r="AG95" s="224"/>
      <c r="AP95" s="328" t="s">
        <v>1058</v>
      </c>
    </row>
    <row r="96" ht="82.5" spans="1:42">
      <c r="A96" s="213">
        <v>14</v>
      </c>
      <c r="B96" s="214" t="s">
        <v>1059</v>
      </c>
      <c r="C96" s="213" t="s">
        <v>1060</v>
      </c>
      <c r="D96" s="13" t="s">
        <v>1061</v>
      </c>
      <c r="E96" s="12" t="s">
        <v>1062</v>
      </c>
      <c r="F96" s="11" t="s">
        <v>416</v>
      </c>
      <c r="G96" s="323" t="s">
        <v>1063</v>
      </c>
      <c r="H96" s="11"/>
      <c r="I96" s="11"/>
      <c r="J96" s="11" t="s">
        <v>684</v>
      </c>
      <c r="K96" s="232" t="s">
        <v>1064</v>
      </c>
      <c r="L96" s="229" t="s">
        <v>1065</v>
      </c>
      <c r="M96" s="35" t="s">
        <v>1066</v>
      </c>
      <c r="N96" s="60">
        <v>44539</v>
      </c>
      <c r="O96" s="60">
        <v>44578</v>
      </c>
      <c r="P96" s="241" t="s">
        <v>401</v>
      </c>
      <c r="Q96" s="244">
        <v>5.5</v>
      </c>
      <c r="R96" s="35">
        <v>44586</v>
      </c>
      <c r="S96" s="35"/>
      <c r="T96" s="11" t="s">
        <v>476</v>
      </c>
      <c r="U96" s="52">
        <v>44580</v>
      </c>
      <c r="V96" s="52">
        <v>44580</v>
      </c>
      <c r="W96" s="251" t="s">
        <v>44</v>
      </c>
      <c r="X96" s="251">
        <v>44579</v>
      </c>
      <c r="Y96" s="251">
        <v>44579</v>
      </c>
      <c r="Z96" s="35" t="s">
        <v>1067</v>
      </c>
      <c r="AA96" s="202" t="s">
        <v>807</v>
      </c>
      <c r="AB96" s="265" t="s">
        <v>808</v>
      </c>
      <c r="AC96" s="265" t="s">
        <v>294</v>
      </c>
      <c r="AD96" s="265" t="s">
        <v>294</v>
      </c>
      <c r="AE96" s="265"/>
      <c r="AF96" s="265" t="s">
        <v>294</v>
      </c>
      <c r="AG96" s="224"/>
      <c r="AO96" s="328" t="s">
        <v>1068</v>
      </c>
      <c r="AP96" s="328" t="s">
        <v>1069</v>
      </c>
    </row>
    <row r="97" ht="132" spans="1:42">
      <c r="A97" s="213">
        <v>15</v>
      </c>
      <c r="B97" s="214" t="s">
        <v>1070</v>
      </c>
      <c r="C97" s="213" t="s">
        <v>901</v>
      </c>
      <c r="D97" s="13" t="s">
        <v>1071</v>
      </c>
      <c r="E97" s="12" t="s">
        <v>1072</v>
      </c>
      <c r="F97" s="11" t="s">
        <v>854</v>
      </c>
      <c r="G97" s="323" t="s">
        <v>1073</v>
      </c>
      <c r="H97" s="11"/>
      <c r="I97" s="11"/>
      <c r="J97" s="11" t="s">
        <v>901</v>
      </c>
      <c r="K97" s="229" t="s">
        <v>1074</v>
      </c>
      <c r="L97" s="229" t="s">
        <v>1075</v>
      </c>
      <c r="M97" s="35" t="s">
        <v>1076</v>
      </c>
      <c r="N97" s="60">
        <v>44532</v>
      </c>
      <c r="O97" s="60">
        <v>44558</v>
      </c>
      <c r="P97" s="241" t="s">
        <v>401</v>
      </c>
      <c r="Q97" s="244">
        <v>0.3</v>
      </c>
      <c r="R97" s="35">
        <v>44559</v>
      </c>
      <c r="S97" s="35"/>
      <c r="T97" s="11" t="s">
        <v>529</v>
      </c>
      <c r="U97" s="52">
        <v>44559</v>
      </c>
      <c r="V97" s="52">
        <v>44559</v>
      </c>
      <c r="W97" s="251" t="s">
        <v>44</v>
      </c>
      <c r="X97" s="251">
        <v>44559</v>
      </c>
      <c r="Y97" s="251">
        <v>44559</v>
      </c>
      <c r="Z97" s="35"/>
      <c r="AA97" s="202" t="s">
        <v>807</v>
      </c>
      <c r="AB97" s="265" t="s">
        <v>808</v>
      </c>
      <c r="AC97" s="259" t="s">
        <v>294</v>
      </c>
      <c r="AD97" s="224" t="s">
        <v>1077</v>
      </c>
      <c r="AE97" s="224" t="s">
        <v>1077</v>
      </c>
      <c r="AF97" s="224" t="s">
        <v>1077</v>
      </c>
      <c r="AG97" s="224"/>
      <c r="AP97" s="328" t="s">
        <v>1078</v>
      </c>
    </row>
    <row r="98" ht="82.5" customHeight="1" spans="1:42">
      <c r="A98" s="213">
        <v>16</v>
      </c>
      <c r="B98" s="214" t="s">
        <v>1079</v>
      </c>
      <c r="C98" s="213" t="s">
        <v>1080</v>
      </c>
      <c r="D98" s="215" t="s">
        <v>1081</v>
      </c>
      <c r="E98" s="12" t="s">
        <v>1082</v>
      </c>
      <c r="F98" s="11" t="s">
        <v>408</v>
      </c>
      <c r="G98" s="323" t="s">
        <v>1083</v>
      </c>
      <c r="H98" s="11"/>
      <c r="I98" s="11"/>
      <c r="J98" s="11" t="s">
        <v>1080</v>
      </c>
      <c r="K98" s="229" t="s">
        <v>1084</v>
      </c>
      <c r="L98" s="229" t="s">
        <v>1085</v>
      </c>
      <c r="M98" s="35" t="s">
        <v>1086</v>
      </c>
      <c r="N98" s="60">
        <v>44543</v>
      </c>
      <c r="O98" s="60">
        <v>44574</v>
      </c>
      <c r="P98" s="241" t="s">
        <v>401</v>
      </c>
      <c r="Q98" s="244">
        <v>1.2</v>
      </c>
      <c r="R98" s="35">
        <v>44585</v>
      </c>
      <c r="S98" s="35"/>
      <c r="T98" s="11" t="s">
        <v>529</v>
      </c>
      <c r="U98" s="52">
        <v>44575</v>
      </c>
      <c r="V98" s="52">
        <v>44575</v>
      </c>
      <c r="W98" s="251" t="s">
        <v>44</v>
      </c>
      <c r="X98" s="251">
        <v>44575</v>
      </c>
      <c r="Y98" s="251">
        <v>44575</v>
      </c>
      <c r="Z98" s="35" t="s">
        <v>1067</v>
      </c>
      <c r="AA98" s="202" t="s">
        <v>807</v>
      </c>
      <c r="AB98" s="265" t="s">
        <v>808</v>
      </c>
      <c r="AC98" s="259" t="s">
        <v>294</v>
      </c>
      <c r="AD98" s="224" t="s">
        <v>1077</v>
      </c>
      <c r="AE98" s="224" t="s">
        <v>1077</v>
      </c>
      <c r="AF98" s="224" t="s">
        <v>1077</v>
      </c>
      <c r="AG98" s="224"/>
      <c r="AP98" s="328" t="s">
        <v>1087</v>
      </c>
    </row>
    <row r="99" ht="82.5" spans="1:42">
      <c r="A99" s="213">
        <v>17</v>
      </c>
      <c r="B99" s="214" t="s">
        <v>1088</v>
      </c>
      <c r="C99" s="213" t="s">
        <v>1080</v>
      </c>
      <c r="D99" s="216"/>
      <c r="E99" s="12" t="s">
        <v>1089</v>
      </c>
      <c r="F99" s="11" t="s">
        <v>751</v>
      </c>
      <c r="G99" s="323" t="s">
        <v>1090</v>
      </c>
      <c r="H99" s="11"/>
      <c r="I99" s="11"/>
      <c r="J99" s="11" t="s">
        <v>1080</v>
      </c>
      <c r="K99" s="229" t="s">
        <v>1091</v>
      </c>
      <c r="L99" s="229" t="s">
        <v>1092</v>
      </c>
      <c r="M99" s="35" t="s">
        <v>1093</v>
      </c>
      <c r="N99" s="60">
        <v>44543</v>
      </c>
      <c r="O99" s="60">
        <v>44574</v>
      </c>
      <c r="P99" s="241" t="s">
        <v>401</v>
      </c>
      <c r="Q99" s="244">
        <v>0.2</v>
      </c>
      <c r="R99" s="35">
        <v>44585</v>
      </c>
      <c r="S99" s="35"/>
      <c r="T99" s="11" t="s">
        <v>529</v>
      </c>
      <c r="U99" s="52">
        <v>44575</v>
      </c>
      <c r="V99" s="52">
        <v>44575</v>
      </c>
      <c r="W99" s="251" t="s">
        <v>44</v>
      </c>
      <c r="X99" s="251">
        <v>44575</v>
      </c>
      <c r="Y99" s="251">
        <v>44575</v>
      </c>
      <c r="Z99" s="35" t="s">
        <v>1067</v>
      </c>
      <c r="AA99" s="202" t="s">
        <v>807</v>
      </c>
      <c r="AB99" s="265" t="s">
        <v>808</v>
      </c>
      <c r="AC99" s="259" t="s">
        <v>294</v>
      </c>
      <c r="AD99" s="224" t="s">
        <v>1077</v>
      </c>
      <c r="AE99" s="224" t="s">
        <v>1077</v>
      </c>
      <c r="AF99" s="224" t="s">
        <v>1077</v>
      </c>
      <c r="AG99" s="224"/>
      <c r="AP99" s="328" t="s">
        <v>1094</v>
      </c>
    </row>
    <row r="100" ht="99" spans="1:42">
      <c r="A100" s="213">
        <v>18</v>
      </c>
      <c r="B100" s="214" t="s">
        <v>1095</v>
      </c>
      <c r="C100" s="213" t="s">
        <v>1096</v>
      </c>
      <c r="D100" s="13" t="s">
        <v>1097</v>
      </c>
      <c r="E100" s="12" t="s">
        <v>1098</v>
      </c>
      <c r="F100" s="11" t="s">
        <v>416</v>
      </c>
      <c r="G100" s="323" t="s">
        <v>1099</v>
      </c>
      <c r="H100" s="11"/>
      <c r="I100" s="11"/>
      <c r="J100" s="11" t="s">
        <v>684</v>
      </c>
      <c r="K100" s="232" t="s">
        <v>1100</v>
      </c>
      <c r="L100" s="229" t="s">
        <v>1101</v>
      </c>
      <c r="M100" s="51" t="s">
        <v>1102</v>
      </c>
      <c r="N100" s="60">
        <v>44543</v>
      </c>
      <c r="O100" s="60">
        <v>44579</v>
      </c>
      <c r="P100" s="241" t="s">
        <v>401</v>
      </c>
      <c r="Q100" s="244">
        <v>9.25</v>
      </c>
      <c r="R100" s="35">
        <v>44586</v>
      </c>
      <c r="S100" s="35"/>
      <c r="T100" s="11" t="s">
        <v>960</v>
      </c>
      <c r="U100" s="52">
        <v>44580</v>
      </c>
      <c r="V100" s="52">
        <v>44580</v>
      </c>
      <c r="W100" s="251" t="s">
        <v>44</v>
      </c>
      <c r="X100" s="251">
        <v>44579</v>
      </c>
      <c r="Y100" s="251">
        <v>44579</v>
      </c>
      <c r="Z100" s="35" t="s">
        <v>1067</v>
      </c>
      <c r="AA100" s="280"/>
      <c r="AB100" s="281" t="s">
        <v>1103</v>
      </c>
      <c r="AC100" s="224" t="s">
        <v>294</v>
      </c>
      <c r="AD100" s="257" t="s">
        <v>46</v>
      </c>
      <c r="AE100" s="283"/>
      <c r="AF100" s="224"/>
      <c r="AG100" s="224"/>
      <c r="AO100" s="330" t="s">
        <v>1104</v>
      </c>
      <c r="AP100" s="331" t="s">
        <v>1105</v>
      </c>
    </row>
    <row r="101" ht="66" spans="1:42">
      <c r="A101" s="213">
        <v>1</v>
      </c>
      <c r="B101" s="214" t="s">
        <v>1106</v>
      </c>
      <c r="C101" s="213" t="s">
        <v>1107</v>
      </c>
      <c r="D101" s="215" t="s">
        <v>1108</v>
      </c>
      <c r="E101" s="12" t="s">
        <v>210</v>
      </c>
      <c r="F101" s="11" t="s">
        <v>416</v>
      </c>
      <c r="G101" s="323" t="s">
        <v>211</v>
      </c>
      <c r="H101" s="11"/>
      <c r="I101" s="11"/>
      <c r="J101" s="11" t="s">
        <v>694</v>
      </c>
      <c r="K101" s="229" t="s">
        <v>1109</v>
      </c>
      <c r="L101" s="229" t="s">
        <v>1110</v>
      </c>
      <c r="M101" s="35" t="s">
        <v>1111</v>
      </c>
      <c r="N101" s="60">
        <v>44578</v>
      </c>
      <c r="O101" s="60">
        <v>44631</v>
      </c>
      <c r="P101" s="241" t="s">
        <v>401</v>
      </c>
      <c r="Q101" s="244">
        <v>1.2</v>
      </c>
      <c r="R101" s="35">
        <v>44642</v>
      </c>
      <c r="S101" s="35"/>
      <c r="T101" s="11" t="s">
        <v>960</v>
      </c>
      <c r="U101" s="52">
        <v>44634</v>
      </c>
      <c r="V101" s="52">
        <v>44637</v>
      </c>
      <c r="W101" s="251" t="s">
        <v>44</v>
      </c>
      <c r="X101" s="251">
        <v>44637</v>
      </c>
      <c r="Y101" s="251">
        <v>44637</v>
      </c>
      <c r="Z101" s="35" t="s">
        <v>1112</v>
      </c>
      <c r="AA101" s="202" t="s">
        <v>807</v>
      </c>
      <c r="AB101" s="265" t="s">
        <v>808</v>
      </c>
      <c r="AC101" s="259" t="s">
        <v>294</v>
      </c>
      <c r="AD101" s="224" t="s">
        <v>294</v>
      </c>
      <c r="AE101" s="224"/>
      <c r="AF101" s="224"/>
      <c r="AG101" s="224"/>
      <c r="AP101" s="328" t="s">
        <v>1113</v>
      </c>
    </row>
    <row r="102" ht="82.5" spans="1:42">
      <c r="A102" s="213">
        <v>2</v>
      </c>
      <c r="B102" s="214" t="s">
        <v>1114</v>
      </c>
      <c r="C102" s="213" t="s">
        <v>1107</v>
      </c>
      <c r="D102" s="220"/>
      <c r="E102" s="12" t="s">
        <v>1115</v>
      </c>
      <c r="F102" s="11" t="s">
        <v>509</v>
      </c>
      <c r="G102" s="323" t="s">
        <v>1116</v>
      </c>
      <c r="H102" s="11"/>
      <c r="I102" s="11"/>
      <c r="J102" s="11" t="s">
        <v>694</v>
      </c>
      <c r="K102" s="229" t="s">
        <v>1117</v>
      </c>
      <c r="L102" s="229" t="s">
        <v>1118</v>
      </c>
      <c r="M102" s="35" t="s">
        <v>1119</v>
      </c>
      <c r="N102" s="60">
        <v>44578</v>
      </c>
      <c r="O102" s="60">
        <v>44631</v>
      </c>
      <c r="P102" s="241" t="s">
        <v>401</v>
      </c>
      <c r="Q102" s="244">
        <v>0.2</v>
      </c>
      <c r="R102" s="35">
        <v>44642</v>
      </c>
      <c r="S102" s="35"/>
      <c r="T102" s="11" t="s">
        <v>960</v>
      </c>
      <c r="U102" s="52">
        <v>44634</v>
      </c>
      <c r="V102" s="52">
        <v>44637</v>
      </c>
      <c r="W102" s="251" t="s">
        <v>44</v>
      </c>
      <c r="X102" s="251">
        <v>44637</v>
      </c>
      <c r="Y102" s="251">
        <v>44637</v>
      </c>
      <c r="Z102" s="35" t="s">
        <v>1112</v>
      </c>
      <c r="AA102" s="202" t="s">
        <v>807</v>
      </c>
      <c r="AB102" s="265" t="s">
        <v>808</v>
      </c>
      <c r="AC102" s="259" t="s">
        <v>294</v>
      </c>
      <c r="AD102" s="224" t="s">
        <v>294</v>
      </c>
      <c r="AE102" s="224"/>
      <c r="AF102" s="224"/>
      <c r="AG102" s="224"/>
      <c r="AP102" s="328" t="s">
        <v>1120</v>
      </c>
    </row>
    <row r="103" ht="99" spans="1:42">
      <c r="A103" s="213">
        <v>3</v>
      </c>
      <c r="B103" s="214" t="s">
        <v>1121</v>
      </c>
      <c r="C103" s="213" t="s">
        <v>1107</v>
      </c>
      <c r="D103" s="216"/>
      <c r="E103" s="12" t="s">
        <v>1122</v>
      </c>
      <c r="F103" s="11" t="s">
        <v>516</v>
      </c>
      <c r="G103" s="323" t="s">
        <v>1123</v>
      </c>
      <c r="H103" s="11"/>
      <c r="I103" s="11"/>
      <c r="J103" s="11" t="s">
        <v>694</v>
      </c>
      <c r="K103" s="229" t="s">
        <v>1124</v>
      </c>
      <c r="L103" s="229" t="s">
        <v>1125</v>
      </c>
      <c r="M103" s="35" t="s">
        <v>1126</v>
      </c>
      <c r="N103" s="60">
        <v>44578</v>
      </c>
      <c r="O103" s="60">
        <v>44631</v>
      </c>
      <c r="P103" s="241" t="s">
        <v>401</v>
      </c>
      <c r="Q103" s="244">
        <v>0.2</v>
      </c>
      <c r="R103" s="35">
        <v>44642</v>
      </c>
      <c r="S103" s="35"/>
      <c r="T103" s="11" t="s">
        <v>960</v>
      </c>
      <c r="U103" s="52">
        <v>44634</v>
      </c>
      <c r="V103" s="52">
        <v>44637</v>
      </c>
      <c r="W103" s="251" t="s">
        <v>44</v>
      </c>
      <c r="X103" s="251">
        <v>44637</v>
      </c>
      <c r="Y103" s="251">
        <v>44637</v>
      </c>
      <c r="Z103" s="35" t="s">
        <v>1127</v>
      </c>
      <c r="AA103" s="202" t="s">
        <v>807</v>
      </c>
      <c r="AB103" s="265" t="s">
        <v>808</v>
      </c>
      <c r="AC103" s="259" t="s">
        <v>294</v>
      </c>
      <c r="AD103" s="224" t="s">
        <v>294</v>
      </c>
      <c r="AE103" s="224"/>
      <c r="AF103" s="224"/>
      <c r="AG103" s="224"/>
      <c r="AP103" s="328" t="s">
        <v>1128</v>
      </c>
    </row>
    <row r="104" s="201" customFormat="1" ht="82.5" spans="1:42">
      <c r="A104" s="11">
        <v>4</v>
      </c>
      <c r="B104" s="12" t="s">
        <v>1129</v>
      </c>
      <c r="C104" s="11" t="s">
        <v>1130</v>
      </c>
      <c r="D104" s="13" t="s">
        <v>1131</v>
      </c>
      <c r="E104" s="12" t="s">
        <v>298</v>
      </c>
      <c r="F104" s="11" t="s">
        <v>416</v>
      </c>
      <c r="G104" s="323" t="s">
        <v>299</v>
      </c>
      <c r="H104" s="11"/>
      <c r="I104" s="11"/>
      <c r="J104" s="11" t="s">
        <v>1132</v>
      </c>
      <c r="K104" s="229" t="s">
        <v>1133</v>
      </c>
      <c r="L104" s="229" t="s">
        <v>1134</v>
      </c>
      <c r="M104" s="35" t="s">
        <v>1135</v>
      </c>
      <c r="N104" s="60">
        <v>44578</v>
      </c>
      <c r="O104" s="60">
        <v>44648</v>
      </c>
      <c r="P104" s="40" t="s">
        <v>634</v>
      </c>
      <c r="Q104" s="244">
        <v>1</v>
      </c>
      <c r="R104" s="35">
        <v>44654</v>
      </c>
      <c r="S104" s="35"/>
      <c r="T104" s="11" t="s">
        <v>476</v>
      </c>
      <c r="U104" s="52">
        <v>44650</v>
      </c>
      <c r="V104" s="52">
        <v>44650</v>
      </c>
      <c r="W104" s="52" t="s">
        <v>44</v>
      </c>
      <c r="X104" s="52">
        <v>44651</v>
      </c>
      <c r="Y104" s="52">
        <v>44651</v>
      </c>
      <c r="Z104" s="35" t="s">
        <v>1136</v>
      </c>
      <c r="AA104" s="202" t="s">
        <v>807</v>
      </c>
      <c r="AB104" s="265" t="s">
        <v>808</v>
      </c>
      <c r="AC104" s="259" t="s">
        <v>294</v>
      </c>
      <c r="AD104" s="224" t="s">
        <v>294</v>
      </c>
      <c r="AE104" s="224"/>
      <c r="AF104" s="224"/>
      <c r="AG104" s="234"/>
      <c r="AP104" s="328" t="s">
        <v>1137</v>
      </c>
    </row>
    <row r="105" ht="66" spans="1:42">
      <c r="A105" s="213">
        <v>5</v>
      </c>
      <c r="B105" s="214" t="s">
        <v>1138</v>
      </c>
      <c r="C105" s="213" t="s">
        <v>1139</v>
      </c>
      <c r="D105" s="13" t="s">
        <v>1140</v>
      </c>
      <c r="E105" s="12" t="s">
        <v>1141</v>
      </c>
      <c r="F105" s="11" t="s">
        <v>416</v>
      </c>
      <c r="G105" s="323" t="s">
        <v>1142</v>
      </c>
      <c r="H105" s="11"/>
      <c r="I105" s="11"/>
      <c r="J105" s="11" t="s">
        <v>1143</v>
      </c>
      <c r="K105" s="229" t="s">
        <v>1144</v>
      </c>
      <c r="L105" s="229" t="s">
        <v>1145</v>
      </c>
      <c r="M105" s="35" t="s">
        <v>1146</v>
      </c>
      <c r="N105" s="60">
        <v>44719</v>
      </c>
      <c r="O105" s="60">
        <v>44767</v>
      </c>
      <c r="P105" s="241" t="s">
        <v>401</v>
      </c>
      <c r="Q105" s="244">
        <v>5</v>
      </c>
      <c r="R105" s="35">
        <v>44852</v>
      </c>
      <c r="S105" s="35"/>
      <c r="T105" s="11" t="s">
        <v>476</v>
      </c>
      <c r="U105" s="52">
        <v>44768</v>
      </c>
      <c r="V105" s="52">
        <v>44768</v>
      </c>
      <c r="W105" s="251" t="s">
        <v>44</v>
      </c>
      <c r="X105" s="251">
        <v>44768</v>
      </c>
      <c r="Y105" s="251">
        <v>44768</v>
      </c>
      <c r="Z105" s="35" t="s">
        <v>1147</v>
      </c>
      <c r="AA105" s="202" t="s">
        <v>1148</v>
      </c>
      <c r="AB105" s="282" t="s">
        <v>1103</v>
      </c>
      <c r="AC105" s="224" t="s">
        <v>294</v>
      </c>
      <c r="AD105" s="224" t="s">
        <v>294</v>
      </c>
      <c r="AE105" s="224"/>
      <c r="AF105" s="224"/>
      <c r="AG105" s="224"/>
      <c r="AP105" s="328" t="s">
        <v>1149</v>
      </c>
    </row>
    <row r="106" ht="82.5" spans="1:42">
      <c r="A106" s="213">
        <v>6</v>
      </c>
      <c r="B106" s="214" t="s">
        <v>1150</v>
      </c>
      <c r="C106" s="213" t="s">
        <v>1151</v>
      </c>
      <c r="D106" s="215" t="s">
        <v>1152</v>
      </c>
      <c r="E106" s="12" t="s">
        <v>298</v>
      </c>
      <c r="F106" s="11" t="s">
        <v>416</v>
      </c>
      <c r="G106" s="323" t="s">
        <v>299</v>
      </c>
      <c r="H106" s="11"/>
      <c r="I106" s="11"/>
      <c r="J106" s="11" t="s">
        <v>1151</v>
      </c>
      <c r="K106" s="229" t="s">
        <v>1153</v>
      </c>
      <c r="L106" s="229" t="s">
        <v>1154</v>
      </c>
      <c r="M106" s="35" t="s">
        <v>1155</v>
      </c>
      <c r="N106" s="60">
        <v>44728</v>
      </c>
      <c r="O106" s="60">
        <v>44757</v>
      </c>
      <c r="P106" s="241" t="s">
        <v>401</v>
      </c>
      <c r="Q106" s="244">
        <v>5</v>
      </c>
      <c r="R106" s="35">
        <v>44845</v>
      </c>
      <c r="S106" s="35"/>
      <c r="T106" s="11" t="s">
        <v>529</v>
      </c>
      <c r="U106" s="251">
        <v>44760</v>
      </c>
      <c r="V106" s="251">
        <v>44760</v>
      </c>
      <c r="W106" s="251" t="s">
        <v>44</v>
      </c>
      <c r="X106" s="251">
        <v>44760</v>
      </c>
      <c r="Y106" s="251">
        <v>44760</v>
      </c>
      <c r="Z106" s="35" t="s">
        <v>1147</v>
      </c>
      <c r="AA106" s="202" t="s">
        <v>1148</v>
      </c>
      <c r="AB106" s="282" t="s">
        <v>1103</v>
      </c>
      <c r="AC106" s="224" t="s">
        <v>294</v>
      </c>
      <c r="AD106" s="224" t="s">
        <v>294</v>
      </c>
      <c r="AE106" s="224"/>
      <c r="AF106" s="224" t="s">
        <v>294</v>
      </c>
      <c r="AG106" s="224"/>
      <c r="AP106" s="328" t="s">
        <v>1156</v>
      </c>
    </row>
    <row r="107" ht="82.5" spans="1:42">
      <c r="A107" s="213">
        <v>7</v>
      </c>
      <c r="B107" s="214" t="s">
        <v>1157</v>
      </c>
      <c r="C107" s="213" t="s">
        <v>1158</v>
      </c>
      <c r="D107" s="216"/>
      <c r="E107" s="12" t="s">
        <v>1159</v>
      </c>
      <c r="F107" s="11" t="s">
        <v>408</v>
      </c>
      <c r="G107" s="323" t="s">
        <v>1160</v>
      </c>
      <c r="H107" s="11"/>
      <c r="I107" s="11"/>
      <c r="J107" s="11" t="s">
        <v>1158</v>
      </c>
      <c r="K107" s="229" t="s">
        <v>1161</v>
      </c>
      <c r="L107" s="229" t="s">
        <v>1162</v>
      </c>
      <c r="M107" s="35" t="s">
        <v>1163</v>
      </c>
      <c r="N107" s="60">
        <v>44728</v>
      </c>
      <c r="O107" s="60">
        <v>44757</v>
      </c>
      <c r="P107" s="241" t="s">
        <v>401</v>
      </c>
      <c r="Q107" s="244">
        <v>5</v>
      </c>
      <c r="R107" s="35">
        <v>44845</v>
      </c>
      <c r="S107" s="35"/>
      <c r="T107" s="11" t="s">
        <v>529</v>
      </c>
      <c r="U107" s="251">
        <v>44760</v>
      </c>
      <c r="V107" s="251">
        <v>44760</v>
      </c>
      <c r="W107" s="251" t="s">
        <v>44</v>
      </c>
      <c r="X107" s="251">
        <v>44760</v>
      </c>
      <c r="Y107" s="251">
        <v>44760</v>
      </c>
      <c r="Z107" s="35" t="s">
        <v>1147</v>
      </c>
      <c r="AA107" s="202" t="s">
        <v>1148</v>
      </c>
      <c r="AB107" s="282" t="s">
        <v>1103</v>
      </c>
      <c r="AC107" s="224" t="s">
        <v>294</v>
      </c>
      <c r="AD107" s="224" t="s">
        <v>294</v>
      </c>
      <c r="AE107" s="224"/>
      <c r="AF107" s="224" t="s">
        <v>294</v>
      </c>
      <c r="AG107" s="224"/>
      <c r="AP107" s="328" t="s">
        <v>1164</v>
      </c>
    </row>
    <row r="108" s="201" customFormat="1" ht="115.5" spans="1:42">
      <c r="A108" s="213">
        <v>8</v>
      </c>
      <c r="B108" s="12" t="s">
        <v>1165</v>
      </c>
      <c r="C108" s="11" t="s">
        <v>1166</v>
      </c>
      <c r="D108" s="215" t="s">
        <v>1167</v>
      </c>
      <c r="E108" s="12" t="s">
        <v>1168</v>
      </c>
      <c r="F108" s="11" t="s">
        <v>416</v>
      </c>
      <c r="G108" s="11" t="s">
        <v>1169</v>
      </c>
      <c r="H108" s="11"/>
      <c r="I108" s="11"/>
      <c r="J108" s="11" t="s">
        <v>1170</v>
      </c>
      <c r="K108" s="229" t="s">
        <v>1171</v>
      </c>
      <c r="L108" s="229" t="s">
        <v>1172</v>
      </c>
      <c r="M108" s="51" t="s">
        <v>1173</v>
      </c>
      <c r="N108" s="60">
        <v>44735</v>
      </c>
      <c r="O108" s="60">
        <v>44812</v>
      </c>
      <c r="P108" s="241" t="s">
        <v>401</v>
      </c>
      <c r="Q108" s="244">
        <v>2.5</v>
      </c>
      <c r="R108" s="35">
        <v>44852</v>
      </c>
      <c r="S108" s="35"/>
      <c r="T108" s="11" t="s">
        <v>476</v>
      </c>
      <c r="U108" s="52">
        <v>44813</v>
      </c>
      <c r="V108" s="52">
        <v>44813</v>
      </c>
      <c r="W108" s="251" t="s">
        <v>44</v>
      </c>
      <c r="X108" s="52">
        <v>44813</v>
      </c>
      <c r="Y108" s="52">
        <v>44813</v>
      </c>
      <c r="Z108" s="35" t="s">
        <v>1174</v>
      </c>
      <c r="AA108" s="202" t="s">
        <v>1148</v>
      </c>
      <c r="AB108" s="282" t="s">
        <v>1103</v>
      </c>
      <c r="AC108" s="234" t="s">
        <v>294</v>
      </c>
      <c r="AD108" s="224" t="s">
        <v>294</v>
      </c>
      <c r="AE108" s="283"/>
      <c r="AF108" s="234"/>
      <c r="AG108" s="234"/>
      <c r="AO108" s="328" t="s">
        <v>1175</v>
      </c>
      <c r="AP108" s="262"/>
    </row>
    <row r="109" s="201" customFormat="1" ht="165" spans="1:42">
      <c r="A109" s="213">
        <v>9</v>
      </c>
      <c r="B109" s="12" t="s">
        <v>1176</v>
      </c>
      <c r="C109" s="11" t="s">
        <v>1177</v>
      </c>
      <c r="D109" s="220"/>
      <c r="E109" s="12" t="s">
        <v>1178</v>
      </c>
      <c r="F109" s="11" t="s">
        <v>509</v>
      </c>
      <c r="G109" s="323" t="s">
        <v>1179</v>
      </c>
      <c r="H109" s="11"/>
      <c r="I109" s="11"/>
      <c r="J109" s="11" t="s">
        <v>1170</v>
      </c>
      <c r="K109" s="229" t="s">
        <v>1180</v>
      </c>
      <c r="L109" s="229" t="s">
        <v>1181</v>
      </c>
      <c r="M109" s="35" t="s">
        <v>1182</v>
      </c>
      <c r="N109" s="60">
        <v>44735</v>
      </c>
      <c r="O109" s="60">
        <v>44812</v>
      </c>
      <c r="P109" s="241" t="s">
        <v>401</v>
      </c>
      <c r="Q109" s="244">
        <v>0.5</v>
      </c>
      <c r="R109" s="35">
        <v>44852</v>
      </c>
      <c r="S109" s="35"/>
      <c r="T109" s="11" t="s">
        <v>476</v>
      </c>
      <c r="U109" s="52">
        <v>44813</v>
      </c>
      <c r="V109" s="52">
        <v>44813</v>
      </c>
      <c r="W109" s="251" t="s">
        <v>44</v>
      </c>
      <c r="X109" s="52">
        <v>44813</v>
      </c>
      <c r="Y109" s="52">
        <v>44813</v>
      </c>
      <c r="Z109" s="35" t="s">
        <v>152</v>
      </c>
      <c r="AA109" s="202" t="s">
        <v>1148</v>
      </c>
      <c r="AB109" s="282" t="s">
        <v>1103</v>
      </c>
      <c r="AC109" s="224" t="s">
        <v>294</v>
      </c>
      <c r="AD109" s="224" t="s">
        <v>294</v>
      </c>
      <c r="AE109" s="224"/>
      <c r="AF109" s="234"/>
      <c r="AG109" s="234"/>
      <c r="AP109" s="328" t="s">
        <v>1183</v>
      </c>
    </row>
    <row r="110" s="201" customFormat="1" ht="115.5" spans="1:42">
      <c r="A110" s="213">
        <v>10</v>
      </c>
      <c r="B110" s="12" t="s">
        <v>1184</v>
      </c>
      <c r="C110" s="11" t="s">
        <v>1185</v>
      </c>
      <c r="D110" s="220"/>
      <c r="E110" s="12" t="s">
        <v>1186</v>
      </c>
      <c r="F110" s="11" t="s">
        <v>408</v>
      </c>
      <c r="G110" s="11" t="s">
        <v>1187</v>
      </c>
      <c r="H110" s="11"/>
      <c r="I110" s="11"/>
      <c r="J110" s="11" t="s">
        <v>1170</v>
      </c>
      <c r="K110" s="229" t="s">
        <v>1188</v>
      </c>
      <c r="L110" s="229" t="s">
        <v>1189</v>
      </c>
      <c r="M110" s="35" t="s">
        <v>1190</v>
      </c>
      <c r="N110" s="60">
        <v>44735</v>
      </c>
      <c r="O110" s="60">
        <v>44812</v>
      </c>
      <c r="P110" s="241" t="s">
        <v>401</v>
      </c>
      <c r="Q110" s="244">
        <v>2.5</v>
      </c>
      <c r="R110" s="35">
        <v>44852</v>
      </c>
      <c r="S110" s="35"/>
      <c r="T110" s="11" t="s">
        <v>476</v>
      </c>
      <c r="U110" s="52">
        <v>44813</v>
      </c>
      <c r="V110" s="52">
        <v>44813</v>
      </c>
      <c r="W110" s="251" t="s">
        <v>44</v>
      </c>
      <c r="X110" s="52">
        <v>44813</v>
      </c>
      <c r="Y110" s="52">
        <v>44813</v>
      </c>
      <c r="Z110" s="35" t="s">
        <v>152</v>
      </c>
      <c r="AA110" s="202" t="s">
        <v>1148</v>
      </c>
      <c r="AB110" s="282" t="s">
        <v>1103</v>
      </c>
      <c r="AC110" s="224" t="s">
        <v>294</v>
      </c>
      <c r="AD110" s="224" t="s">
        <v>294</v>
      </c>
      <c r="AE110" s="224"/>
      <c r="AF110" s="234"/>
      <c r="AG110" s="234"/>
      <c r="AP110" s="328" t="s">
        <v>1191</v>
      </c>
    </row>
    <row r="111" s="201" customFormat="1" ht="165" spans="1:42">
      <c r="A111" s="213">
        <v>11</v>
      </c>
      <c r="B111" s="12" t="s">
        <v>1192</v>
      </c>
      <c r="C111" s="11" t="s">
        <v>1193</v>
      </c>
      <c r="D111" s="216"/>
      <c r="E111" s="12" t="s">
        <v>1194</v>
      </c>
      <c r="F111" s="11" t="s">
        <v>1195</v>
      </c>
      <c r="G111" s="323" t="s">
        <v>1196</v>
      </c>
      <c r="H111" s="11"/>
      <c r="I111" s="11"/>
      <c r="J111" s="11" t="s">
        <v>1170</v>
      </c>
      <c r="K111" s="229" t="s">
        <v>1197</v>
      </c>
      <c r="L111" s="229" t="s">
        <v>1198</v>
      </c>
      <c r="M111" s="35" t="s">
        <v>1199</v>
      </c>
      <c r="N111" s="60">
        <v>44735</v>
      </c>
      <c r="O111" s="60">
        <v>44812</v>
      </c>
      <c r="P111" s="241" t="s">
        <v>401</v>
      </c>
      <c r="Q111" s="244">
        <v>0.5</v>
      </c>
      <c r="R111" s="35">
        <v>44852</v>
      </c>
      <c r="S111" s="35"/>
      <c r="T111" s="11" t="s">
        <v>476</v>
      </c>
      <c r="U111" s="52">
        <v>44813</v>
      </c>
      <c r="V111" s="52">
        <v>44813</v>
      </c>
      <c r="W111" s="251" t="s">
        <v>44</v>
      </c>
      <c r="X111" s="52">
        <v>44813</v>
      </c>
      <c r="Y111" s="52">
        <v>44813</v>
      </c>
      <c r="Z111" s="35"/>
      <c r="AA111" s="202" t="s">
        <v>1148</v>
      </c>
      <c r="AB111" s="282" t="s">
        <v>1103</v>
      </c>
      <c r="AC111" s="224" t="s">
        <v>294</v>
      </c>
      <c r="AD111" s="224" t="s">
        <v>294</v>
      </c>
      <c r="AE111" s="224"/>
      <c r="AF111" s="234"/>
      <c r="AG111" s="234"/>
      <c r="AP111" s="328" t="s">
        <v>1200</v>
      </c>
    </row>
    <row r="112" ht="99" spans="1:42">
      <c r="A112" s="213">
        <v>12</v>
      </c>
      <c r="B112" s="12" t="s">
        <v>1201</v>
      </c>
      <c r="C112" s="213" t="s">
        <v>1043</v>
      </c>
      <c r="D112" s="13" t="s">
        <v>1202</v>
      </c>
      <c r="E112" s="12" t="s">
        <v>1203</v>
      </c>
      <c r="F112" s="11" t="s">
        <v>408</v>
      </c>
      <c r="G112" s="11" t="s">
        <v>1204</v>
      </c>
      <c r="H112" s="11"/>
      <c r="I112" s="11"/>
      <c r="J112" s="11" t="s">
        <v>1043</v>
      </c>
      <c r="K112" s="232" t="s">
        <v>1205</v>
      </c>
      <c r="L112" s="229" t="s">
        <v>1206</v>
      </c>
      <c r="M112" s="35" t="s">
        <v>1207</v>
      </c>
      <c r="N112" s="60">
        <v>44742</v>
      </c>
      <c r="O112" s="60">
        <v>44809</v>
      </c>
      <c r="P112" s="40" t="s">
        <v>401</v>
      </c>
      <c r="Q112" s="244">
        <v>5.5</v>
      </c>
      <c r="R112" s="35">
        <v>44939</v>
      </c>
      <c r="S112" s="35"/>
      <c r="T112" s="11" t="s">
        <v>1208</v>
      </c>
      <c r="U112" s="52">
        <v>44813</v>
      </c>
      <c r="V112" s="52">
        <v>44813</v>
      </c>
      <c r="W112" s="251" t="s">
        <v>44</v>
      </c>
      <c r="X112" s="52">
        <v>44813</v>
      </c>
      <c r="Y112" s="52">
        <v>44813</v>
      </c>
      <c r="Z112" s="35" t="s">
        <v>1209</v>
      </c>
      <c r="AA112" s="202" t="s">
        <v>1148</v>
      </c>
      <c r="AB112" s="282" t="s">
        <v>1103</v>
      </c>
      <c r="AC112" s="224" t="s">
        <v>294</v>
      </c>
      <c r="AD112" s="224" t="s">
        <v>294</v>
      </c>
      <c r="AE112" s="224"/>
      <c r="AF112" s="224"/>
      <c r="AG112" s="224"/>
      <c r="AI112" s="286">
        <v>44874</v>
      </c>
      <c r="AJ112" s="286">
        <v>44897</v>
      </c>
      <c r="AK112" s="202" t="s">
        <v>1210</v>
      </c>
      <c r="AP112" s="328" t="s">
        <v>1211</v>
      </c>
    </row>
    <row r="113" ht="115.5" spans="1:42">
      <c r="A113" s="213">
        <v>13</v>
      </c>
      <c r="B113" s="214" t="s">
        <v>1212</v>
      </c>
      <c r="C113" s="213" t="s">
        <v>1151</v>
      </c>
      <c r="D113" s="222" t="s">
        <v>1213</v>
      </c>
      <c r="E113" s="12" t="s">
        <v>1214</v>
      </c>
      <c r="F113" s="11" t="s">
        <v>408</v>
      </c>
      <c r="G113" s="11" t="s">
        <v>1215</v>
      </c>
      <c r="H113" s="11"/>
      <c r="I113" s="11"/>
      <c r="J113" s="11" t="s">
        <v>1151</v>
      </c>
      <c r="K113" s="229" t="s">
        <v>1216</v>
      </c>
      <c r="L113" s="229" t="s">
        <v>1217</v>
      </c>
      <c r="M113" s="35" t="s">
        <v>1218</v>
      </c>
      <c r="N113" s="60">
        <v>44817</v>
      </c>
      <c r="O113" s="60">
        <v>44873</v>
      </c>
      <c r="P113" s="40" t="s">
        <v>401</v>
      </c>
      <c r="Q113" s="244">
        <v>5</v>
      </c>
      <c r="R113" s="35">
        <v>44883</v>
      </c>
      <c r="S113" s="35"/>
      <c r="T113" s="11" t="s">
        <v>529</v>
      </c>
      <c r="U113" s="52">
        <v>44875</v>
      </c>
      <c r="V113" s="52">
        <v>44875</v>
      </c>
      <c r="W113" s="251" t="s">
        <v>44</v>
      </c>
      <c r="X113" s="251">
        <v>44874</v>
      </c>
      <c r="Y113" s="251">
        <v>44874</v>
      </c>
      <c r="Z113" s="35" t="s">
        <v>1219</v>
      </c>
      <c r="AA113" s="202" t="s">
        <v>1148</v>
      </c>
      <c r="AB113" s="282" t="s">
        <v>1103</v>
      </c>
      <c r="AC113" s="224" t="s">
        <v>294</v>
      </c>
      <c r="AD113" s="224" t="s">
        <v>294</v>
      </c>
      <c r="AE113" s="224"/>
      <c r="AF113" s="224" t="s">
        <v>294</v>
      </c>
      <c r="AG113" s="224"/>
      <c r="AP113" s="328" t="s">
        <v>1220</v>
      </c>
    </row>
    <row r="114" ht="115.5" spans="1:42">
      <c r="A114" s="213">
        <v>14</v>
      </c>
      <c r="B114" s="214" t="s">
        <v>1221</v>
      </c>
      <c r="C114" s="213" t="s">
        <v>1222</v>
      </c>
      <c r="D114" s="13" t="s">
        <v>1223</v>
      </c>
      <c r="E114" s="12" t="s">
        <v>1224</v>
      </c>
      <c r="F114" s="11" t="s">
        <v>408</v>
      </c>
      <c r="G114" s="11" t="s">
        <v>1225</v>
      </c>
      <c r="H114" s="11"/>
      <c r="I114" s="11"/>
      <c r="J114" s="11" t="s">
        <v>1226</v>
      </c>
      <c r="K114" s="229" t="s">
        <v>1227</v>
      </c>
      <c r="L114" s="229" t="s">
        <v>1228</v>
      </c>
      <c r="M114" s="35" t="s">
        <v>1229</v>
      </c>
      <c r="N114" s="60">
        <v>44817</v>
      </c>
      <c r="O114" s="60">
        <v>44893</v>
      </c>
      <c r="P114" s="40" t="s">
        <v>401</v>
      </c>
      <c r="Q114" s="244">
        <v>10</v>
      </c>
      <c r="R114" s="35">
        <v>44942</v>
      </c>
      <c r="S114" s="35"/>
      <c r="T114" s="11" t="s">
        <v>1208</v>
      </c>
      <c r="U114" s="52">
        <v>44897</v>
      </c>
      <c r="V114" s="52">
        <v>44897</v>
      </c>
      <c r="W114" s="52" t="s">
        <v>44</v>
      </c>
      <c r="X114" s="52">
        <v>44896</v>
      </c>
      <c r="Y114" s="52">
        <v>44895</v>
      </c>
      <c r="Z114" s="35" t="s">
        <v>1230</v>
      </c>
      <c r="AA114" s="202" t="s">
        <v>1148</v>
      </c>
      <c r="AB114" s="282" t="s">
        <v>808</v>
      </c>
      <c r="AC114" s="284" t="s">
        <v>294</v>
      </c>
      <c r="AD114" s="224" t="s">
        <v>294</v>
      </c>
      <c r="AE114" s="234"/>
      <c r="AF114" s="234"/>
      <c r="AG114" s="224"/>
      <c r="AO114" s="328" t="s">
        <v>1231</v>
      </c>
      <c r="AP114" s="262"/>
    </row>
    <row r="115" ht="82.5" spans="1:42">
      <c r="A115" s="213">
        <v>15</v>
      </c>
      <c r="B115" s="214" t="s">
        <v>1232</v>
      </c>
      <c r="C115" s="213" t="s">
        <v>1233</v>
      </c>
      <c r="D115" s="13" t="s">
        <v>1234</v>
      </c>
      <c r="E115" s="12" t="s">
        <v>100</v>
      </c>
      <c r="F115" s="11" t="s">
        <v>416</v>
      </c>
      <c r="G115" s="11" t="s">
        <v>101</v>
      </c>
      <c r="H115" s="11"/>
      <c r="I115" s="11"/>
      <c r="J115" s="11" t="s">
        <v>1235</v>
      </c>
      <c r="K115" s="229" t="s">
        <v>1236</v>
      </c>
      <c r="L115" s="229" t="s">
        <v>1237</v>
      </c>
      <c r="M115" s="35" t="s">
        <v>1238</v>
      </c>
      <c r="N115" s="60">
        <v>44826</v>
      </c>
      <c r="O115" s="60">
        <v>44888</v>
      </c>
      <c r="P115" s="40" t="s">
        <v>401</v>
      </c>
      <c r="Q115" s="244">
        <v>5</v>
      </c>
      <c r="R115" s="35">
        <v>44922</v>
      </c>
      <c r="S115" s="35"/>
      <c r="T115" s="11" t="s">
        <v>476</v>
      </c>
      <c r="U115" s="52">
        <v>44890</v>
      </c>
      <c r="V115" s="52">
        <v>44890</v>
      </c>
      <c r="W115" s="52" t="s">
        <v>44</v>
      </c>
      <c r="X115" s="52">
        <v>44890</v>
      </c>
      <c r="Y115" s="251">
        <v>44890</v>
      </c>
      <c r="Z115" s="35" t="s">
        <v>1239</v>
      </c>
      <c r="AA115" s="202" t="s">
        <v>1148</v>
      </c>
      <c r="AB115" s="282" t="s">
        <v>1103</v>
      </c>
      <c r="AC115" s="224" t="s">
        <v>294</v>
      </c>
      <c r="AD115" s="224" t="s">
        <v>294</v>
      </c>
      <c r="AE115" s="224"/>
      <c r="AF115" s="224" t="s">
        <v>294</v>
      </c>
      <c r="AG115" s="224"/>
      <c r="AP115" s="328" t="s">
        <v>1240</v>
      </c>
    </row>
    <row r="116" ht="99" spans="1:42">
      <c r="A116" s="213">
        <v>16</v>
      </c>
      <c r="B116" s="214" t="s">
        <v>1241</v>
      </c>
      <c r="C116" s="213" t="s">
        <v>1242</v>
      </c>
      <c r="D116" s="13" t="s">
        <v>1243</v>
      </c>
      <c r="E116" s="12" t="s">
        <v>1244</v>
      </c>
      <c r="F116" s="11" t="s">
        <v>408</v>
      </c>
      <c r="G116" s="11" t="s">
        <v>1245</v>
      </c>
      <c r="H116" s="11"/>
      <c r="I116" s="11"/>
      <c r="J116" s="11" t="s">
        <v>1226</v>
      </c>
      <c r="K116" s="229" t="s">
        <v>1246</v>
      </c>
      <c r="L116" s="229" t="s">
        <v>1247</v>
      </c>
      <c r="M116" s="35" t="s">
        <v>1248</v>
      </c>
      <c r="N116" s="60">
        <v>44823</v>
      </c>
      <c r="O116" s="60">
        <v>44893</v>
      </c>
      <c r="P116" s="40" t="s">
        <v>401</v>
      </c>
      <c r="Q116" s="244">
        <v>10</v>
      </c>
      <c r="R116" s="35">
        <v>44942</v>
      </c>
      <c r="S116" s="35"/>
      <c r="T116" s="11" t="s">
        <v>529</v>
      </c>
      <c r="U116" s="52">
        <v>44897</v>
      </c>
      <c r="V116" s="52">
        <v>44897</v>
      </c>
      <c r="W116" s="52" t="s">
        <v>44</v>
      </c>
      <c r="X116" s="52">
        <v>44896</v>
      </c>
      <c r="Y116" s="52">
        <v>44895</v>
      </c>
      <c r="Z116" s="35" t="s">
        <v>1230</v>
      </c>
      <c r="AA116" s="202" t="s">
        <v>1148</v>
      </c>
      <c r="AB116" s="282" t="s">
        <v>1103</v>
      </c>
      <c r="AC116" s="234" t="s">
        <v>294</v>
      </c>
      <c r="AD116" s="234" t="s">
        <v>294</v>
      </c>
      <c r="AE116" s="285"/>
      <c r="AF116" s="234"/>
      <c r="AG116" s="224"/>
      <c r="AP116" s="328" t="s">
        <v>1249</v>
      </c>
    </row>
    <row r="117" ht="82.5" spans="1:42">
      <c r="A117" s="213">
        <v>17</v>
      </c>
      <c r="B117" s="214" t="s">
        <v>1250</v>
      </c>
      <c r="C117" s="213" t="s">
        <v>1251</v>
      </c>
      <c r="D117" s="13" t="s">
        <v>1252</v>
      </c>
      <c r="E117" s="12" t="s">
        <v>1253</v>
      </c>
      <c r="F117" s="11" t="s">
        <v>408</v>
      </c>
      <c r="G117" s="323" t="s">
        <v>1254</v>
      </c>
      <c r="H117" s="11"/>
      <c r="I117" s="11"/>
      <c r="J117" s="11" t="s">
        <v>1235</v>
      </c>
      <c r="K117" s="229" t="s">
        <v>1255</v>
      </c>
      <c r="L117" s="229" t="s">
        <v>1256</v>
      </c>
      <c r="M117" s="35" t="s">
        <v>1257</v>
      </c>
      <c r="N117" s="60">
        <v>44813</v>
      </c>
      <c r="O117" s="60">
        <v>44883</v>
      </c>
      <c r="P117" s="40" t="s">
        <v>401</v>
      </c>
      <c r="Q117" s="244">
        <v>5</v>
      </c>
      <c r="R117" s="35">
        <v>44904</v>
      </c>
      <c r="S117" s="35"/>
      <c r="T117" s="11" t="s">
        <v>1258</v>
      </c>
      <c r="U117" s="52">
        <v>44886</v>
      </c>
      <c r="V117" s="52">
        <v>44886</v>
      </c>
      <c r="W117" s="251" t="s">
        <v>44</v>
      </c>
      <c r="X117" s="251">
        <v>44886</v>
      </c>
      <c r="Y117" s="251">
        <v>44886</v>
      </c>
      <c r="Z117" s="35" t="s">
        <v>1239</v>
      </c>
      <c r="AA117" s="202" t="s">
        <v>1148</v>
      </c>
      <c r="AB117" s="282" t="s">
        <v>1103</v>
      </c>
      <c r="AC117" s="224" t="s">
        <v>294</v>
      </c>
      <c r="AD117" s="224" t="s">
        <v>294</v>
      </c>
      <c r="AE117" s="224"/>
      <c r="AF117" s="224" t="s">
        <v>294</v>
      </c>
      <c r="AG117" s="224"/>
      <c r="AO117" s="328" t="s">
        <v>1259</v>
      </c>
      <c r="AP117" s="331" t="s">
        <v>1260</v>
      </c>
    </row>
    <row r="118" ht="82.5" spans="1:42">
      <c r="A118" s="213">
        <v>18</v>
      </c>
      <c r="B118" s="214" t="s">
        <v>1261</v>
      </c>
      <c r="C118" s="213" t="s">
        <v>1262</v>
      </c>
      <c r="D118" s="13" t="s">
        <v>1263</v>
      </c>
      <c r="E118" s="12" t="s">
        <v>1264</v>
      </c>
      <c r="F118" s="11" t="s">
        <v>416</v>
      </c>
      <c r="G118" s="11" t="s">
        <v>1265</v>
      </c>
      <c r="H118" s="11"/>
      <c r="I118" s="11"/>
      <c r="J118" s="11" t="s">
        <v>1266</v>
      </c>
      <c r="K118" s="229" t="s">
        <v>1267</v>
      </c>
      <c r="L118" s="229" t="s">
        <v>1268</v>
      </c>
      <c r="M118" s="35" t="s">
        <v>1269</v>
      </c>
      <c r="N118" s="60">
        <v>44843</v>
      </c>
      <c r="O118" s="60">
        <v>44901</v>
      </c>
      <c r="P118" s="40" t="s">
        <v>401</v>
      </c>
      <c r="Q118" s="244">
        <v>5</v>
      </c>
      <c r="R118" s="35">
        <v>44922</v>
      </c>
      <c r="S118" s="35"/>
      <c r="T118" s="11" t="s">
        <v>476</v>
      </c>
      <c r="U118" s="52">
        <v>44901</v>
      </c>
      <c r="V118" s="52">
        <v>44901</v>
      </c>
      <c r="W118" s="52" t="s">
        <v>44</v>
      </c>
      <c r="X118" s="52">
        <v>44902</v>
      </c>
      <c r="Y118" s="52">
        <v>44902</v>
      </c>
      <c r="Z118" s="35" t="s">
        <v>152</v>
      </c>
      <c r="AA118" s="202" t="s">
        <v>1148</v>
      </c>
      <c r="AB118" s="282" t="s">
        <v>1103</v>
      </c>
      <c r="AC118" s="224" t="s">
        <v>294</v>
      </c>
      <c r="AD118" s="224" t="s">
        <v>294</v>
      </c>
      <c r="AE118" s="224"/>
      <c r="AF118" s="224"/>
      <c r="AG118" s="224"/>
      <c r="AP118" s="328" t="s">
        <v>1270</v>
      </c>
    </row>
    <row r="119" ht="90" customHeight="1" spans="1:42">
      <c r="A119" s="213">
        <v>19</v>
      </c>
      <c r="B119" s="214" t="s">
        <v>1271</v>
      </c>
      <c r="C119" s="213" t="s">
        <v>1272</v>
      </c>
      <c r="D119" s="215" t="s">
        <v>1273</v>
      </c>
      <c r="E119" s="12" t="s">
        <v>1274</v>
      </c>
      <c r="F119" s="11" t="s">
        <v>408</v>
      </c>
      <c r="G119" s="11" t="s">
        <v>1275</v>
      </c>
      <c r="H119" s="11"/>
      <c r="I119" s="11"/>
      <c r="J119" s="11" t="s">
        <v>1276</v>
      </c>
      <c r="K119" s="229" t="s">
        <v>1277</v>
      </c>
      <c r="L119" s="229" t="s">
        <v>1278</v>
      </c>
      <c r="M119" s="35" t="s">
        <v>1279</v>
      </c>
      <c r="N119" s="60">
        <v>44831</v>
      </c>
      <c r="O119" s="60">
        <v>44893</v>
      </c>
      <c r="P119" s="40" t="s">
        <v>401</v>
      </c>
      <c r="Q119" s="244">
        <v>1.2</v>
      </c>
      <c r="R119" s="35">
        <v>44939</v>
      </c>
      <c r="S119" s="35"/>
      <c r="T119" s="11" t="s">
        <v>529</v>
      </c>
      <c r="U119" s="52">
        <v>44897</v>
      </c>
      <c r="V119" s="52">
        <v>44897</v>
      </c>
      <c r="W119" s="52" t="s">
        <v>44</v>
      </c>
      <c r="X119" s="52">
        <v>44896</v>
      </c>
      <c r="Y119" s="52">
        <v>44896</v>
      </c>
      <c r="Z119" s="35" t="s">
        <v>1280</v>
      </c>
      <c r="AA119" s="202" t="s">
        <v>1148</v>
      </c>
      <c r="AB119" s="282" t="s">
        <v>808</v>
      </c>
      <c r="AC119" s="234" t="s">
        <v>294</v>
      </c>
      <c r="AD119" s="234" t="s">
        <v>294</v>
      </c>
      <c r="AE119" s="285"/>
      <c r="AF119" s="234"/>
      <c r="AG119" s="224"/>
      <c r="AP119" s="328" t="s">
        <v>1281</v>
      </c>
    </row>
    <row r="120" ht="90" customHeight="1" spans="1:42">
      <c r="A120" s="213">
        <v>20</v>
      </c>
      <c r="B120" s="214" t="s">
        <v>1282</v>
      </c>
      <c r="C120" s="213" t="s">
        <v>1283</v>
      </c>
      <c r="D120" s="216"/>
      <c r="E120" s="12" t="s">
        <v>1284</v>
      </c>
      <c r="F120" s="11" t="s">
        <v>1285</v>
      </c>
      <c r="G120" s="323" t="s">
        <v>1286</v>
      </c>
      <c r="H120" s="11"/>
      <c r="I120" s="11"/>
      <c r="J120" s="11" t="s">
        <v>1287</v>
      </c>
      <c r="K120" s="229" t="s">
        <v>1288</v>
      </c>
      <c r="L120" s="229" t="s">
        <v>1289</v>
      </c>
      <c r="M120" s="35" t="s">
        <v>1290</v>
      </c>
      <c r="N120" s="60">
        <v>44831</v>
      </c>
      <c r="O120" s="60">
        <v>44893</v>
      </c>
      <c r="P120" s="40" t="s">
        <v>401</v>
      </c>
      <c r="Q120" s="244">
        <v>0.2</v>
      </c>
      <c r="R120" s="35">
        <v>44939</v>
      </c>
      <c r="S120" s="35"/>
      <c r="T120" s="11" t="s">
        <v>529</v>
      </c>
      <c r="U120" s="52">
        <v>44897</v>
      </c>
      <c r="V120" s="52">
        <v>44897</v>
      </c>
      <c r="W120" s="52" t="s">
        <v>44</v>
      </c>
      <c r="X120" s="52">
        <v>44896</v>
      </c>
      <c r="Y120" s="52">
        <v>44896</v>
      </c>
      <c r="Z120" s="35" t="s">
        <v>1280</v>
      </c>
      <c r="AA120" s="202" t="s">
        <v>1148</v>
      </c>
      <c r="AB120" s="282" t="s">
        <v>1103</v>
      </c>
      <c r="AC120" s="234" t="s">
        <v>294</v>
      </c>
      <c r="AD120" s="234" t="s">
        <v>294</v>
      </c>
      <c r="AE120" s="283"/>
      <c r="AF120" s="224"/>
      <c r="AG120" s="224"/>
      <c r="AP120" s="328" t="s">
        <v>1291</v>
      </c>
    </row>
    <row r="121" ht="90" customHeight="1" spans="1:42">
      <c r="A121" s="213">
        <v>1</v>
      </c>
      <c r="B121" s="214" t="s">
        <v>1292</v>
      </c>
      <c r="C121" s="213" t="s">
        <v>1151</v>
      </c>
      <c r="D121" s="216" t="s">
        <v>1293</v>
      </c>
      <c r="E121" s="12" t="s">
        <v>1294</v>
      </c>
      <c r="F121" s="11" t="s">
        <v>416</v>
      </c>
      <c r="G121" s="323" t="s">
        <v>1295</v>
      </c>
      <c r="H121" s="11"/>
      <c r="I121" s="11"/>
      <c r="J121" s="213" t="s">
        <v>1151</v>
      </c>
      <c r="K121" s="229" t="s">
        <v>1296</v>
      </c>
      <c r="L121" s="11" t="s">
        <v>1297</v>
      </c>
      <c r="M121" s="35" t="s">
        <v>1298</v>
      </c>
      <c r="N121" s="60">
        <v>44981</v>
      </c>
      <c r="O121" s="60">
        <v>45030</v>
      </c>
      <c r="P121" s="40" t="s">
        <v>401</v>
      </c>
      <c r="Q121" s="244">
        <v>5</v>
      </c>
      <c r="R121" s="35">
        <v>45054</v>
      </c>
      <c r="S121" s="35"/>
      <c r="T121" s="11" t="s">
        <v>529</v>
      </c>
      <c r="U121" s="52">
        <v>45034</v>
      </c>
      <c r="V121" s="52">
        <v>45034</v>
      </c>
      <c r="W121" s="52" t="s">
        <v>44</v>
      </c>
      <c r="X121" s="52">
        <v>45034</v>
      </c>
      <c r="Y121" s="52">
        <v>45034</v>
      </c>
      <c r="Z121" s="35" t="s">
        <v>1299</v>
      </c>
      <c r="AA121" s="202" t="s">
        <v>1148</v>
      </c>
      <c r="AB121" s="224" t="s">
        <v>1300</v>
      </c>
      <c r="AC121" s="224" t="s">
        <v>294</v>
      </c>
      <c r="AD121" s="224" t="s">
        <v>294</v>
      </c>
      <c r="AE121" s="224"/>
      <c r="AF121" s="224"/>
      <c r="AG121" s="224"/>
      <c r="AP121" s="328" t="s">
        <v>1301</v>
      </c>
    </row>
    <row r="122" ht="90" customHeight="1" spans="1:42">
      <c r="A122" s="213">
        <v>2</v>
      </c>
      <c r="B122" s="214" t="s">
        <v>1302</v>
      </c>
      <c r="C122" s="213" t="s">
        <v>1303</v>
      </c>
      <c r="D122" s="13" t="s">
        <v>1304</v>
      </c>
      <c r="E122" s="12" t="s">
        <v>1305</v>
      </c>
      <c r="F122" s="11" t="s">
        <v>509</v>
      </c>
      <c r="G122" s="323" t="s">
        <v>1306</v>
      </c>
      <c r="H122" s="11"/>
      <c r="I122" s="11"/>
      <c r="J122" s="11" t="s">
        <v>694</v>
      </c>
      <c r="K122" s="229" t="s">
        <v>1307</v>
      </c>
      <c r="L122" s="11" t="s">
        <v>1308</v>
      </c>
      <c r="M122" s="35" t="s">
        <v>1309</v>
      </c>
      <c r="N122" s="60">
        <v>44994</v>
      </c>
      <c r="O122" s="60">
        <v>45054</v>
      </c>
      <c r="P122" s="40" t="s">
        <v>401</v>
      </c>
      <c r="Q122" s="244">
        <v>0.2</v>
      </c>
      <c r="R122" s="35">
        <v>45070</v>
      </c>
      <c r="S122" s="35"/>
      <c r="T122" s="11" t="s">
        <v>960</v>
      </c>
      <c r="U122" s="52">
        <v>45056</v>
      </c>
      <c r="V122" s="52">
        <v>45056</v>
      </c>
      <c r="W122" s="52" t="s">
        <v>44</v>
      </c>
      <c r="X122" s="52">
        <v>45055</v>
      </c>
      <c r="Y122" s="52">
        <v>45055</v>
      </c>
      <c r="Z122" s="35" t="s">
        <v>1299</v>
      </c>
      <c r="AA122" s="202" t="s">
        <v>1148</v>
      </c>
      <c r="AB122" s="224" t="s">
        <v>1300</v>
      </c>
      <c r="AC122" s="224" t="s">
        <v>294</v>
      </c>
      <c r="AD122" s="224" t="s">
        <v>294</v>
      </c>
      <c r="AE122" s="224"/>
      <c r="AF122" s="224"/>
      <c r="AG122" s="224"/>
      <c r="AP122" s="328" t="s">
        <v>1310</v>
      </c>
    </row>
    <row r="123" ht="90" customHeight="1" spans="1:42">
      <c r="A123" s="213">
        <v>3</v>
      </c>
      <c r="B123" s="214" t="s">
        <v>1311</v>
      </c>
      <c r="C123" s="213" t="s">
        <v>1303</v>
      </c>
      <c r="D123" s="13"/>
      <c r="E123" s="12" t="s">
        <v>1312</v>
      </c>
      <c r="F123" s="11" t="s">
        <v>516</v>
      </c>
      <c r="G123" s="323" t="s">
        <v>1313</v>
      </c>
      <c r="H123" s="11"/>
      <c r="I123" s="11"/>
      <c r="J123" s="11" t="s">
        <v>694</v>
      </c>
      <c r="K123" s="229" t="s">
        <v>1314</v>
      </c>
      <c r="L123" s="11" t="s">
        <v>1315</v>
      </c>
      <c r="M123" s="35" t="s">
        <v>1316</v>
      </c>
      <c r="N123" s="60">
        <v>44994</v>
      </c>
      <c r="O123" s="60">
        <v>45054</v>
      </c>
      <c r="P123" s="40" t="s">
        <v>401</v>
      </c>
      <c r="Q123" s="244">
        <v>0.2</v>
      </c>
      <c r="R123" s="35">
        <v>45070</v>
      </c>
      <c r="S123" s="35"/>
      <c r="T123" s="11" t="s">
        <v>960</v>
      </c>
      <c r="U123" s="52">
        <v>45056</v>
      </c>
      <c r="V123" s="52">
        <v>45056</v>
      </c>
      <c r="W123" s="52" t="s">
        <v>44</v>
      </c>
      <c r="X123" s="52">
        <v>45055</v>
      </c>
      <c r="Y123" s="52">
        <v>45055</v>
      </c>
      <c r="Z123" s="35" t="s">
        <v>1299</v>
      </c>
      <c r="AA123" s="202" t="s">
        <v>1148</v>
      </c>
      <c r="AB123" s="224" t="s">
        <v>1300</v>
      </c>
      <c r="AC123" s="224" t="s">
        <v>294</v>
      </c>
      <c r="AD123" s="224" t="s">
        <v>294</v>
      </c>
      <c r="AE123" s="224"/>
      <c r="AF123" s="224"/>
      <c r="AG123" s="224"/>
      <c r="AP123" s="328" t="s">
        <v>1317</v>
      </c>
    </row>
    <row r="124" ht="90" customHeight="1" spans="1:42">
      <c r="A124" s="213">
        <v>4</v>
      </c>
      <c r="B124" s="214" t="s">
        <v>1318</v>
      </c>
      <c r="C124" s="213" t="s">
        <v>1303</v>
      </c>
      <c r="D124" s="13"/>
      <c r="E124" s="12" t="s">
        <v>1319</v>
      </c>
      <c r="F124" s="11" t="s">
        <v>416</v>
      </c>
      <c r="G124" s="323" t="s">
        <v>1320</v>
      </c>
      <c r="H124" s="11"/>
      <c r="I124" s="11"/>
      <c r="J124" s="11" t="s">
        <v>694</v>
      </c>
      <c r="K124" s="229" t="s">
        <v>1321</v>
      </c>
      <c r="L124" s="11" t="s">
        <v>1322</v>
      </c>
      <c r="M124" s="35" t="s">
        <v>1323</v>
      </c>
      <c r="N124" s="60">
        <v>44994</v>
      </c>
      <c r="O124" s="60">
        <v>45054</v>
      </c>
      <c r="P124" s="40" t="s">
        <v>401</v>
      </c>
      <c r="Q124" s="244">
        <v>1.2</v>
      </c>
      <c r="R124" s="35">
        <v>45076</v>
      </c>
      <c r="S124" s="35"/>
      <c r="T124" s="11" t="s">
        <v>960</v>
      </c>
      <c r="U124" s="52">
        <v>45056</v>
      </c>
      <c r="V124" s="52">
        <v>45056</v>
      </c>
      <c r="W124" s="52" t="s">
        <v>44</v>
      </c>
      <c r="X124" s="52">
        <v>45055</v>
      </c>
      <c r="Y124" s="52">
        <v>45055</v>
      </c>
      <c r="Z124" s="35" t="s">
        <v>1299</v>
      </c>
      <c r="AA124" s="202" t="s">
        <v>1148</v>
      </c>
      <c r="AB124" s="224" t="s">
        <v>1300</v>
      </c>
      <c r="AC124" s="224" t="s">
        <v>294</v>
      </c>
      <c r="AD124" s="224" t="s">
        <v>294</v>
      </c>
      <c r="AE124" s="224"/>
      <c r="AF124" s="224"/>
      <c r="AG124" s="224"/>
      <c r="AP124" s="328" t="s">
        <v>1324</v>
      </c>
    </row>
    <row r="125" ht="90" customHeight="1" spans="1:42">
      <c r="A125" s="213">
        <v>5</v>
      </c>
      <c r="B125" s="214" t="s">
        <v>1325</v>
      </c>
      <c r="C125" s="213" t="s">
        <v>1326</v>
      </c>
      <c r="D125" s="220" t="s">
        <v>1327</v>
      </c>
      <c r="E125" s="12" t="s">
        <v>272</v>
      </c>
      <c r="F125" s="11" t="s">
        <v>416</v>
      </c>
      <c r="G125" s="323" t="s">
        <v>273</v>
      </c>
      <c r="H125" s="11"/>
      <c r="I125" s="11"/>
      <c r="J125" s="11" t="s">
        <v>718</v>
      </c>
      <c r="K125" s="229" t="s">
        <v>1328</v>
      </c>
      <c r="L125" s="11" t="s">
        <v>1329</v>
      </c>
      <c r="M125" s="35" t="s">
        <v>1330</v>
      </c>
      <c r="N125" s="60">
        <v>45001</v>
      </c>
      <c r="O125" s="60">
        <v>45062</v>
      </c>
      <c r="P125" s="40" t="s">
        <v>401</v>
      </c>
      <c r="Q125" s="244">
        <v>1.2</v>
      </c>
      <c r="R125" s="35">
        <v>45076</v>
      </c>
      <c r="S125" s="35"/>
      <c r="T125" s="11" t="s">
        <v>476</v>
      </c>
      <c r="U125" s="52">
        <v>45064</v>
      </c>
      <c r="V125" s="52">
        <v>45064</v>
      </c>
      <c r="W125" s="52" t="s">
        <v>44</v>
      </c>
      <c r="X125" s="52">
        <v>45064</v>
      </c>
      <c r="Y125" s="52">
        <v>45064</v>
      </c>
      <c r="Z125" s="35" t="s">
        <v>1299</v>
      </c>
      <c r="AA125" s="202" t="s">
        <v>1148</v>
      </c>
      <c r="AB125" s="224" t="s">
        <v>1300</v>
      </c>
      <c r="AC125" s="224" t="s">
        <v>294</v>
      </c>
      <c r="AD125" s="224" t="s">
        <v>294</v>
      </c>
      <c r="AE125" s="224"/>
      <c r="AF125" s="224"/>
      <c r="AG125" s="224"/>
      <c r="AP125" s="328" t="s">
        <v>1331</v>
      </c>
    </row>
    <row r="126" ht="90" customHeight="1" spans="1:42">
      <c r="A126" s="213">
        <v>6</v>
      </c>
      <c r="B126" s="214" t="s">
        <v>1332</v>
      </c>
      <c r="C126" s="213" t="s">
        <v>1333</v>
      </c>
      <c r="D126" s="220"/>
      <c r="E126" s="12" t="s">
        <v>1334</v>
      </c>
      <c r="F126" s="11" t="s">
        <v>509</v>
      </c>
      <c r="G126" s="323" t="s">
        <v>1335</v>
      </c>
      <c r="H126" s="11"/>
      <c r="I126" s="11"/>
      <c r="J126" s="11" t="s">
        <v>1336</v>
      </c>
      <c r="K126" s="229" t="s">
        <v>1337</v>
      </c>
      <c r="L126" s="11" t="s">
        <v>1338</v>
      </c>
      <c r="M126" s="35" t="s">
        <v>1339</v>
      </c>
      <c r="N126" s="60">
        <v>45001</v>
      </c>
      <c r="O126" s="60">
        <v>45062</v>
      </c>
      <c r="P126" s="40" t="s">
        <v>401</v>
      </c>
      <c r="Q126" s="244">
        <v>0.2</v>
      </c>
      <c r="R126" s="35">
        <v>45076</v>
      </c>
      <c r="S126" s="35"/>
      <c r="T126" s="11" t="s">
        <v>476</v>
      </c>
      <c r="U126" s="52">
        <v>45064</v>
      </c>
      <c r="V126" s="52">
        <v>45064</v>
      </c>
      <c r="W126" s="52" t="s">
        <v>44</v>
      </c>
      <c r="X126" s="52">
        <v>45064</v>
      </c>
      <c r="Y126" s="52">
        <v>45064</v>
      </c>
      <c r="Z126" s="35" t="s">
        <v>1299</v>
      </c>
      <c r="AA126" s="202" t="s">
        <v>1148</v>
      </c>
      <c r="AB126" s="224" t="s">
        <v>1300</v>
      </c>
      <c r="AC126" s="224" t="s">
        <v>294</v>
      </c>
      <c r="AD126" s="224" t="s">
        <v>294</v>
      </c>
      <c r="AE126" s="224"/>
      <c r="AF126" s="224"/>
      <c r="AG126" s="224"/>
      <c r="AP126" s="328" t="s">
        <v>1340</v>
      </c>
    </row>
    <row r="127" ht="90" customHeight="1" spans="1:42">
      <c r="A127" s="213">
        <v>7</v>
      </c>
      <c r="B127" s="214" t="s">
        <v>1341</v>
      </c>
      <c r="C127" s="213" t="s">
        <v>1342</v>
      </c>
      <c r="D127" s="216"/>
      <c r="E127" s="12" t="s">
        <v>1343</v>
      </c>
      <c r="F127" s="11" t="s">
        <v>516</v>
      </c>
      <c r="G127" s="323" t="s">
        <v>1344</v>
      </c>
      <c r="H127" s="11"/>
      <c r="I127" s="11"/>
      <c r="J127" s="11" t="s">
        <v>1345</v>
      </c>
      <c r="K127" s="229" t="s">
        <v>1346</v>
      </c>
      <c r="L127" s="11" t="s">
        <v>1347</v>
      </c>
      <c r="M127" s="35" t="s">
        <v>1348</v>
      </c>
      <c r="N127" s="60">
        <v>45001</v>
      </c>
      <c r="O127" s="60">
        <v>45062</v>
      </c>
      <c r="P127" s="40" t="s">
        <v>401</v>
      </c>
      <c r="Q127" s="244">
        <v>0.2</v>
      </c>
      <c r="R127" s="35">
        <v>45076</v>
      </c>
      <c r="S127" s="35"/>
      <c r="T127" s="11" t="s">
        <v>476</v>
      </c>
      <c r="U127" s="52">
        <v>45064</v>
      </c>
      <c r="V127" s="52">
        <v>45064</v>
      </c>
      <c r="W127" s="52" t="s">
        <v>44</v>
      </c>
      <c r="X127" s="52">
        <v>45064</v>
      </c>
      <c r="Y127" s="52">
        <v>45064</v>
      </c>
      <c r="Z127" s="35" t="s">
        <v>1299</v>
      </c>
      <c r="AA127" s="202" t="s">
        <v>1148</v>
      </c>
      <c r="AB127" s="224" t="s">
        <v>1300</v>
      </c>
      <c r="AC127" s="224" t="s">
        <v>294</v>
      </c>
      <c r="AD127" s="224" t="s">
        <v>294</v>
      </c>
      <c r="AE127" s="224"/>
      <c r="AF127" s="224"/>
      <c r="AG127" s="224"/>
      <c r="AP127" s="328" t="s">
        <v>1349</v>
      </c>
    </row>
    <row r="128" ht="90" customHeight="1" spans="1:42">
      <c r="A128" s="213">
        <v>8</v>
      </c>
      <c r="B128" s="214" t="s">
        <v>1350</v>
      </c>
      <c r="C128" s="213" t="s">
        <v>1351</v>
      </c>
      <c r="D128" s="216" t="s">
        <v>1352</v>
      </c>
      <c r="E128" s="12" t="s">
        <v>298</v>
      </c>
      <c r="F128" s="11" t="s">
        <v>416</v>
      </c>
      <c r="G128" s="323" t="s">
        <v>299</v>
      </c>
      <c r="H128" s="11"/>
      <c r="I128" s="11"/>
      <c r="J128" s="11" t="s">
        <v>1226</v>
      </c>
      <c r="K128" s="229" t="s">
        <v>1353</v>
      </c>
      <c r="L128" s="11" t="s">
        <v>1354</v>
      </c>
      <c r="M128" s="35" t="s">
        <v>1355</v>
      </c>
      <c r="N128" s="60">
        <v>45009</v>
      </c>
      <c r="O128" s="60">
        <v>45092</v>
      </c>
      <c r="P128" s="40" t="s">
        <v>401</v>
      </c>
      <c r="Q128" s="244">
        <v>10</v>
      </c>
      <c r="R128" s="35">
        <v>45111</v>
      </c>
      <c r="S128" s="35"/>
      <c r="T128" s="11" t="s">
        <v>960</v>
      </c>
      <c r="U128" s="52">
        <v>45093</v>
      </c>
      <c r="V128" s="52">
        <v>45093</v>
      </c>
      <c r="W128" s="52" t="s">
        <v>44</v>
      </c>
      <c r="X128" s="52">
        <v>45093</v>
      </c>
      <c r="Y128" s="52">
        <v>45093</v>
      </c>
      <c r="Z128" s="35" t="s">
        <v>198</v>
      </c>
      <c r="AA128" s="202" t="s">
        <v>1148</v>
      </c>
      <c r="AB128" s="224" t="s">
        <v>1356</v>
      </c>
      <c r="AC128" s="259" t="s">
        <v>294</v>
      </c>
      <c r="AD128" s="259" t="s">
        <v>294</v>
      </c>
      <c r="AE128" s="259"/>
      <c r="AF128" s="224"/>
      <c r="AG128" s="224"/>
      <c r="AP128" s="328" t="s">
        <v>1357</v>
      </c>
    </row>
    <row r="129" ht="90" customHeight="1" spans="1:42">
      <c r="A129" s="213">
        <v>9</v>
      </c>
      <c r="B129" s="214" t="s">
        <v>1358</v>
      </c>
      <c r="C129" s="213" t="s">
        <v>1359</v>
      </c>
      <c r="D129" s="220" t="s">
        <v>1202</v>
      </c>
      <c r="E129" s="12" t="s">
        <v>282</v>
      </c>
      <c r="F129" s="11" t="s">
        <v>416</v>
      </c>
      <c r="G129" s="323" t="s">
        <v>283</v>
      </c>
      <c r="H129" s="11"/>
      <c r="I129" s="11"/>
      <c r="J129" s="11" t="s">
        <v>1226</v>
      </c>
      <c r="K129" s="229" t="s">
        <v>1360</v>
      </c>
      <c r="L129" s="11" t="s">
        <v>1361</v>
      </c>
      <c r="M129" s="35" t="s">
        <v>1362</v>
      </c>
      <c r="N129" s="60">
        <v>45013</v>
      </c>
      <c r="O129" s="60">
        <v>45092</v>
      </c>
      <c r="P129" s="40" t="s">
        <v>401</v>
      </c>
      <c r="Q129" s="244">
        <v>10</v>
      </c>
      <c r="R129" s="35">
        <v>45103</v>
      </c>
      <c r="S129" s="35"/>
      <c r="T129" s="11" t="s">
        <v>960</v>
      </c>
      <c r="U129" s="52">
        <v>45093</v>
      </c>
      <c r="V129" s="52">
        <v>45093</v>
      </c>
      <c r="W129" s="52" t="s">
        <v>44</v>
      </c>
      <c r="X129" s="52">
        <v>45093</v>
      </c>
      <c r="Y129" s="52">
        <v>45093</v>
      </c>
      <c r="Z129" s="35" t="s">
        <v>1299</v>
      </c>
      <c r="AA129" s="202" t="s">
        <v>1148</v>
      </c>
      <c r="AB129" s="224" t="s">
        <v>1300</v>
      </c>
      <c r="AC129" s="224" t="s">
        <v>294</v>
      </c>
      <c r="AD129" s="224" t="s">
        <v>294</v>
      </c>
      <c r="AE129" s="224"/>
      <c r="AF129" s="224"/>
      <c r="AG129" s="224"/>
      <c r="AP129" s="328" t="s">
        <v>1363</v>
      </c>
    </row>
    <row r="130" ht="90" customHeight="1" spans="1:42">
      <c r="A130" s="213">
        <v>10</v>
      </c>
      <c r="B130" s="214" t="s">
        <v>1364</v>
      </c>
      <c r="C130" s="213" t="s">
        <v>1365</v>
      </c>
      <c r="D130" s="216"/>
      <c r="E130" s="12" t="s">
        <v>1366</v>
      </c>
      <c r="F130" s="11" t="s">
        <v>408</v>
      </c>
      <c r="G130" s="323" t="s">
        <v>1367</v>
      </c>
      <c r="H130" s="11"/>
      <c r="I130" s="11"/>
      <c r="J130" s="11" t="s">
        <v>1226</v>
      </c>
      <c r="K130" s="229" t="s">
        <v>1368</v>
      </c>
      <c r="L130" s="11" t="s">
        <v>1369</v>
      </c>
      <c r="M130" s="35" t="s">
        <v>1370</v>
      </c>
      <c r="N130" s="60">
        <v>45013</v>
      </c>
      <c r="O130" s="60">
        <v>45092</v>
      </c>
      <c r="P130" s="40" t="s">
        <v>401</v>
      </c>
      <c r="Q130" s="244">
        <v>10</v>
      </c>
      <c r="R130" s="35">
        <v>45111</v>
      </c>
      <c r="S130" s="35"/>
      <c r="T130" s="11" t="s">
        <v>960</v>
      </c>
      <c r="U130" s="52">
        <v>45093</v>
      </c>
      <c r="V130" s="52">
        <v>45093</v>
      </c>
      <c r="W130" s="52" t="s">
        <v>44</v>
      </c>
      <c r="X130" s="52">
        <v>45093</v>
      </c>
      <c r="Y130" s="52">
        <v>45093</v>
      </c>
      <c r="Z130" s="35" t="s">
        <v>198</v>
      </c>
      <c r="AA130" s="202" t="s">
        <v>1148</v>
      </c>
      <c r="AB130" s="234"/>
      <c r="AC130" s="284" t="s">
        <v>294</v>
      </c>
      <c r="AD130" s="284" t="s">
        <v>294</v>
      </c>
      <c r="AE130" s="259"/>
      <c r="AF130" s="224"/>
      <c r="AG130" s="224"/>
      <c r="AP130" s="328" t="s">
        <v>1371</v>
      </c>
    </row>
    <row r="131" ht="90" customHeight="1" spans="1:42">
      <c r="A131" s="213">
        <v>11</v>
      </c>
      <c r="B131" s="214" t="s">
        <v>1372</v>
      </c>
      <c r="C131" s="213" t="s">
        <v>1373</v>
      </c>
      <c r="D131" s="13" t="s">
        <v>1374</v>
      </c>
      <c r="E131" s="12" t="s">
        <v>1375</v>
      </c>
      <c r="F131" s="11" t="s">
        <v>408</v>
      </c>
      <c r="G131" s="323" t="s">
        <v>1376</v>
      </c>
      <c r="H131" s="11"/>
      <c r="I131" s="11"/>
      <c r="J131" s="11" t="s">
        <v>1151</v>
      </c>
      <c r="K131" s="229" t="s">
        <v>1377</v>
      </c>
      <c r="L131" s="11" t="s">
        <v>1378</v>
      </c>
      <c r="M131" s="35" t="s">
        <v>1379</v>
      </c>
      <c r="N131" s="60">
        <v>45014</v>
      </c>
      <c r="O131" s="60">
        <v>45077</v>
      </c>
      <c r="P131" s="40" t="s">
        <v>401</v>
      </c>
      <c r="Q131" s="244">
        <v>5</v>
      </c>
      <c r="R131" s="35">
        <v>45086</v>
      </c>
      <c r="S131" s="35"/>
      <c r="T131" s="11" t="s">
        <v>529</v>
      </c>
      <c r="U131" s="52">
        <v>45079</v>
      </c>
      <c r="V131" s="52">
        <v>45079</v>
      </c>
      <c r="W131" s="52" t="s">
        <v>44</v>
      </c>
      <c r="X131" s="52">
        <v>45078</v>
      </c>
      <c r="Y131" s="52">
        <v>45077</v>
      </c>
      <c r="Z131" s="35" t="s">
        <v>1299</v>
      </c>
      <c r="AA131" s="202" t="s">
        <v>1148</v>
      </c>
      <c r="AB131" s="224" t="s">
        <v>1300</v>
      </c>
      <c r="AC131" s="224" t="s">
        <v>294</v>
      </c>
      <c r="AD131" s="224" t="s">
        <v>294</v>
      </c>
      <c r="AE131" s="224"/>
      <c r="AF131" s="224"/>
      <c r="AG131" s="224"/>
      <c r="AP131" s="328" t="s">
        <v>1380</v>
      </c>
    </row>
    <row r="132" ht="90" customHeight="1" spans="1:42">
      <c r="A132" s="213">
        <v>12</v>
      </c>
      <c r="B132" s="214" t="s">
        <v>1381</v>
      </c>
      <c r="C132" s="213" t="s">
        <v>1382</v>
      </c>
      <c r="D132" s="215" t="s">
        <v>1383</v>
      </c>
      <c r="E132" s="12" t="s">
        <v>1384</v>
      </c>
      <c r="F132" s="11" t="s">
        <v>408</v>
      </c>
      <c r="G132" s="323" t="s">
        <v>1385</v>
      </c>
      <c r="H132" s="11"/>
      <c r="I132" s="11"/>
      <c r="J132" s="11" t="s">
        <v>1386</v>
      </c>
      <c r="K132" s="229" t="s">
        <v>1387</v>
      </c>
      <c r="L132" s="11" t="s">
        <v>1388</v>
      </c>
      <c r="M132" s="35" t="s">
        <v>1389</v>
      </c>
      <c r="N132" s="60">
        <v>45033</v>
      </c>
      <c r="O132" s="60">
        <v>45112</v>
      </c>
      <c r="P132" s="241" t="s">
        <v>401</v>
      </c>
      <c r="Q132" s="244">
        <v>1.2</v>
      </c>
      <c r="R132" s="35">
        <v>45138</v>
      </c>
      <c r="S132" s="35"/>
      <c r="T132" s="11" t="s">
        <v>529</v>
      </c>
      <c r="U132" s="52">
        <v>45114</v>
      </c>
      <c r="V132" s="52">
        <v>45114</v>
      </c>
      <c r="W132" s="52" t="s">
        <v>44</v>
      </c>
      <c r="X132" s="52">
        <v>45117</v>
      </c>
      <c r="Y132" s="52">
        <v>45113</v>
      </c>
      <c r="Z132" s="35" t="s">
        <v>198</v>
      </c>
      <c r="AA132" s="202" t="s">
        <v>1148</v>
      </c>
      <c r="AB132" s="224" t="s">
        <v>1356</v>
      </c>
      <c r="AC132" s="259" t="s">
        <v>294</v>
      </c>
      <c r="AD132" s="259" t="s">
        <v>294</v>
      </c>
      <c r="AE132" s="259"/>
      <c r="AF132" s="224"/>
      <c r="AG132" s="224"/>
      <c r="AP132" s="328" t="s">
        <v>1390</v>
      </c>
    </row>
    <row r="133" ht="90" customHeight="1" spans="1:42">
      <c r="A133" s="213">
        <v>13</v>
      </c>
      <c r="B133" s="214" t="s">
        <v>1391</v>
      </c>
      <c r="C133" s="213" t="s">
        <v>1392</v>
      </c>
      <c r="D133" s="216"/>
      <c r="E133" s="12" t="s">
        <v>1393</v>
      </c>
      <c r="F133" s="11" t="s">
        <v>1394</v>
      </c>
      <c r="G133" s="323" t="s">
        <v>1395</v>
      </c>
      <c r="H133" s="11"/>
      <c r="I133" s="11"/>
      <c r="J133" s="11" t="s">
        <v>1396</v>
      </c>
      <c r="K133" s="229" t="s">
        <v>1397</v>
      </c>
      <c r="L133" s="11" t="s">
        <v>1398</v>
      </c>
      <c r="M133" s="51" t="s">
        <v>1399</v>
      </c>
      <c r="N133" s="60">
        <v>45033</v>
      </c>
      <c r="O133" s="60">
        <v>45112</v>
      </c>
      <c r="P133" s="241" t="s">
        <v>401</v>
      </c>
      <c r="Q133" s="244">
        <v>0.2</v>
      </c>
      <c r="R133" s="35">
        <v>45138</v>
      </c>
      <c r="S133" s="35"/>
      <c r="T133" s="11" t="s">
        <v>529</v>
      </c>
      <c r="U133" s="52">
        <v>45114</v>
      </c>
      <c r="V133" s="52">
        <v>45114</v>
      </c>
      <c r="W133" s="52" t="s">
        <v>44</v>
      </c>
      <c r="X133" s="52">
        <v>45117</v>
      </c>
      <c r="Y133" s="52">
        <v>45113</v>
      </c>
      <c r="Z133" s="35" t="s">
        <v>198</v>
      </c>
      <c r="AA133" s="291"/>
      <c r="AB133" s="292" t="s">
        <v>1400</v>
      </c>
      <c r="AC133" s="260" t="s">
        <v>294</v>
      </c>
      <c r="AD133" s="260" t="s">
        <v>294</v>
      </c>
      <c r="AE133" s="259"/>
      <c r="AF133" s="224"/>
      <c r="AG133" s="224"/>
      <c r="AP133" s="328" t="s">
        <v>1401</v>
      </c>
    </row>
    <row r="134" ht="90" customHeight="1" spans="1:42">
      <c r="A134" s="213">
        <v>14</v>
      </c>
      <c r="B134" s="214" t="s">
        <v>1402</v>
      </c>
      <c r="C134" s="213" t="s">
        <v>1403</v>
      </c>
      <c r="D134" s="13" t="s">
        <v>1404</v>
      </c>
      <c r="E134" s="12" t="s">
        <v>1405</v>
      </c>
      <c r="F134" s="11" t="s">
        <v>408</v>
      </c>
      <c r="G134" s="323" t="s">
        <v>1406</v>
      </c>
      <c r="H134" s="11"/>
      <c r="I134" s="11"/>
      <c r="J134" s="11" t="s">
        <v>718</v>
      </c>
      <c r="K134" s="229" t="s">
        <v>1407</v>
      </c>
      <c r="L134" s="11" t="s">
        <v>1408</v>
      </c>
      <c r="M134" s="35" t="s">
        <v>1409</v>
      </c>
      <c r="N134" s="60">
        <v>45039</v>
      </c>
      <c r="O134" s="60">
        <v>45105</v>
      </c>
      <c r="P134" s="40" t="s">
        <v>401</v>
      </c>
      <c r="Q134" s="244">
        <v>1.2</v>
      </c>
      <c r="R134" s="35">
        <v>45124</v>
      </c>
      <c r="S134" s="35"/>
      <c r="T134" s="11" t="s">
        <v>476</v>
      </c>
      <c r="U134" s="52">
        <v>45107</v>
      </c>
      <c r="V134" s="52">
        <v>45113</v>
      </c>
      <c r="W134" s="52" t="s">
        <v>44</v>
      </c>
      <c r="X134" s="52">
        <v>45106</v>
      </c>
      <c r="Y134" s="52">
        <v>45106</v>
      </c>
      <c r="Z134" s="35" t="s">
        <v>198</v>
      </c>
      <c r="AA134" s="202" t="s">
        <v>1148</v>
      </c>
      <c r="AB134" s="224" t="s">
        <v>1356</v>
      </c>
      <c r="AC134" s="259" t="s">
        <v>294</v>
      </c>
      <c r="AD134" s="259" t="s">
        <v>294</v>
      </c>
      <c r="AE134" s="259"/>
      <c r="AF134" s="224"/>
      <c r="AG134" s="224"/>
      <c r="AP134" s="328" t="s">
        <v>1410</v>
      </c>
    </row>
    <row r="135" ht="90" customHeight="1" spans="1:42">
      <c r="A135" s="213">
        <v>15</v>
      </c>
      <c r="B135" s="214" t="s">
        <v>1411</v>
      </c>
      <c r="C135" s="213" t="s">
        <v>1412</v>
      </c>
      <c r="D135" s="13"/>
      <c r="E135" s="12" t="s">
        <v>1413</v>
      </c>
      <c r="F135" s="11" t="s">
        <v>751</v>
      </c>
      <c r="G135" s="323" t="s">
        <v>1414</v>
      </c>
      <c r="H135" s="11"/>
      <c r="I135" s="11"/>
      <c r="J135" s="11" t="s">
        <v>1336</v>
      </c>
      <c r="K135" s="229" t="s">
        <v>1415</v>
      </c>
      <c r="L135" s="11" t="s">
        <v>1416</v>
      </c>
      <c r="M135" s="35" t="s">
        <v>1417</v>
      </c>
      <c r="N135" s="60">
        <v>45039</v>
      </c>
      <c r="O135" s="60">
        <v>45105</v>
      </c>
      <c r="P135" s="40" t="s">
        <v>401</v>
      </c>
      <c r="Q135" s="244">
        <v>0.2</v>
      </c>
      <c r="R135" s="35">
        <v>45124</v>
      </c>
      <c r="S135" s="35"/>
      <c r="T135" s="11" t="s">
        <v>476</v>
      </c>
      <c r="U135" s="52">
        <v>45107</v>
      </c>
      <c r="V135" s="52">
        <v>45113</v>
      </c>
      <c r="W135" s="52" t="s">
        <v>44</v>
      </c>
      <c r="X135" s="52">
        <v>45106</v>
      </c>
      <c r="Y135" s="52">
        <v>45106</v>
      </c>
      <c r="Z135" s="35" t="s">
        <v>198</v>
      </c>
      <c r="AA135" s="202" t="s">
        <v>1148</v>
      </c>
      <c r="AB135" s="224" t="s">
        <v>1356</v>
      </c>
      <c r="AC135" s="259" t="s">
        <v>294</v>
      </c>
      <c r="AD135" s="259" t="s">
        <v>294</v>
      </c>
      <c r="AE135" s="259"/>
      <c r="AF135" s="224"/>
      <c r="AG135" s="224"/>
      <c r="AP135" s="328" t="s">
        <v>1418</v>
      </c>
    </row>
    <row r="136" ht="90" customHeight="1" spans="1:42">
      <c r="A136" s="213">
        <v>16</v>
      </c>
      <c r="B136" s="214" t="s">
        <v>1419</v>
      </c>
      <c r="C136" s="213" t="s">
        <v>1420</v>
      </c>
      <c r="D136" s="13"/>
      <c r="E136" s="12" t="s">
        <v>1421</v>
      </c>
      <c r="F136" s="11" t="s">
        <v>759</v>
      </c>
      <c r="G136" s="323" t="s">
        <v>1422</v>
      </c>
      <c r="H136" s="11"/>
      <c r="I136" s="11"/>
      <c r="J136" s="11" t="s">
        <v>1345</v>
      </c>
      <c r="K136" s="229" t="s">
        <v>1423</v>
      </c>
      <c r="L136" s="11" t="s">
        <v>1424</v>
      </c>
      <c r="M136" s="35" t="s">
        <v>1425</v>
      </c>
      <c r="N136" s="60">
        <v>45039</v>
      </c>
      <c r="O136" s="60">
        <v>45105</v>
      </c>
      <c r="P136" s="40" t="s">
        <v>401</v>
      </c>
      <c r="Q136" s="244">
        <v>0.2</v>
      </c>
      <c r="R136" s="35">
        <v>45124</v>
      </c>
      <c r="S136" s="35"/>
      <c r="T136" s="11" t="s">
        <v>476</v>
      </c>
      <c r="U136" s="52">
        <v>45107</v>
      </c>
      <c r="V136" s="52">
        <v>45113</v>
      </c>
      <c r="W136" s="52" t="s">
        <v>44</v>
      </c>
      <c r="X136" s="52">
        <v>45106</v>
      </c>
      <c r="Y136" s="52">
        <v>45106</v>
      </c>
      <c r="Z136" s="35" t="s">
        <v>198</v>
      </c>
      <c r="AA136" s="202" t="s">
        <v>1148</v>
      </c>
      <c r="AB136" s="234"/>
      <c r="AC136" s="284" t="s">
        <v>294</v>
      </c>
      <c r="AD136" s="284" t="s">
        <v>294</v>
      </c>
      <c r="AE136" s="259"/>
      <c r="AF136" s="224"/>
      <c r="AG136" s="224"/>
      <c r="AP136" s="328" t="s">
        <v>1426</v>
      </c>
    </row>
    <row r="137" ht="90" customHeight="1" spans="1:42">
      <c r="A137" s="213">
        <v>17</v>
      </c>
      <c r="B137" s="214" t="s">
        <v>1427</v>
      </c>
      <c r="C137" s="213" t="s">
        <v>1428</v>
      </c>
      <c r="D137" s="13" t="s">
        <v>1429</v>
      </c>
      <c r="E137" s="12" t="s">
        <v>415</v>
      </c>
      <c r="F137" s="11" t="s">
        <v>416</v>
      </c>
      <c r="G137" s="323" t="s">
        <v>1430</v>
      </c>
      <c r="H137" s="11"/>
      <c r="I137" s="11"/>
      <c r="J137" s="11" t="s">
        <v>1235</v>
      </c>
      <c r="K137" s="229" t="s">
        <v>1431</v>
      </c>
      <c r="L137" s="11" t="s">
        <v>1432</v>
      </c>
      <c r="M137" s="35" t="s">
        <v>1433</v>
      </c>
      <c r="N137" s="60">
        <v>45054</v>
      </c>
      <c r="O137" s="60">
        <v>45105</v>
      </c>
      <c r="P137" s="40" t="s">
        <v>401</v>
      </c>
      <c r="Q137" s="244">
        <v>5</v>
      </c>
      <c r="R137" s="35">
        <v>45124</v>
      </c>
      <c r="S137" s="35"/>
      <c r="T137" s="11" t="s">
        <v>476</v>
      </c>
      <c r="U137" s="52">
        <v>45107</v>
      </c>
      <c r="V137" s="52">
        <v>45113</v>
      </c>
      <c r="W137" s="52" t="s">
        <v>44</v>
      </c>
      <c r="X137" s="52">
        <v>45106</v>
      </c>
      <c r="Y137" s="52">
        <v>45106</v>
      </c>
      <c r="Z137" s="35" t="s">
        <v>198</v>
      </c>
      <c r="AA137" s="202" t="s">
        <v>1148</v>
      </c>
      <c r="AB137" s="234"/>
      <c r="AC137" s="284" t="s">
        <v>294</v>
      </c>
      <c r="AD137" s="284" t="s">
        <v>294</v>
      </c>
      <c r="AE137" s="259"/>
      <c r="AF137" s="224"/>
      <c r="AG137" s="224"/>
      <c r="AP137" s="328" t="s">
        <v>1434</v>
      </c>
    </row>
    <row r="138" ht="90" customHeight="1" spans="1:42">
      <c r="A138" s="213">
        <v>18</v>
      </c>
      <c r="B138" s="214" t="s">
        <v>1435</v>
      </c>
      <c r="C138" s="11" t="s">
        <v>1436</v>
      </c>
      <c r="D138" s="13" t="s">
        <v>1437</v>
      </c>
      <c r="E138" s="12" t="s">
        <v>1438</v>
      </c>
      <c r="F138" s="11" t="s">
        <v>416</v>
      </c>
      <c r="G138" s="323" t="s">
        <v>1439</v>
      </c>
      <c r="H138" s="11"/>
      <c r="I138" s="11"/>
      <c r="J138" s="11" t="s">
        <v>1440</v>
      </c>
      <c r="K138" s="229" t="s">
        <v>1441</v>
      </c>
      <c r="L138" s="11" t="s">
        <v>1442</v>
      </c>
      <c r="M138" s="35" t="s">
        <v>1443</v>
      </c>
      <c r="N138" s="60">
        <v>45077</v>
      </c>
      <c r="O138" s="60">
        <v>45153</v>
      </c>
      <c r="P138" s="40" t="s">
        <v>401</v>
      </c>
      <c r="Q138" s="244">
        <v>10</v>
      </c>
      <c r="R138" s="35">
        <v>45159</v>
      </c>
      <c r="S138" s="35"/>
      <c r="T138" s="11" t="s">
        <v>529</v>
      </c>
      <c r="U138" s="52">
        <v>45159</v>
      </c>
      <c r="V138" s="52">
        <v>45159</v>
      </c>
      <c r="W138" s="52" t="s">
        <v>44</v>
      </c>
      <c r="X138" s="52">
        <v>45154</v>
      </c>
      <c r="Y138" s="52">
        <v>45154</v>
      </c>
      <c r="Z138" s="35" t="s">
        <v>198</v>
      </c>
      <c r="AA138" s="202" t="s">
        <v>1148</v>
      </c>
      <c r="AB138" s="234"/>
      <c r="AC138" s="284" t="s">
        <v>294</v>
      </c>
      <c r="AD138" s="284" t="s">
        <v>294</v>
      </c>
      <c r="AE138" s="259"/>
      <c r="AF138" s="224"/>
      <c r="AG138" s="224"/>
      <c r="AP138" s="328" t="s">
        <v>1444</v>
      </c>
    </row>
    <row r="139" ht="90" customHeight="1" spans="1:42">
      <c r="A139" s="213">
        <v>19</v>
      </c>
      <c r="B139" s="214" t="s">
        <v>1445</v>
      </c>
      <c r="C139" s="213" t="s">
        <v>1446</v>
      </c>
      <c r="D139" s="13" t="s">
        <v>1447</v>
      </c>
      <c r="E139" s="12" t="s">
        <v>1448</v>
      </c>
      <c r="F139" s="11" t="s">
        <v>416</v>
      </c>
      <c r="G139" s="323" t="s">
        <v>1449</v>
      </c>
      <c r="H139" s="11"/>
      <c r="I139" s="11"/>
      <c r="J139" s="11" t="s">
        <v>1450</v>
      </c>
      <c r="K139" s="229" t="s">
        <v>1451</v>
      </c>
      <c r="L139" s="11" t="s">
        <v>1452</v>
      </c>
      <c r="M139" s="35" t="s">
        <v>1453</v>
      </c>
      <c r="N139" s="60">
        <v>45085</v>
      </c>
      <c r="O139" s="60">
        <v>45154</v>
      </c>
      <c r="P139" s="40" t="s">
        <v>401</v>
      </c>
      <c r="Q139" s="244">
        <v>5</v>
      </c>
      <c r="R139" s="35">
        <v>45163</v>
      </c>
      <c r="S139" s="35"/>
      <c r="T139" s="11" t="s">
        <v>476</v>
      </c>
      <c r="U139" s="52">
        <v>45156</v>
      </c>
      <c r="V139" s="52">
        <v>45159</v>
      </c>
      <c r="W139" s="52" t="s">
        <v>44</v>
      </c>
      <c r="X139" s="52">
        <v>45156</v>
      </c>
      <c r="Y139" s="52">
        <v>45156</v>
      </c>
      <c r="Z139" s="35" t="s">
        <v>1454</v>
      </c>
      <c r="AA139" s="202" t="s">
        <v>1148</v>
      </c>
      <c r="AB139" s="224"/>
      <c r="AC139" s="259" t="s">
        <v>294</v>
      </c>
      <c r="AD139" s="259" t="s">
        <v>294</v>
      </c>
      <c r="AE139" s="259"/>
      <c r="AF139" s="224"/>
      <c r="AG139" s="224"/>
      <c r="AP139" s="328" t="s">
        <v>1455</v>
      </c>
    </row>
    <row r="140" ht="90" customHeight="1" spans="1:42">
      <c r="A140" s="213">
        <v>20</v>
      </c>
      <c r="B140" s="214" t="s">
        <v>1456</v>
      </c>
      <c r="C140" s="213" t="s">
        <v>1386</v>
      </c>
      <c r="D140" s="215" t="s">
        <v>1457</v>
      </c>
      <c r="E140" s="12" t="s">
        <v>1458</v>
      </c>
      <c r="F140" s="11" t="s">
        <v>408</v>
      </c>
      <c r="G140" s="323" t="s">
        <v>1459</v>
      </c>
      <c r="H140" s="11"/>
      <c r="I140" s="11"/>
      <c r="J140" s="11" t="s">
        <v>1386</v>
      </c>
      <c r="K140" s="229" t="s">
        <v>1460</v>
      </c>
      <c r="L140" s="11" t="s">
        <v>1461</v>
      </c>
      <c r="M140" s="35" t="s">
        <v>1462</v>
      </c>
      <c r="N140" s="60">
        <v>45092</v>
      </c>
      <c r="O140" s="60">
        <v>45180</v>
      </c>
      <c r="P140" s="241" t="s">
        <v>401</v>
      </c>
      <c r="Q140" s="244">
        <v>1.2</v>
      </c>
      <c r="R140" s="35">
        <v>45189</v>
      </c>
      <c r="S140" s="35"/>
      <c r="T140" s="11" t="s">
        <v>529</v>
      </c>
      <c r="U140" s="52">
        <v>45180</v>
      </c>
      <c r="V140" s="52">
        <v>45181</v>
      </c>
      <c r="W140" s="52" t="s">
        <v>44</v>
      </c>
      <c r="X140" s="52">
        <v>45180</v>
      </c>
      <c r="Y140" s="52">
        <v>45180</v>
      </c>
      <c r="Z140" s="35" t="s">
        <v>1454</v>
      </c>
      <c r="AA140" s="202" t="s">
        <v>1148</v>
      </c>
      <c r="AB140" s="224"/>
      <c r="AC140" s="259" t="s">
        <v>294</v>
      </c>
      <c r="AD140" s="259" t="s">
        <v>294</v>
      </c>
      <c r="AE140" s="259"/>
      <c r="AF140" s="224"/>
      <c r="AG140" s="224"/>
      <c r="AP140" s="328" t="s">
        <v>1463</v>
      </c>
    </row>
    <row r="141" ht="90" customHeight="1" spans="1:42">
      <c r="A141" s="213">
        <v>21</v>
      </c>
      <c r="B141" s="214" t="s">
        <v>1464</v>
      </c>
      <c r="C141" s="213" t="s">
        <v>1386</v>
      </c>
      <c r="D141" s="216"/>
      <c r="E141" s="12" t="s">
        <v>1465</v>
      </c>
      <c r="F141" s="11" t="s">
        <v>751</v>
      </c>
      <c r="G141" s="323" t="s">
        <v>1466</v>
      </c>
      <c r="H141" s="11"/>
      <c r="I141" s="11"/>
      <c r="J141" s="11" t="s">
        <v>1386</v>
      </c>
      <c r="K141" s="229" t="s">
        <v>1467</v>
      </c>
      <c r="L141" s="11" t="s">
        <v>1468</v>
      </c>
      <c r="M141" s="35" t="s">
        <v>1469</v>
      </c>
      <c r="N141" s="60">
        <v>45092</v>
      </c>
      <c r="O141" s="60">
        <v>45180</v>
      </c>
      <c r="P141" s="241" t="s">
        <v>401</v>
      </c>
      <c r="Q141" s="244">
        <v>0.2</v>
      </c>
      <c r="R141" s="35">
        <v>45189</v>
      </c>
      <c r="S141" s="35"/>
      <c r="T141" s="11" t="s">
        <v>529</v>
      </c>
      <c r="U141" s="52">
        <v>45180</v>
      </c>
      <c r="V141" s="52">
        <v>45181</v>
      </c>
      <c r="W141" s="52" t="s">
        <v>44</v>
      </c>
      <c r="X141" s="52">
        <v>45180</v>
      </c>
      <c r="Y141" s="52">
        <v>45180</v>
      </c>
      <c r="Z141" s="35" t="s">
        <v>1454</v>
      </c>
      <c r="AA141" s="202" t="s">
        <v>1148</v>
      </c>
      <c r="AB141" s="224"/>
      <c r="AC141" s="259" t="s">
        <v>294</v>
      </c>
      <c r="AD141" s="259" t="s">
        <v>294</v>
      </c>
      <c r="AE141" s="259"/>
      <c r="AF141" s="224"/>
      <c r="AG141" s="224"/>
      <c r="AP141" s="328" t="s">
        <v>1470</v>
      </c>
    </row>
    <row r="142" s="201" customFormat="1" ht="90" customHeight="1" spans="1:42">
      <c r="A142" s="11">
        <v>22</v>
      </c>
      <c r="B142" s="12" t="s">
        <v>1471</v>
      </c>
      <c r="C142" s="11" t="s">
        <v>1472</v>
      </c>
      <c r="D142" s="216" t="s">
        <v>1473</v>
      </c>
      <c r="E142" s="12" t="s">
        <v>1458</v>
      </c>
      <c r="F142" s="11" t="s">
        <v>408</v>
      </c>
      <c r="G142" s="323" t="s">
        <v>1459</v>
      </c>
      <c r="H142" s="11"/>
      <c r="I142" s="11"/>
      <c r="J142" s="11" t="s">
        <v>1373</v>
      </c>
      <c r="K142" s="229" t="s">
        <v>1474</v>
      </c>
      <c r="L142" s="11" t="s">
        <v>1475</v>
      </c>
      <c r="M142" s="35" t="s">
        <v>1476</v>
      </c>
      <c r="N142" s="60">
        <v>45126</v>
      </c>
      <c r="O142" s="60">
        <v>45208</v>
      </c>
      <c r="P142" s="40" t="s">
        <v>401</v>
      </c>
      <c r="Q142" s="244">
        <v>5</v>
      </c>
      <c r="R142" s="35">
        <v>45222</v>
      </c>
      <c r="S142" s="35"/>
      <c r="T142" s="11" t="s">
        <v>476</v>
      </c>
      <c r="U142" s="52">
        <v>45208</v>
      </c>
      <c r="V142" s="52">
        <v>45208</v>
      </c>
      <c r="W142" s="52" t="s">
        <v>44</v>
      </c>
      <c r="X142" s="52">
        <v>45209</v>
      </c>
      <c r="Y142" s="52">
        <v>45208</v>
      </c>
      <c r="Z142" s="35" t="s">
        <v>1454</v>
      </c>
      <c r="AA142" s="202" t="s">
        <v>1148</v>
      </c>
      <c r="AB142" s="224" t="s">
        <v>1477</v>
      </c>
      <c r="AC142" s="259" t="s">
        <v>294</v>
      </c>
      <c r="AD142" s="259" t="s">
        <v>294</v>
      </c>
      <c r="AE142" s="234"/>
      <c r="AF142" s="234"/>
      <c r="AG142" s="234"/>
      <c r="AP142" s="328" t="s">
        <v>1478</v>
      </c>
    </row>
    <row r="143" s="201" customFormat="1" ht="90" customHeight="1" spans="1:42">
      <c r="A143" s="11">
        <v>23</v>
      </c>
      <c r="B143" s="12" t="s">
        <v>1479</v>
      </c>
      <c r="C143" s="11" t="s">
        <v>1480</v>
      </c>
      <c r="D143" s="216" t="s">
        <v>1481</v>
      </c>
      <c r="E143" s="12" t="s">
        <v>1482</v>
      </c>
      <c r="F143" s="11" t="s">
        <v>416</v>
      </c>
      <c r="G143" s="323" t="s">
        <v>1483</v>
      </c>
      <c r="H143" s="11"/>
      <c r="I143" s="11"/>
      <c r="J143" s="11" t="s">
        <v>1226</v>
      </c>
      <c r="K143" s="229" t="s">
        <v>1484</v>
      </c>
      <c r="L143" s="11" t="s">
        <v>1485</v>
      </c>
      <c r="M143" s="35" t="s">
        <v>1486</v>
      </c>
      <c r="N143" s="60">
        <v>45131</v>
      </c>
      <c r="O143" s="60">
        <v>45219</v>
      </c>
      <c r="P143" s="40" t="s">
        <v>401</v>
      </c>
      <c r="Q143" s="244">
        <v>10</v>
      </c>
      <c r="R143" s="35">
        <v>45237</v>
      </c>
      <c r="S143" s="35"/>
      <c r="T143" s="11" t="s">
        <v>529</v>
      </c>
      <c r="U143" s="52">
        <v>45222</v>
      </c>
      <c r="V143" s="52">
        <v>45222</v>
      </c>
      <c r="W143" s="52" t="s">
        <v>44</v>
      </c>
      <c r="X143" s="52">
        <v>45223</v>
      </c>
      <c r="Y143" s="52">
        <v>45222</v>
      </c>
      <c r="Z143" s="35" t="s">
        <v>1454</v>
      </c>
      <c r="AA143" s="202" t="s">
        <v>1148</v>
      </c>
      <c r="AB143" s="224" t="s">
        <v>1477</v>
      </c>
      <c r="AC143" s="259" t="s">
        <v>294</v>
      </c>
      <c r="AD143" s="259" t="s">
        <v>294</v>
      </c>
      <c r="AE143" s="234"/>
      <c r="AF143" s="234"/>
      <c r="AG143" s="234"/>
      <c r="AP143" s="328" t="s">
        <v>1487</v>
      </c>
    </row>
    <row r="144" s="201" customFormat="1" ht="90" customHeight="1" spans="1:42">
      <c r="A144" s="11">
        <v>24</v>
      </c>
      <c r="B144" s="12" t="s">
        <v>1488</v>
      </c>
      <c r="C144" s="11" t="s">
        <v>660</v>
      </c>
      <c r="D144" s="13" t="s">
        <v>1489</v>
      </c>
      <c r="E144" s="12" t="s">
        <v>1490</v>
      </c>
      <c r="F144" s="11" t="s">
        <v>416</v>
      </c>
      <c r="G144" s="323" t="s">
        <v>1491</v>
      </c>
      <c r="H144" s="11"/>
      <c r="I144" s="11"/>
      <c r="J144" s="11" t="s">
        <v>660</v>
      </c>
      <c r="K144" s="229" t="s">
        <v>1492</v>
      </c>
      <c r="L144" s="11" t="s">
        <v>1493</v>
      </c>
      <c r="M144" s="35" t="s">
        <v>1494</v>
      </c>
      <c r="N144" s="60">
        <v>45135</v>
      </c>
      <c r="O144" s="60">
        <v>45219</v>
      </c>
      <c r="P144" s="40" t="s">
        <v>401</v>
      </c>
      <c r="Q144" s="244">
        <v>1.2</v>
      </c>
      <c r="R144" s="35">
        <v>45236</v>
      </c>
      <c r="S144" s="35"/>
      <c r="T144" s="11" t="s">
        <v>529</v>
      </c>
      <c r="U144" s="52">
        <v>45222</v>
      </c>
      <c r="V144" s="52">
        <v>45222</v>
      </c>
      <c r="W144" s="52" t="s">
        <v>44</v>
      </c>
      <c r="X144" s="52">
        <v>45223</v>
      </c>
      <c r="Y144" s="52">
        <v>45222</v>
      </c>
      <c r="Z144" s="35" t="s">
        <v>1454</v>
      </c>
      <c r="AA144" s="202" t="s">
        <v>1148</v>
      </c>
      <c r="AB144" s="224" t="s">
        <v>1477</v>
      </c>
      <c r="AC144" s="259" t="s">
        <v>294</v>
      </c>
      <c r="AD144" s="259" t="s">
        <v>294</v>
      </c>
      <c r="AE144" s="234"/>
      <c r="AF144" s="234"/>
      <c r="AG144" s="234"/>
      <c r="AP144" s="328" t="s">
        <v>1495</v>
      </c>
    </row>
    <row r="145" s="201" customFormat="1" ht="90" customHeight="1" spans="1:42">
      <c r="A145" s="11">
        <v>25</v>
      </c>
      <c r="B145" s="12" t="s">
        <v>1496</v>
      </c>
      <c r="C145" s="11" t="s">
        <v>1497</v>
      </c>
      <c r="D145" s="13"/>
      <c r="E145" s="12" t="s">
        <v>1498</v>
      </c>
      <c r="F145" s="11" t="s">
        <v>509</v>
      </c>
      <c r="G145" s="323" t="s">
        <v>1499</v>
      </c>
      <c r="H145" s="11" t="s">
        <v>42</v>
      </c>
      <c r="I145" s="11" t="s">
        <v>42</v>
      </c>
      <c r="J145" s="11" t="s">
        <v>1497</v>
      </c>
      <c r="K145" s="229" t="s">
        <v>1500</v>
      </c>
      <c r="L145" s="11" t="s">
        <v>1501</v>
      </c>
      <c r="M145" s="35" t="s">
        <v>1502</v>
      </c>
      <c r="N145" s="60">
        <v>45135</v>
      </c>
      <c r="O145" s="60">
        <v>45219</v>
      </c>
      <c r="P145" s="40" t="s">
        <v>401</v>
      </c>
      <c r="Q145" s="244">
        <v>0.2</v>
      </c>
      <c r="R145" s="35">
        <v>45236</v>
      </c>
      <c r="S145" s="35"/>
      <c r="T145" s="11" t="s">
        <v>529</v>
      </c>
      <c r="U145" s="52">
        <v>45222</v>
      </c>
      <c r="V145" s="52">
        <v>45222</v>
      </c>
      <c r="W145" s="52" t="s">
        <v>44</v>
      </c>
      <c r="X145" s="52">
        <v>45223</v>
      </c>
      <c r="Y145" s="52">
        <v>45222</v>
      </c>
      <c r="Z145" s="35" t="s">
        <v>1454</v>
      </c>
      <c r="AA145" s="202" t="s">
        <v>1148</v>
      </c>
      <c r="AB145" s="224" t="s">
        <v>1477</v>
      </c>
      <c r="AC145" s="259" t="s">
        <v>294</v>
      </c>
      <c r="AD145" s="259" t="s">
        <v>294</v>
      </c>
      <c r="AE145" s="234"/>
      <c r="AF145" s="234"/>
      <c r="AG145" s="234"/>
      <c r="AP145" s="328" t="s">
        <v>1503</v>
      </c>
    </row>
    <row r="146" s="201" customFormat="1" ht="90" customHeight="1" spans="1:42">
      <c r="A146" s="11">
        <v>26</v>
      </c>
      <c r="B146" s="12" t="s">
        <v>1504</v>
      </c>
      <c r="C146" s="11" t="s">
        <v>1505</v>
      </c>
      <c r="D146" s="13"/>
      <c r="E146" s="12" t="s">
        <v>1506</v>
      </c>
      <c r="F146" s="11" t="s">
        <v>516</v>
      </c>
      <c r="G146" s="323" t="s">
        <v>1507</v>
      </c>
      <c r="H146" s="11" t="s">
        <v>42</v>
      </c>
      <c r="I146" s="11" t="s">
        <v>42</v>
      </c>
      <c r="J146" s="11" t="s">
        <v>1505</v>
      </c>
      <c r="K146" s="229" t="s">
        <v>1508</v>
      </c>
      <c r="L146" s="11" t="s">
        <v>1509</v>
      </c>
      <c r="M146" s="35" t="s">
        <v>1510</v>
      </c>
      <c r="N146" s="60">
        <v>45135</v>
      </c>
      <c r="O146" s="60">
        <v>45219</v>
      </c>
      <c r="P146" s="40" t="s">
        <v>401</v>
      </c>
      <c r="Q146" s="244">
        <v>0.2</v>
      </c>
      <c r="R146" s="35">
        <v>45236</v>
      </c>
      <c r="S146" s="35"/>
      <c r="T146" s="11" t="s">
        <v>529</v>
      </c>
      <c r="U146" s="52">
        <v>45222</v>
      </c>
      <c r="V146" s="52">
        <v>45222</v>
      </c>
      <c r="W146" s="52" t="s">
        <v>44</v>
      </c>
      <c r="X146" s="52">
        <v>45223</v>
      </c>
      <c r="Y146" s="52">
        <v>45222</v>
      </c>
      <c r="Z146" s="35" t="s">
        <v>1454</v>
      </c>
      <c r="AA146" s="202" t="s">
        <v>1148</v>
      </c>
      <c r="AB146" s="224" t="s">
        <v>1477</v>
      </c>
      <c r="AC146" s="259" t="s">
        <v>294</v>
      </c>
      <c r="AD146" s="259" t="s">
        <v>294</v>
      </c>
      <c r="AE146" s="234"/>
      <c r="AF146" s="234"/>
      <c r="AG146" s="234"/>
      <c r="AP146" s="328" t="s">
        <v>1511</v>
      </c>
    </row>
    <row r="147" s="3" customFormat="1" ht="90" customHeight="1" spans="1:42">
      <c r="A147" s="11">
        <v>27</v>
      </c>
      <c r="B147" s="12" t="s">
        <v>1512</v>
      </c>
      <c r="C147" s="11" t="s">
        <v>1513</v>
      </c>
      <c r="D147" s="13" t="s">
        <v>1514</v>
      </c>
      <c r="E147" s="12" t="s">
        <v>1515</v>
      </c>
      <c r="F147" s="11" t="s">
        <v>1516</v>
      </c>
      <c r="G147" s="323" t="s">
        <v>1517</v>
      </c>
      <c r="H147" s="11"/>
      <c r="I147" s="11"/>
      <c r="J147" s="11" t="s">
        <v>1518</v>
      </c>
      <c r="K147" s="229" t="s">
        <v>1519</v>
      </c>
      <c r="L147" s="11" t="s">
        <v>1520</v>
      </c>
      <c r="M147" s="35" t="s">
        <v>1521</v>
      </c>
      <c r="N147" s="60">
        <v>45280</v>
      </c>
      <c r="O147" s="60">
        <v>45357</v>
      </c>
      <c r="P147" s="40" t="s">
        <v>634</v>
      </c>
      <c r="Q147" s="244">
        <v>3</v>
      </c>
      <c r="R147" s="35">
        <v>45391</v>
      </c>
      <c r="S147" s="35"/>
      <c r="T147" s="11" t="s">
        <v>1522</v>
      </c>
      <c r="U147" s="52">
        <v>45359</v>
      </c>
      <c r="V147" s="52">
        <v>45362</v>
      </c>
      <c r="W147" s="52" t="s">
        <v>44</v>
      </c>
      <c r="X147" s="52">
        <v>45362</v>
      </c>
      <c r="Y147" s="52">
        <v>45362</v>
      </c>
      <c r="Z147" s="35" t="s">
        <v>1523</v>
      </c>
      <c r="AB147" s="258" t="s">
        <v>1524</v>
      </c>
      <c r="AC147" s="259" t="s">
        <v>294</v>
      </c>
      <c r="AD147" s="259" t="s">
        <v>294</v>
      </c>
      <c r="AE147" s="234"/>
      <c r="AF147" s="234"/>
      <c r="AG147" s="234"/>
      <c r="AP147" s="65"/>
    </row>
    <row r="148" s="3" customFormat="1" ht="90" customHeight="1" spans="1:42">
      <c r="A148" s="11">
        <v>28</v>
      </c>
      <c r="B148" s="12" t="s">
        <v>1525</v>
      </c>
      <c r="C148" s="11" t="s">
        <v>1526</v>
      </c>
      <c r="D148" s="13"/>
      <c r="E148" s="12" t="s">
        <v>1527</v>
      </c>
      <c r="F148" s="11" t="s">
        <v>425</v>
      </c>
      <c r="G148" s="323" t="s">
        <v>1528</v>
      </c>
      <c r="H148" s="11"/>
      <c r="I148" s="11"/>
      <c r="J148" s="11" t="s">
        <v>1529</v>
      </c>
      <c r="K148" s="229" t="s">
        <v>1530</v>
      </c>
      <c r="L148" s="11" t="s">
        <v>1531</v>
      </c>
      <c r="M148" s="35" t="s">
        <v>1532</v>
      </c>
      <c r="N148" s="60">
        <v>45280</v>
      </c>
      <c r="O148" s="60">
        <v>45357</v>
      </c>
      <c r="P148" s="40" t="s">
        <v>634</v>
      </c>
      <c r="Q148" s="244">
        <v>1</v>
      </c>
      <c r="R148" s="35">
        <v>45391</v>
      </c>
      <c r="S148" s="35"/>
      <c r="T148" s="11" t="s">
        <v>1522</v>
      </c>
      <c r="U148" s="52">
        <v>45359</v>
      </c>
      <c r="V148" s="52">
        <v>45362</v>
      </c>
      <c r="W148" s="52" t="s">
        <v>44</v>
      </c>
      <c r="X148" s="52">
        <v>45362</v>
      </c>
      <c r="Y148" s="52">
        <v>45362</v>
      </c>
      <c r="Z148" s="35" t="s">
        <v>1533</v>
      </c>
      <c r="AB148" s="258" t="s">
        <v>1524</v>
      </c>
      <c r="AC148" s="259" t="s">
        <v>294</v>
      </c>
      <c r="AD148" s="259" t="s">
        <v>294</v>
      </c>
      <c r="AE148" s="234"/>
      <c r="AF148" s="234"/>
      <c r="AG148" s="234"/>
      <c r="AP148" s="65"/>
    </row>
    <row r="149" s="3" customFormat="1" ht="90" customHeight="1" spans="1:42">
      <c r="A149" s="11">
        <v>29</v>
      </c>
      <c r="B149" s="12" t="s">
        <v>1534</v>
      </c>
      <c r="C149" s="11" t="s">
        <v>1535</v>
      </c>
      <c r="D149" s="13"/>
      <c r="E149" s="12" t="s">
        <v>1536</v>
      </c>
      <c r="F149" s="11" t="s">
        <v>1537</v>
      </c>
      <c r="G149" s="323" t="s">
        <v>1538</v>
      </c>
      <c r="H149" s="11"/>
      <c r="I149" s="11"/>
      <c r="J149" s="11" t="s">
        <v>1539</v>
      </c>
      <c r="K149" s="229" t="s">
        <v>1540</v>
      </c>
      <c r="L149" s="11" t="s">
        <v>1541</v>
      </c>
      <c r="M149" s="35" t="s">
        <v>1542</v>
      </c>
      <c r="N149" s="60">
        <v>45280</v>
      </c>
      <c r="O149" s="60">
        <v>45357</v>
      </c>
      <c r="P149" s="40" t="s">
        <v>634</v>
      </c>
      <c r="Q149" s="244">
        <v>3</v>
      </c>
      <c r="R149" s="35">
        <v>45391</v>
      </c>
      <c r="S149" s="35"/>
      <c r="T149" s="11" t="s">
        <v>1522</v>
      </c>
      <c r="U149" s="52">
        <v>45359</v>
      </c>
      <c r="V149" s="52">
        <v>45362</v>
      </c>
      <c r="W149" s="52" t="s">
        <v>44</v>
      </c>
      <c r="X149" s="52">
        <v>45362</v>
      </c>
      <c r="Y149" s="52">
        <v>45362</v>
      </c>
      <c r="Z149" s="35" t="s">
        <v>1523</v>
      </c>
      <c r="AB149" s="258" t="s">
        <v>1524</v>
      </c>
      <c r="AC149" s="259" t="s">
        <v>294</v>
      </c>
      <c r="AD149" s="259" t="s">
        <v>294</v>
      </c>
      <c r="AE149" s="234"/>
      <c r="AF149" s="234"/>
      <c r="AG149" s="234"/>
      <c r="AP149" s="65"/>
    </row>
    <row r="150" s="3" customFormat="1" ht="115.5" spans="1:42">
      <c r="A150" s="11">
        <v>1</v>
      </c>
      <c r="B150" s="12" t="s">
        <v>1543</v>
      </c>
      <c r="C150" s="11" t="s">
        <v>1373</v>
      </c>
      <c r="D150" s="13" t="s">
        <v>1544</v>
      </c>
      <c r="E150" s="12" t="s">
        <v>1545</v>
      </c>
      <c r="F150" s="11" t="s">
        <v>416</v>
      </c>
      <c r="G150" s="323" t="s">
        <v>1546</v>
      </c>
      <c r="H150" s="11" t="s">
        <v>1547</v>
      </c>
      <c r="I150" s="323" t="s">
        <v>1548</v>
      </c>
      <c r="J150" s="11" t="s">
        <v>1373</v>
      </c>
      <c r="K150" s="229" t="s">
        <v>1549</v>
      </c>
      <c r="L150" s="11" t="s">
        <v>1550</v>
      </c>
      <c r="M150" s="35" t="s">
        <v>1551</v>
      </c>
      <c r="N150" s="60">
        <v>45306</v>
      </c>
      <c r="O150" s="60">
        <v>45391</v>
      </c>
      <c r="P150" s="40" t="s">
        <v>401</v>
      </c>
      <c r="Q150" s="244">
        <v>5</v>
      </c>
      <c r="R150" s="35">
        <v>45412</v>
      </c>
      <c r="S150" s="35"/>
      <c r="T150" s="11" t="s">
        <v>529</v>
      </c>
      <c r="U150" s="52">
        <v>45393</v>
      </c>
      <c r="V150" s="52">
        <v>45393</v>
      </c>
      <c r="W150" s="52" t="s">
        <v>44</v>
      </c>
      <c r="X150" s="52">
        <v>45393</v>
      </c>
      <c r="Y150" s="52">
        <v>45393</v>
      </c>
      <c r="Z150" s="35" t="s">
        <v>1533</v>
      </c>
      <c r="AB150" s="258" t="s">
        <v>1524</v>
      </c>
      <c r="AC150" s="259" t="s">
        <v>294</v>
      </c>
      <c r="AD150" s="259" t="s">
        <v>294</v>
      </c>
      <c r="AE150" s="234"/>
      <c r="AF150" s="234"/>
      <c r="AG150" s="234"/>
      <c r="AO150" s="328" t="s">
        <v>1552</v>
      </c>
      <c r="AP150" s="261"/>
    </row>
    <row r="151" s="3" customFormat="1" ht="90" customHeight="1" spans="1:42">
      <c r="A151" s="11">
        <v>2</v>
      </c>
      <c r="B151" s="12" t="s">
        <v>1553</v>
      </c>
      <c r="C151" s="11" t="s">
        <v>1373</v>
      </c>
      <c r="D151" s="13" t="s">
        <v>1554</v>
      </c>
      <c r="E151" s="12" t="s">
        <v>1555</v>
      </c>
      <c r="F151" s="11" t="s">
        <v>408</v>
      </c>
      <c r="G151" s="323" t="s">
        <v>1556</v>
      </c>
      <c r="H151" s="11" t="s">
        <v>1557</v>
      </c>
      <c r="I151" s="323" t="s">
        <v>1558</v>
      </c>
      <c r="J151" s="11" t="s">
        <v>1373</v>
      </c>
      <c r="K151" s="229" t="s">
        <v>1559</v>
      </c>
      <c r="L151" s="11" t="s">
        <v>1560</v>
      </c>
      <c r="M151" s="35" t="s">
        <v>1561</v>
      </c>
      <c r="N151" s="60">
        <v>45366</v>
      </c>
      <c r="O151" s="60">
        <v>45443</v>
      </c>
      <c r="P151" s="40" t="s">
        <v>401</v>
      </c>
      <c r="Q151" s="244">
        <v>5</v>
      </c>
      <c r="R151" s="35">
        <v>45457</v>
      </c>
      <c r="S151" s="35"/>
      <c r="T151" s="11" t="s">
        <v>529</v>
      </c>
      <c r="U151" s="52">
        <v>45448</v>
      </c>
      <c r="V151" s="52">
        <v>45448</v>
      </c>
      <c r="W151" s="52" t="s">
        <v>44</v>
      </c>
      <c r="X151" s="52">
        <v>45446</v>
      </c>
      <c r="Y151" s="52">
        <v>45446</v>
      </c>
      <c r="Z151" s="35" t="s">
        <v>1533</v>
      </c>
      <c r="AB151" s="258" t="s">
        <v>1524</v>
      </c>
      <c r="AC151" s="259" t="s">
        <v>294</v>
      </c>
      <c r="AD151" s="259" t="s">
        <v>294</v>
      </c>
      <c r="AE151" s="234"/>
      <c r="AF151" s="234"/>
      <c r="AG151" s="234"/>
      <c r="AO151" s="328" t="s">
        <v>1562</v>
      </c>
      <c r="AP151" s="328" t="s">
        <v>1563</v>
      </c>
    </row>
    <row r="152" s="3" customFormat="1" ht="90" customHeight="1" spans="1:42">
      <c r="A152" s="11">
        <v>3</v>
      </c>
      <c r="B152" s="12" t="s">
        <v>1564</v>
      </c>
      <c r="C152" s="11" t="s">
        <v>1043</v>
      </c>
      <c r="D152" s="13" t="s">
        <v>1565</v>
      </c>
      <c r="E152" s="12" t="s">
        <v>1566</v>
      </c>
      <c r="F152" s="11" t="s">
        <v>416</v>
      </c>
      <c r="G152" s="323" t="s">
        <v>1567</v>
      </c>
      <c r="H152" s="11" t="s">
        <v>1568</v>
      </c>
      <c r="I152" s="323" t="s">
        <v>1569</v>
      </c>
      <c r="J152" s="11" t="s">
        <v>1043</v>
      </c>
      <c r="K152" s="232" t="s">
        <v>1570</v>
      </c>
      <c r="L152" s="11" t="s">
        <v>1571</v>
      </c>
      <c r="M152" s="35" t="s">
        <v>1572</v>
      </c>
      <c r="N152" s="60">
        <v>45398</v>
      </c>
      <c r="O152" s="60">
        <v>45443</v>
      </c>
      <c r="P152" s="40" t="s">
        <v>401</v>
      </c>
      <c r="Q152" s="244">
        <v>5.5</v>
      </c>
      <c r="R152" s="35">
        <v>45457</v>
      </c>
      <c r="S152" s="35"/>
      <c r="T152" s="11" t="s">
        <v>1573</v>
      </c>
      <c r="U152" s="52">
        <v>45448</v>
      </c>
      <c r="V152" s="52">
        <v>45448</v>
      </c>
      <c r="W152" s="52" t="s">
        <v>44</v>
      </c>
      <c r="X152" s="52">
        <v>45446</v>
      </c>
      <c r="Y152" s="52">
        <v>45446</v>
      </c>
      <c r="Z152" s="35" t="s">
        <v>1523</v>
      </c>
      <c r="AB152" s="258" t="s">
        <v>1524</v>
      </c>
      <c r="AC152" s="259" t="s">
        <v>294</v>
      </c>
      <c r="AD152" s="259" t="s">
        <v>294</v>
      </c>
      <c r="AE152" s="234"/>
      <c r="AF152" s="234"/>
      <c r="AG152" s="234"/>
      <c r="AN152" s="3" t="s">
        <v>1574</v>
      </c>
      <c r="AO152" s="328" t="s">
        <v>1575</v>
      </c>
      <c r="AP152" s="328" t="s">
        <v>1576</v>
      </c>
    </row>
    <row r="153" s="3" customFormat="1" ht="90" customHeight="1" spans="1:42">
      <c r="A153" s="11">
        <v>4</v>
      </c>
      <c r="B153" s="12" t="s">
        <v>1577</v>
      </c>
      <c r="C153" s="11" t="s">
        <v>1578</v>
      </c>
      <c r="D153" s="215" t="s">
        <v>1579</v>
      </c>
      <c r="E153" s="12" t="s">
        <v>1580</v>
      </c>
      <c r="F153" s="11" t="s">
        <v>408</v>
      </c>
      <c r="G153" s="323" t="s">
        <v>1581</v>
      </c>
      <c r="H153" s="11" t="s">
        <v>1582</v>
      </c>
      <c r="I153" s="323" t="s">
        <v>1583</v>
      </c>
      <c r="J153" s="11" t="s">
        <v>718</v>
      </c>
      <c r="K153" s="229" t="s">
        <v>1584</v>
      </c>
      <c r="L153" s="11" t="s">
        <v>1585</v>
      </c>
      <c r="M153" s="35" t="s">
        <v>1586</v>
      </c>
      <c r="N153" s="60">
        <v>45410</v>
      </c>
      <c r="O153" s="60">
        <v>45489</v>
      </c>
      <c r="P153" s="40" t="s">
        <v>401</v>
      </c>
      <c r="Q153" s="244">
        <v>1.2</v>
      </c>
      <c r="R153" s="35">
        <v>45525</v>
      </c>
      <c r="S153" s="35"/>
      <c r="T153" s="11" t="s">
        <v>476</v>
      </c>
      <c r="U153" s="52">
        <v>45492</v>
      </c>
      <c r="V153" s="52">
        <v>45492</v>
      </c>
      <c r="W153" s="52" t="s">
        <v>44</v>
      </c>
      <c r="X153" s="52">
        <v>45492</v>
      </c>
      <c r="Y153" s="52">
        <v>45492</v>
      </c>
      <c r="Z153" s="35" t="s">
        <v>1587</v>
      </c>
      <c r="AB153" s="234" t="s">
        <v>293</v>
      </c>
      <c r="AC153" s="259" t="s">
        <v>294</v>
      </c>
      <c r="AD153" s="259" t="s">
        <v>294</v>
      </c>
      <c r="AE153" s="234"/>
      <c r="AF153" s="234"/>
      <c r="AG153" s="234"/>
      <c r="AO153" s="328" t="s">
        <v>1588</v>
      </c>
      <c r="AP153" s="328" t="s">
        <v>1589</v>
      </c>
    </row>
    <row r="154" s="3" customFormat="1" ht="90" customHeight="1" spans="1:42">
      <c r="A154" s="11">
        <v>5</v>
      </c>
      <c r="B154" s="12" t="s">
        <v>1590</v>
      </c>
      <c r="C154" s="11" t="s">
        <v>1591</v>
      </c>
      <c r="D154" s="220"/>
      <c r="E154" s="12" t="s">
        <v>1592</v>
      </c>
      <c r="F154" s="11" t="s">
        <v>751</v>
      </c>
      <c r="G154" s="323" t="s">
        <v>1593</v>
      </c>
      <c r="H154" s="11" t="s">
        <v>42</v>
      </c>
      <c r="I154" s="11" t="s">
        <v>42</v>
      </c>
      <c r="J154" s="11" t="s">
        <v>1591</v>
      </c>
      <c r="K154" s="229" t="s">
        <v>1594</v>
      </c>
      <c r="L154" s="11" t="s">
        <v>1595</v>
      </c>
      <c r="M154" s="35" t="s">
        <v>1596</v>
      </c>
      <c r="N154" s="60">
        <v>45410</v>
      </c>
      <c r="O154" s="60">
        <v>45489</v>
      </c>
      <c r="P154" s="40" t="s">
        <v>401</v>
      </c>
      <c r="Q154" s="244">
        <v>0.2</v>
      </c>
      <c r="R154" s="35">
        <v>45525</v>
      </c>
      <c r="S154" s="35"/>
      <c r="T154" s="11" t="s">
        <v>476</v>
      </c>
      <c r="U154" s="52">
        <v>45492</v>
      </c>
      <c r="V154" s="52">
        <v>45492</v>
      </c>
      <c r="W154" s="52" t="s">
        <v>44</v>
      </c>
      <c r="X154" s="52">
        <v>45492</v>
      </c>
      <c r="Y154" s="52">
        <v>45492</v>
      </c>
      <c r="Z154" s="35" t="s">
        <v>1587</v>
      </c>
      <c r="AB154" s="234" t="s">
        <v>293</v>
      </c>
      <c r="AC154" s="259" t="s">
        <v>294</v>
      </c>
      <c r="AD154" s="259" t="s">
        <v>294</v>
      </c>
      <c r="AE154" s="234"/>
      <c r="AF154" s="234"/>
      <c r="AG154" s="234"/>
      <c r="AO154" s="328" t="s">
        <v>1597</v>
      </c>
      <c r="AP154" s="328" t="s">
        <v>1598</v>
      </c>
    </row>
    <row r="155" s="3" customFormat="1" ht="90" customHeight="1" spans="1:42">
      <c r="A155" s="11">
        <v>6</v>
      </c>
      <c r="B155" s="12" t="s">
        <v>1599</v>
      </c>
      <c r="C155" s="11" t="s">
        <v>1345</v>
      </c>
      <c r="D155" s="220"/>
      <c r="E155" s="289" t="s">
        <v>1600</v>
      </c>
      <c r="F155" s="11" t="s">
        <v>759</v>
      </c>
      <c r="G155" s="323" t="s">
        <v>1601</v>
      </c>
      <c r="H155" s="11" t="s">
        <v>42</v>
      </c>
      <c r="I155" s="11" t="s">
        <v>42</v>
      </c>
      <c r="J155" s="11" t="s">
        <v>1345</v>
      </c>
      <c r="K155" s="229" t="s">
        <v>1602</v>
      </c>
      <c r="L155" s="11" t="s">
        <v>1595</v>
      </c>
      <c r="M155" s="35" t="s">
        <v>1603</v>
      </c>
      <c r="N155" s="60">
        <v>45410</v>
      </c>
      <c r="O155" s="60">
        <v>45489</v>
      </c>
      <c r="P155" s="40" t="s">
        <v>401</v>
      </c>
      <c r="Q155" s="244">
        <v>0.2</v>
      </c>
      <c r="R155" s="35">
        <v>45525</v>
      </c>
      <c r="S155" s="35"/>
      <c r="T155" s="11" t="s">
        <v>476</v>
      </c>
      <c r="U155" s="52">
        <v>45492</v>
      </c>
      <c r="V155" s="52">
        <v>45492</v>
      </c>
      <c r="W155" s="52" t="s">
        <v>44</v>
      </c>
      <c r="X155" s="52">
        <v>45492</v>
      </c>
      <c r="Y155" s="52">
        <v>45492</v>
      </c>
      <c r="Z155" s="35" t="s">
        <v>1587</v>
      </c>
      <c r="AB155" s="234" t="s">
        <v>293</v>
      </c>
      <c r="AC155" s="259" t="s">
        <v>294</v>
      </c>
      <c r="AD155" s="259" t="s">
        <v>294</v>
      </c>
      <c r="AE155" s="234"/>
      <c r="AF155" s="234"/>
      <c r="AG155" s="234"/>
      <c r="AO155" s="328" t="s">
        <v>1604</v>
      </c>
      <c r="AP155" s="328" t="s">
        <v>1605</v>
      </c>
    </row>
    <row r="156" s="3" customFormat="1" ht="90" customHeight="1" spans="1:42">
      <c r="A156" s="11">
        <v>7</v>
      </c>
      <c r="B156" s="12" t="s">
        <v>1606</v>
      </c>
      <c r="C156" s="11" t="s">
        <v>802</v>
      </c>
      <c r="D156" s="13" t="s">
        <v>1607</v>
      </c>
      <c r="E156" s="12" t="s">
        <v>1608</v>
      </c>
      <c r="F156" s="11" t="s">
        <v>854</v>
      </c>
      <c r="G156" s="323" t="s">
        <v>1609</v>
      </c>
      <c r="H156" s="11" t="s">
        <v>42</v>
      </c>
      <c r="I156" s="11" t="s">
        <v>42</v>
      </c>
      <c r="J156" s="11" t="s">
        <v>802</v>
      </c>
      <c r="K156" s="229" t="s">
        <v>1610</v>
      </c>
      <c r="L156" s="11" t="s">
        <v>1611</v>
      </c>
      <c r="M156" s="35" t="s">
        <v>1612</v>
      </c>
      <c r="N156" s="60">
        <v>45423</v>
      </c>
      <c r="O156" s="60">
        <v>45506</v>
      </c>
      <c r="P156" s="241" t="s">
        <v>401</v>
      </c>
      <c r="Q156" s="244">
        <v>0.3</v>
      </c>
      <c r="R156" s="35">
        <v>45522</v>
      </c>
      <c r="S156" s="35"/>
      <c r="T156" s="11" t="s">
        <v>1613</v>
      </c>
      <c r="U156" s="52">
        <v>45509</v>
      </c>
      <c r="V156" s="52">
        <v>45509</v>
      </c>
      <c r="W156" s="52" t="s">
        <v>44</v>
      </c>
      <c r="X156" s="52">
        <v>45509</v>
      </c>
      <c r="Y156" s="52">
        <v>45509</v>
      </c>
      <c r="Z156" s="35" t="s">
        <v>1587</v>
      </c>
      <c r="AB156" s="234" t="s">
        <v>293</v>
      </c>
      <c r="AC156" s="259" t="s">
        <v>294</v>
      </c>
      <c r="AD156" s="259" t="s">
        <v>294</v>
      </c>
      <c r="AE156" s="234"/>
      <c r="AF156" s="234"/>
      <c r="AG156" s="234"/>
      <c r="AP156" s="65"/>
    </row>
    <row r="157" s="3" customFormat="1" ht="90" customHeight="1" spans="1:42">
      <c r="A157" s="11">
        <v>8</v>
      </c>
      <c r="B157" s="12" t="s">
        <v>1614</v>
      </c>
      <c r="C157" s="11" t="s">
        <v>1615</v>
      </c>
      <c r="D157" s="215" t="s">
        <v>1616</v>
      </c>
      <c r="E157" s="12" t="s">
        <v>1617</v>
      </c>
      <c r="F157" s="11" t="s">
        <v>1537</v>
      </c>
      <c r="G157" s="323" t="s">
        <v>1618</v>
      </c>
      <c r="H157" s="11" t="s">
        <v>1619</v>
      </c>
      <c r="I157" s="323" t="s">
        <v>1620</v>
      </c>
      <c r="J157" s="11" t="s">
        <v>1621</v>
      </c>
      <c r="K157" s="229" t="s">
        <v>1622</v>
      </c>
      <c r="L157" s="11" t="s">
        <v>1623</v>
      </c>
      <c r="M157" s="35" t="s">
        <v>1624</v>
      </c>
      <c r="N157" s="60">
        <v>45427</v>
      </c>
      <c r="O157" s="60">
        <v>45512</v>
      </c>
      <c r="P157" s="241" t="s">
        <v>401</v>
      </c>
      <c r="Q157" s="244">
        <v>1.2</v>
      </c>
      <c r="R157" s="35">
        <v>45537</v>
      </c>
      <c r="S157" s="35"/>
      <c r="T157" s="11" t="s">
        <v>1625</v>
      </c>
      <c r="U157" s="52">
        <v>45515</v>
      </c>
      <c r="V157" s="52">
        <v>45515</v>
      </c>
      <c r="W157" s="52" t="s">
        <v>44</v>
      </c>
      <c r="X157" s="52">
        <v>45515</v>
      </c>
      <c r="Y157" s="52">
        <v>45515</v>
      </c>
      <c r="Z157" s="35"/>
      <c r="AB157" s="234"/>
      <c r="AC157" s="259"/>
      <c r="AD157" s="259"/>
      <c r="AE157" s="234"/>
      <c r="AF157" s="234"/>
      <c r="AG157" s="234"/>
      <c r="AP157" s="65"/>
    </row>
    <row r="158" s="3" customFormat="1" ht="90" customHeight="1" spans="1:42">
      <c r="A158" s="11">
        <v>9</v>
      </c>
      <c r="B158" s="12" t="s">
        <v>1626</v>
      </c>
      <c r="C158" s="11" t="s">
        <v>1627</v>
      </c>
      <c r="D158" s="220"/>
      <c r="E158" s="12" t="s">
        <v>1628</v>
      </c>
      <c r="F158" s="11" t="s">
        <v>1629</v>
      </c>
      <c r="G158" s="323" t="s">
        <v>1630</v>
      </c>
      <c r="H158" s="11" t="s">
        <v>42</v>
      </c>
      <c r="I158" s="11" t="s">
        <v>42</v>
      </c>
      <c r="J158" s="11" t="s">
        <v>1631</v>
      </c>
      <c r="K158" s="229" t="s">
        <v>1632</v>
      </c>
      <c r="L158" s="11" t="s">
        <v>1633</v>
      </c>
      <c r="M158" s="35" t="s">
        <v>1634</v>
      </c>
      <c r="N158" s="60">
        <v>45427</v>
      </c>
      <c r="O158" s="60">
        <v>45512</v>
      </c>
      <c r="P158" s="241" t="s">
        <v>401</v>
      </c>
      <c r="Q158" s="244">
        <v>0.2</v>
      </c>
      <c r="R158" s="35">
        <v>45537</v>
      </c>
      <c r="S158" s="35"/>
      <c r="T158" s="11" t="s">
        <v>1625</v>
      </c>
      <c r="U158" s="52">
        <v>45515</v>
      </c>
      <c r="V158" s="52">
        <v>45515</v>
      </c>
      <c r="W158" s="52" t="s">
        <v>44</v>
      </c>
      <c r="X158" s="52">
        <v>45515</v>
      </c>
      <c r="Y158" s="52">
        <v>45515</v>
      </c>
      <c r="Z158" s="35"/>
      <c r="AB158" s="234"/>
      <c r="AC158" s="259"/>
      <c r="AD158" s="259"/>
      <c r="AE158" s="234"/>
      <c r="AF158" s="234"/>
      <c r="AG158" s="234"/>
      <c r="AP158" s="65"/>
    </row>
    <row r="159" s="3" customFormat="1" ht="90" customHeight="1" spans="1:42">
      <c r="A159" s="11">
        <v>10</v>
      </c>
      <c r="B159" s="12" t="s">
        <v>1635</v>
      </c>
      <c r="C159" s="11" t="s">
        <v>1636</v>
      </c>
      <c r="D159" s="216"/>
      <c r="E159" s="12" t="s">
        <v>1637</v>
      </c>
      <c r="F159" s="11" t="s">
        <v>1638</v>
      </c>
      <c r="G159" s="323" t="s">
        <v>1639</v>
      </c>
      <c r="H159" s="11" t="s">
        <v>42</v>
      </c>
      <c r="I159" s="11" t="s">
        <v>42</v>
      </c>
      <c r="J159" s="11" t="s">
        <v>1640</v>
      </c>
      <c r="K159" s="229" t="s">
        <v>1641</v>
      </c>
      <c r="L159" s="11" t="s">
        <v>1642</v>
      </c>
      <c r="M159" s="35" t="s">
        <v>1643</v>
      </c>
      <c r="N159" s="60">
        <v>45427</v>
      </c>
      <c r="O159" s="60">
        <v>45512</v>
      </c>
      <c r="P159" s="241" t="s">
        <v>401</v>
      </c>
      <c r="Q159" s="244">
        <v>0.2</v>
      </c>
      <c r="R159" s="35">
        <v>45537</v>
      </c>
      <c r="S159" s="35"/>
      <c r="T159" s="11" t="s">
        <v>1625</v>
      </c>
      <c r="U159" s="52">
        <v>45515</v>
      </c>
      <c r="V159" s="52">
        <v>45515</v>
      </c>
      <c r="W159" s="52" t="s">
        <v>44</v>
      </c>
      <c r="X159" s="52">
        <v>45515</v>
      </c>
      <c r="Y159" s="52">
        <v>45515</v>
      </c>
      <c r="Z159" s="35"/>
      <c r="AB159" s="234"/>
      <c r="AC159" s="259"/>
      <c r="AD159" s="259"/>
      <c r="AE159" s="234"/>
      <c r="AF159" s="234"/>
      <c r="AG159" s="234"/>
      <c r="AP159" s="65"/>
    </row>
    <row r="160" s="3" customFormat="1" ht="90" customHeight="1" spans="1:45">
      <c r="A160" s="11">
        <v>11</v>
      </c>
      <c r="B160" s="12" t="s">
        <v>1644</v>
      </c>
      <c r="C160" s="11" t="s">
        <v>1645</v>
      </c>
      <c r="D160" s="216" t="s">
        <v>1646</v>
      </c>
      <c r="E160" s="12" t="s">
        <v>1203</v>
      </c>
      <c r="F160" s="11" t="s">
        <v>416</v>
      </c>
      <c r="G160" s="11" t="s">
        <v>1204</v>
      </c>
      <c r="H160" s="11" t="s">
        <v>1647</v>
      </c>
      <c r="I160" s="323" t="s">
        <v>1648</v>
      </c>
      <c r="J160" s="11" t="s">
        <v>1043</v>
      </c>
      <c r="K160" s="232" t="s">
        <v>1649</v>
      </c>
      <c r="L160" s="11" t="s">
        <v>1650</v>
      </c>
      <c r="M160" s="35" t="s">
        <v>1651</v>
      </c>
      <c r="N160" s="60">
        <v>45429</v>
      </c>
      <c r="O160" s="60">
        <v>45512</v>
      </c>
      <c r="P160" s="241" t="s">
        <v>401</v>
      </c>
      <c r="Q160" s="244">
        <v>5.5</v>
      </c>
      <c r="R160" s="35">
        <v>45733</v>
      </c>
      <c r="S160" s="35"/>
      <c r="T160" s="11" t="s">
        <v>476</v>
      </c>
      <c r="U160" s="52">
        <v>45513</v>
      </c>
      <c r="V160" s="52">
        <v>45515</v>
      </c>
      <c r="W160" s="52" t="s">
        <v>44</v>
      </c>
      <c r="X160" s="52">
        <v>45515</v>
      </c>
      <c r="Y160" s="52">
        <v>45515</v>
      </c>
      <c r="Z160" s="35"/>
      <c r="AB160" s="234"/>
      <c r="AC160" s="260" t="s">
        <v>294</v>
      </c>
      <c r="AD160" s="260" t="s">
        <v>294</v>
      </c>
      <c r="AE160" s="234"/>
      <c r="AF160" s="234"/>
      <c r="AG160" s="234"/>
      <c r="AN160" s="3" t="s">
        <v>1652</v>
      </c>
      <c r="AP160" s="65"/>
      <c r="AQ160" s="3" t="s">
        <v>1653</v>
      </c>
      <c r="AR160" s="293">
        <v>45702</v>
      </c>
      <c r="AS160" s="3">
        <v>110000</v>
      </c>
    </row>
    <row r="161" s="3" customFormat="1" ht="90" customHeight="1" spans="1:42">
      <c r="A161" s="11">
        <v>12</v>
      </c>
      <c r="B161" s="12" t="s">
        <v>1654</v>
      </c>
      <c r="C161" s="11" t="s">
        <v>1645</v>
      </c>
      <c r="D161" s="216" t="s">
        <v>1655</v>
      </c>
      <c r="E161" s="12" t="s">
        <v>1656</v>
      </c>
      <c r="F161" s="11" t="s">
        <v>416</v>
      </c>
      <c r="G161" s="323" t="s">
        <v>1657</v>
      </c>
      <c r="H161" s="11" t="s">
        <v>1658</v>
      </c>
      <c r="I161" s="323" t="s">
        <v>1659</v>
      </c>
      <c r="J161" s="11" t="s">
        <v>1043</v>
      </c>
      <c r="K161" s="232" t="s">
        <v>1660</v>
      </c>
      <c r="L161" s="11" t="s">
        <v>1661</v>
      </c>
      <c r="M161" s="35" t="s">
        <v>1662</v>
      </c>
      <c r="N161" s="60">
        <v>45461</v>
      </c>
      <c r="O161" s="60">
        <v>45539</v>
      </c>
      <c r="P161" s="241" t="s">
        <v>401</v>
      </c>
      <c r="Q161" s="244">
        <v>5.5</v>
      </c>
      <c r="R161" s="35">
        <v>45574</v>
      </c>
      <c r="S161" s="35"/>
      <c r="T161" s="11" t="s">
        <v>1258</v>
      </c>
      <c r="U161" s="52">
        <v>45541</v>
      </c>
      <c r="V161" s="52">
        <v>45541</v>
      </c>
      <c r="W161" s="52" t="s">
        <v>44</v>
      </c>
      <c r="X161" s="52">
        <v>45541</v>
      </c>
      <c r="Y161" s="52">
        <v>45541</v>
      </c>
      <c r="Z161" s="35"/>
      <c r="AB161" s="234"/>
      <c r="AC161" s="260" t="s">
        <v>294</v>
      </c>
      <c r="AD161" s="260" t="s">
        <v>294</v>
      </c>
      <c r="AE161" s="234"/>
      <c r="AF161" s="234"/>
      <c r="AG161" s="234"/>
      <c r="AP161" s="65"/>
    </row>
    <row r="162" s="3" customFormat="1" ht="90" customHeight="1" spans="1:42">
      <c r="A162" s="11">
        <v>13</v>
      </c>
      <c r="B162" s="332" t="s">
        <v>1663</v>
      </c>
      <c r="C162" s="11" t="s">
        <v>1235</v>
      </c>
      <c r="D162" s="216" t="s">
        <v>1664</v>
      </c>
      <c r="E162" s="12" t="s">
        <v>1665</v>
      </c>
      <c r="F162" s="11" t="s">
        <v>416</v>
      </c>
      <c r="G162" s="323" t="s">
        <v>1666</v>
      </c>
      <c r="H162" s="11" t="s">
        <v>1667</v>
      </c>
      <c r="I162" s="323" t="s">
        <v>1668</v>
      </c>
      <c r="J162" s="11" t="s">
        <v>1235</v>
      </c>
      <c r="K162" s="229" t="s">
        <v>1669</v>
      </c>
      <c r="L162" s="11" t="s">
        <v>1670</v>
      </c>
      <c r="M162" s="35" t="s">
        <v>1671</v>
      </c>
      <c r="N162" s="60">
        <v>45481</v>
      </c>
      <c r="O162" s="60">
        <v>45545</v>
      </c>
      <c r="P162" s="241" t="s">
        <v>401</v>
      </c>
      <c r="Q162" s="244">
        <v>5</v>
      </c>
      <c r="R162" s="35">
        <v>45573</v>
      </c>
      <c r="S162" s="35"/>
      <c r="T162" s="11" t="s">
        <v>1672</v>
      </c>
      <c r="U162" s="52">
        <v>45546</v>
      </c>
      <c r="V162" s="52">
        <v>45547</v>
      </c>
      <c r="W162" s="52" t="s">
        <v>44</v>
      </c>
      <c r="X162" s="52">
        <v>45547</v>
      </c>
      <c r="Y162" s="52">
        <v>45547</v>
      </c>
      <c r="Z162" s="35"/>
      <c r="AB162" s="234"/>
      <c r="AC162" s="259"/>
      <c r="AD162" s="259"/>
      <c r="AE162" s="234"/>
      <c r="AF162" s="234"/>
      <c r="AG162" s="234"/>
      <c r="AP162" s="65"/>
    </row>
    <row r="163" s="3" customFormat="1" ht="90" customHeight="1" spans="1:42">
      <c r="A163" s="11">
        <v>14</v>
      </c>
      <c r="B163" s="332" t="s">
        <v>1673</v>
      </c>
      <c r="C163" s="11" t="s">
        <v>1674</v>
      </c>
      <c r="D163" s="216" t="s">
        <v>1675</v>
      </c>
      <c r="E163" s="12" t="s">
        <v>1676</v>
      </c>
      <c r="F163" s="11" t="s">
        <v>416</v>
      </c>
      <c r="G163" s="323" t="s">
        <v>1677</v>
      </c>
      <c r="H163" s="11" t="s">
        <v>1678</v>
      </c>
      <c r="I163" s="323" t="s">
        <v>1679</v>
      </c>
      <c r="J163" s="11" t="s">
        <v>1226</v>
      </c>
      <c r="K163" s="279" t="s">
        <v>1680</v>
      </c>
      <c r="L163" s="11" t="s">
        <v>1681</v>
      </c>
      <c r="M163" s="35" t="s">
        <v>1682</v>
      </c>
      <c r="N163" s="60">
        <v>45485</v>
      </c>
      <c r="O163" s="60">
        <v>45574</v>
      </c>
      <c r="P163" s="241" t="s">
        <v>401</v>
      </c>
      <c r="Q163" s="244">
        <v>10</v>
      </c>
      <c r="R163" s="35">
        <v>45593</v>
      </c>
      <c r="S163" s="35"/>
      <c r="T163" s="11" t="s">
        <v>1683</v>
      </c>
      <c r="U163" s="52">
        <v>45575</v>
      </c>
      <c r="V163" s="52">
        <v>45576</v>
      </c>
      <c r="W163" s="52" t="s">
        <v>44</v>
      </c>
      <c r="X163" s="52">
        <v>45576</v>
      </c>
      <c r="Y163" s="52">
        <v>45576</v>
      </c>
      <c r="Z163" s="35"/>
      <c r="AB163" s="234"/>
      <c r="AC163" s="260" t="s">
        <v>294</v>
      </c>
      <c r="AD163" s="260" t="s">
        <v>294</v>
      </c>
      <c r="AE163" s="234"/>
      <c r="AF163" s="234"/>
      <c r="AG163" s="234"/>
      <c r="AO163" s="333" t="s">
        <v>1684</v>
      </c>
      <c r="AP163" s="334" t="s">
        <v>1685</v>
      </c>
    </row>
    <row r="164" s="3" customFormat="1" ht="90" customHeight="1" spans="1:42">
      <c r="A164" s="11">
        <v>15</v>
      </c>
      <c r="B164" s="332" t="s">
        <v>1686</v>
      </c>
      <c r="C164" s="11" t="s">
        <v>1373</v>
      </c>
      <c r="D164" s="220" t="s">
        <v>1687</v>
      </c>
      <c r="E164" s="12" t="s">
        <v>1688</v>
      </c>
      <c r="F164" s="11" t="s">
        <v>416</v>
      </c>
      <c r="G164" s="323" t="s">
        <v>1689</v>
      </c>
      <c r="H164" s="11" t="s">
        <v>1690</v>
      </c>
      <c r="I164" s="323" t="s">
        <v>1691</v>
      </c>
      <c r="J164" s="11" t="s">
        <v>1373</v>
      </c>
      <c r="K164" s="279" t="s">
        <v>1692</v>
      </c>
      <c r="L164" s="11" t="s">
        <v>1693</v>
      </c>
      <c r="M164" s="35" t="s">
        <v>1694</v>
      </c>
      <c r="N164" s="60">
        <v>45485</v>
      </c>
      <c r="O164" s="60">
        <v>45574</v>
      </c>
      <c r="P164" s="241" t="s">
        <v>401</v>
      </c>
      <c r="Q164" s="244">
        <v>5</v>
      </c>
      <c r="R164" s="35">
        <v>45593</v>
      </c>
      <c r="S164" s="35"/>
      <c r="T164" s="11" t="s">
        <v>1683</v>
      </c>
      <c r="U164" s="52">
        <v>45575</v>
      </c>
      <c r="V164" s="52">
        <v>45576</v>
      </c>
      <c r="W164" s="52" t="s">
        <v>44</v>
      </c>
      <c r="X164" s="52">
        <v>45576</v>
      </c>
      <c r="Y164" s="52">
        <v>45576</v>
      </c>
      <c r="Z164" s="35"/>
      <c r="AB164" s="234"/>
      <c r="AC164" s="259"/>
      <c r="AD164" s="259"/>
      <c r="AE164" s="234"/>
      <c r="AF164" s="234"/>
      <c r="AG164" s="234"/>
      <c r="AO164" s="333" t="s">
        <v>1695</v>
      </c>
      <c r="AP164" s="334" t="s">
        <v>1696</v>
      </c>
    </row>
    <row r="165" s="3" customFormat="1" ht="90" customHeight="1" spans="1:42">
      <c r="A165" s="11">
        <v>16</v>
      </c>
      <c r="B165" s="332" t="s">
        <v>1697</v>
      </c>
      <c r="C165" s="11" t="s">
        <v>1698</v>
      </c>
      <c r="D165" s="220"/>
      <c r="E165" s="12" t="s">
        <v>1699</v>
      </c>
      <c r="F165" s="11" t="s">
        <v>425</v>
      </c>
      <c r="G165" s="323" t="s">
        <v>1700</v>
      </c>
      <c r="H165" s="11" t="s">
        <v>1701</v>
      </c>
      <c r="I165" s="323" t="s">
        <v>1702</v>
      </c>
      <c r="J165" s="11" t="s">
        <v>1698</v>
      </c>
      <c r="K165" s="279" t="s">
        <v>1703</v>
      </c>
      <c r="L165" s="11" t="s">
        <v>1704</v>
      </c>
      <c r="M165" s="35" t="s">
        <v>1705</v>
      </c>
      <c r="N165" s="60">
        <v>45485</v>
      </c>
      <c r="O165" s="60">
        <v>45574</v>
      </c>
      <c r="P165" s="241" t="s">
        <v>401</v>
      </c>
      <c r="Q165" s="244">
        <v>1.2</v>
      </c>
      <c r="R165" s="35">
        <v>45593</v>
      </c>
      <c r="S165" s="35"/>
      <c r="T165" s="11" t="s">
        <v>1683</v>
      </c>
      <c r="U165" s="52">
        <v>45575</v>
      </c>
      <c r="V165" s="52">
        <v>45576</v>
      </c>
      <c r="W165" s="52" t="s">
        <v>44</v>
      </c>
      <c r="X165" s="52">
        <v>45576</v>
      </c>
      <c r="Y165" s="52">
        <v>45576</v>
      </c>
      <c r="Z165" s="35"/>
      <c r="AB165" s="234"/>
      <c r="AC165" s="259"/>
      <c r="AD165" s="259"/>
      <c r="AE165" s="234"/>
      <c r="AF165" s="234"/>
      <c r="AG165" s="234"/>
      <c r="AO165" s="333" t="s">
        <v>1706</v>
      </c>
      <c r="AP165" s="334" t="s">
        <v>1707</v>
      </c>
    </row>
    <row r="166" s="3" customFormat="1" ht="90" customHeight="1" spans="1:42">
      <c r="A166" s="11">
        <v>17</v>
      </c>
      <c r="B166" s="332" t="s">
        <v>1708</v>
      </c>
      <c r="C166" s="11" t="s">
        <v>1709</v>
      </c>
      <c r="D166" s="220"/>
      <c r="E166" s="12" t="s">
        <v>1710</v>
      </c>
      <c r="F166" s="11" t="s">
        <v>1711</v>
      </c>
      <c r="G166" s="323" t="s">
        <v>1712</v>
      </c>
      <c r="H166" s="11" t="s">
        <v>42</v>
      </c>
      <c r="I166" s="11" t="s">
        <v>42</v>
      </c>
      <c r="J166" s="11" t="s">
        <v>1709</v>
      </c>
      <c r="K166" s="279" t="s">
        <v>1713</v>
      </c>
      <c r="L166" s="11" t="s">
        <v>1714</v>
      </c>
      <c r="M166" s="35" t="s">
        <v>1715</v>
      </c>
      <c r="N166" s="60">
        <v>45485</v>
      </c>
      <c r="O166" s="60">
        <v>45574</v>
      </c>
      <c r="P166" s="241" t="s">
        <v>401</v>
      </c>
      <c r="Q166" s="244">
        <v>0.2</v>
      </c>
      <c r="R166" s="35">
        <v>45593</v>
      </c>
      <c r="S166" s="35"/>
      <c r="T166" s="11" t="s">
        <v>1683</v>
      </c>
      <c r="U166" s="52">
        <v>45575</v>
      </c>
      <c r="V166" s="52">
        <v>45576</v>
      </c>
      <c r="W166" s="52" t="s">
        <v>44</v>
      </c>
      <c r="X166" s="52">
        <v>45576</v>
      </c>
      <c r="Y166" s="52">
        <v>45576</v>
      </c>
      <c r="Z166" s="35"/>
      <c r="AB166" s="234"/>
      <c r="AC166" s="259"/>
      <c r="AD166" s="259"/>
      <c r="AE166" s="234"/>
      <c r="AF166" s="234"/>
      <c r="AG166" s="234"/>
      <c r="AO166" s="333" t="s">
        <v>1716</v>
      </c>
      <c r="AP166" s="334" t="s">
        <v>1717</v>
      </c>
    </row>
    <row r="167" s="3" customFormat="1" ht="90" customHeight="1" spans="1:42">
      <c r="A167" s="11">
        <v>18</v>
      </c>
      <c r="B167" s="332" t="s">
        <v>1718</v>
      </c>
      <c r="C167" s="11" t="s">
        <v>1719</v>
      </c>
      <c r="D167" s="216"/>
      <c r="E167" s="12" t="s">
        <v>1720</v>
      </c>
      <c r="F167" s="11" t="s">
        <v>1721</v>
      </c>
      <c r="G167" s="323" t="s">
        <v>1722</v>
      </c>
      <c r="H167" s="11" t="s">
        <v>42</v>
      </c>
      <c r="I167" s="11" t="s">
        <v>42</v>
      </c>
      <c r="J167" s="11" t="s">
        <v>1719</v>
      </c>
      <c r="K167" s="279" t="s">
        <v>1723</v>
      </c>
      <c r="L167" s="11" t="s">
        <v>1724</v>
      </c>
      <c r="M167" s="35" t="s">
        <v>1725</v>
      </c>
      <c r="N167" s="60">
        <v>45485</v>
      </c>
      <c r="O167" s="60">
        <v>45574</v>
      </c>
      <c r="P167" s="241" t="s">
        <v>401</v>
      </c>
      <c r="Q167" s="244">
        <v>0.2</v>
      </c>
      <c r="R167" s="35">
        <v>45593</v>
      </c>
      <c r="S167" s="35"/>
      <c r="T167" s="11" t="s">
        <v>1683</v>
      </c>
      <c r="U167" s="52">
        <v>45575</v>
      </c>
      <c r="V167" s="52">
        <v>45576</v>
      </c>
      <c r="W167" s="52" t="s">
        <v>44</v>
      </c>
      <c r="X167" s="52">
        <v>45576</v>
      </c>
      <c r="Y167" s="52">
        <v>45576</v>
      </c>
      <c r="Z167" s="35"/>
      <c r="AB167" s="234"/>
      <c r="AC167" s="259"/>
      <c r="AD167" s="259"/>
      <c r="AE167" s="234"/>
      <c r="AF167" s="234"/>
      <c r="AG167" s="234"/>
      <c r="AO167" s="333" t="s">
        <v>1726</v>
      </c>
      <c r="AP167" s="334" t="s">
        <v>1727</v>
      </c>
    </row>
    <row r="168" s="3" customFormat="1" ht="90" customHeight="1" spans="1:42">
      <c r="A168" s="11">
        <v>21</v>
      </c>
      <c r="B168" s="332" t="s">
        <v>1728</v>
      </c>
      <c r="C168" s="11" t="s">
        <v>1729</v>
      </c>
      <c r="D168" s="216" t="s">
        <v>1730</v>
      </c>
      <c r="E168" s="12" t="s">
        <v>1731</v>
      </c>
      <c r="F168" s="11" t="s">
        <v>416</v>
      </c>
      <c r="G168" s="323" t="s">
        <v>1732</v>
      </c>
      <c r="H168" s="11" t="s">
        <v>1733</v>
      </c>
      <c r="I168" s="323" t="s">
        <v>1734</v>
      </c>
      <c r="J168" s="11" t="s">
        <v>1373</v>
      </c>
      <c r="K168" s="229" t="s">
        <v>1735</v>
      </c>
      <c r="L168" s="11" t="s">
        <v>1736</v>
      </c>
      <c r="M168" s="35" t="s">
        <v>1737</v>
      </c>
      <c r="N168" s="60">
        <v>45513</v>
      </c>
      <c r="O168" s="60">
        <v>45593</v>
      </c>
      <c r="P168" s="40" t="s">
        <v>401</v>
      </c>
      <c r="Q168" s="244">
        <v>5</v>
      </c>
      <c r="R168" s="35">
        <v>45628</v>
      </c>
      <c r="S168" s="35"/>
      <c r="T168" s="11" t="s">
        <v>1738</v>
      </c>
      <c r="U168" s="52">
        <v>45597</v>
      </c>
      <c r="V168" s="52">
        <v>45600</v>
      </c>
      <c r="W168" s="52" t="s">
        <v>44</v>
      </c>
      <c r="X168" s="52">
        <v>45600</v>
      </c>
      <c r="Y168" s="52">
        <v>45600</v>
      </c>
      <c r="Z168" s="35"/>
      <c r="AB168" s="234"/>
      <c r="AC168" s="284"/>
      <c r="AD168" s="284"/>
      <c r="AE168" s="234"/>
      <c r="AF168" s="234"/>
      <c r="AG168" s="234"/>
      <c r="AP168" s="65"/>
    </row>
    <row r="169" s="3" customFormat="1" ht="90" customHeight="1" spans="1:42">
      <c r="A169" s="11">
        <v>19</v>
      </c>
      <c r="B169" s="332" t="s">
        <v>1739</v>
      </c>
      <c r="C169" s="11" t="s">
        <v>1740</v>
      </c>
      <c r="D169" s="287" t="s">
        <v>1741</v>
      </c>
      <c r="E169" s="12" t="s">
        <v>1742</v>
      </c>
      <c r="F169" s="11" t="s">
        <v>416</v>
      </c>
      <c r="G169" s="323" t="s">
        <v>1743</v>
      </c>
      <c r="H169" s="11" t="s">
        <v>1744</v>
      </c>
      <c r="I169" s="323" t="s">
        <v>1745</v>
      </c>
      <c r="J169" s="11" t="s">
        <v>1373</v>
      </c>
      <c r="K169" s="229" t="s">
        <v>1746</v>
      </c>
      <c r="L169" s="11" t="s">
        <v>1747</v>
      </c>
      <c r="M169" s="35" t="s">
        <v>1748</v>
      </c>
      <c r="N169" s="60">
        <v>45513</v>
      </c>
      <c r="O169" s="60">
        <v>45593</v>
      </c>
      <c r="P169" s="40" t="s">
        <v>401</v>
      </c>
      <c r="Q169" s="244">
        <v>5</v>
      </c>
      <c r="R169" s="35">
        <v>45624</v>
      </c>
      <c r="S169" s="35"/>
      <c r="T169" s="11" t="s">
        <v>1738</v>
      </c>
      <c r="U169" s="52">
        <v>45597</v>
      </c>
      <c r="V169" s="52">
        <v>45600</v>
      </c>
      <c r="W169" s="52" t="s">
        <v>44</v>
      </c>
      <c r="X169" s="52">
        <v>45600</v>
      </c>
      <c r="Y169" s="52">
        <v>45600</v>
      </c>
      <c r="Z169" s="35"/>
      <c r="AB169" s="234"/>
      <c r="AC169" s="284"/>
      <c r="AD169" s="284"/>
      <c r="AE169" s="234"/>
      <c r="AF169" s="234"/>
      <c r="AG169" s="234"/>
      <c r="AP169" s="65"/>
    </row>
    <row r="170" s="3" customFormat="1" ht="90" customHeight="1" spans="1:42">
      <c r="A170" s="11">
        <v>20</v>
      </c>
      <c r="B170" s="332" t="s">
        <v>1749</v>
      </c>
      <c r="C170" s="11" t="s">
        <v>1750</v>
      </c>
      <c r="D170" s="287" t="s">
        <v>1751</v>
      </c>
      <c r="E170" s="12" t="s">
        <v>1752</v>
      </c>
      <c r="F170" s="11" t="s">
        <v>416</v>
      </c>
      <c r="G170" s="323" t="s">
        <v>1753</v>
      </c>
      <c r="H170" s="11" t="s">
        <v>1754</v>
      </c>
      <c r="I170" s="323" t="s">
        <v>1755</v>
      </c>
      <c r="J170" s="11" t="s">
        <v>1373</v>
      </c>
      <c r="K170" s="229" t="s">
        <v>1756</v>
      </c>
      <c r="L170" s="11" t="s">
        <v>1757</v>
      </c>
      <c r="M170" s="35" t="s">
        <v>1758</v>
      </c>
      <c r="N170" s="60">
        <v>45513</v>
      </c>
      <c r="O170" s="60">
        <v>45593</v>
      </c>
      <c r="P170" s="40" t="s">
        <v>401</v>
      </c>
      <c r="Q170" s="244">
        <v>5</v>
      </c>
      <c r="R170" s="35">
        <v>45631</v>
      </c>
      <c r="S170" s="35"/>
      <c r="T170" s="11" t="s">
        <v>1738</v>
      </c>
      <c r="U170" s="52">
        <v>45597</v>
      </c>
      <c r="V170" s="52">
        <v>45600</v>
      </c>
      <c r="W170" s="52" t="s">
        <v>44</v>
      </c>
      <c r="X170" s="52">
        <v>45600</v>
      </c>
      <c r="Y170" s="52">
        <v>45600</v>
      </c>
      <c r="Z170" s="35"/>
      <c r="AB170" s="234"/>
      <c r="AC170" s="284"/>
      <c r="AD170" s="284"/>
      <c r="AE170" s="234"/>
      <c r="AF170" s="234"/>
      <c r="AG170" s="234"/>
      <c r="AP170" s="65"/>
    </row>
    <row r="171" s="3" customFormat="1" ht="90" customHeight="1" spans="1:42">
      <c r="A171" s="11">
        <v>21</v>
      </c>
      <c r="B171" s="332" t="s">
        <v>1759</v>
      </c>
      <c r="C171" s="11" t="s">
        <v>1760</v>
      </c>
      <c r="D171" s="215" t="s">
        <v>1761</v>
      </c>
      <c r="E171" s="12" t="s">
        <v>1762</v>
      </c>
      <c r="F171" s="11" t="s">
        <v>408</v>
      </c>
      <c r="G171" s="323" t="s">
        <v>1763</v>
      </c>
      <c r="H171" s="11" t="s">
        <v>1764</v>
      </c>
      <c r="I171" s="323" t="s">
        <v>1583</v>
      </c>
      <c r="J171" s="11" t="s">
        <v>1276</v>
      </c>
      <c r="K171" s="229" t="s">
        <v>1765</v>
      </c>
      <c r="L171" s="11" t="s">
        <v>1766</v>
      </c>
      <c r="M171" s="35" t="s">
        <v>1767</v>
      </c>
      <c r="N171" s="60">
        <v>45520</v>
      </c>
      <c r="O171" s="60">
        <v>45588</v>
      </c>
      <c r="P171" s="241" t="s">
        <v>401</v>
      </c>
      <c r="Q171" s="244">
        <v>1.2</v>
      </c>
      <c r="R171" s="35">
        <v>45611</v>
      </c>
      <c r="S171" s="35"/>
      <c r="T171" s="11" t="s">
        <v>1768</v>
      </c>
      <c r="U171" s="52">
        <v>45592</v>
      </c>
      <c r="V171" s="52">
        <v>45593</v>
      </c>
      <c r="W171" s="52" t="s">
        <v>44</v>
      </c>
      <c r="X171" s="52">
        <v>45590</v>
      </c>
      <c r="Y171" s="52">
        <v>45590</v>
      </c>
      <c r="Z171" s="35"/>
      <c r="AB171" s="234"/>
      <c r="AC171" s="260" t="s">
        <v>294</v>
      </c>
      <c r="AD171" s="260" t="s">
        <v>294</v>
      </c>
      <c r="AE171" s="234"/>
      <c r="AF171" s="234"/>
      <c r="AG171" s="234"/>
      <c r="AP171" s="65"/>
    </row>
    <row r="172" s="3" customFormat="1" ht="90" customHeight="1" spans="1:42">
      <c r="A172" s="11">
        <v>22</v>
      </c>
      <c r="B172" s="332" t="s">
        <v>1769</v>
      </c>
      <c r="C172" s="11" t="s">
        <v>1770</v>
      </c>
      <c r="D172" s="216"/>
      <c r="E172" s="12" t="s">
        <v>1771</v>
      </c>
      <c r="F172" s="11" t="s">
        <v>1772</v>
      </c>
      <c r="G172" s="323" t="s">
        <v>1773</v>
      </c>
      <c r="H172" s="11" t="s">
        <v>42</v>
      </c>
      <c r="I172" s="11" t="s">
        <v>42</v>
      </c>
      <c r="J172" s="11" t="s">
        <v>1276</v>
      </c>
      <c r="K172" s="229" t="s">
        <v>1774</v>
      </c>
      <c r="L172" s="11" t="s">
        <v>1775</v>
      </c>
      <c r="M172" s="35" t="s">
        <v>1776</v>
      </c>
      <c r="N172" s="60">
        <v>45520</v>
      </c>
      <c r="O172" s="60">
        <v>45588</v>
      </c>
      <c r="P172" s="241" t="s">
        <v>401</v>
      </c>
      <c r="Q172" s="244">
        <v>0.2</v>
      </c>
      <c r="R172" s="35">
        <v>45611</v>
      </c>
      <c r="S172" s="35"/>
      <c r="T172" s="11" t="s">
        <v>1768</v>
      </c>
      <c r="U172" s="52">
        <v>45592</v>
      </c>
      <c r="V172" s="52">
        <v>45593</v>
      </c>
      <c r="W172" s="52" t="s">
        <v>44</v>
      </c>
      <c r="X172" s="52">
        <v>45590</v>
      </c>
      <c r="Y172" s="52">
        <v>45590</v>
      </c>
      <c r="Z172" s="35"/>
      <c r="AB172" s="234"/>
      <c r="AC172" s="260" t="s">
        <v>294</v>
      </c>
      <c r="AD172" s="260" t="s">
        <v>294</v>
      </c>
      <c r="AE172" s="234"/>
      <c r="AF172" s="234"/>
      <c r="AG172" s="234"/>
      <c r="AP172" s="65"/>
    </row>
    <row r="173" s="3" customFormat="1" ht="90" customHeight="1" spans="1:42">
      <c r="A173" s="11">
        <v>23</v>
      </c>
      <c r="B173" s="332" t="s">
        <v>1777</v>
      </c>
      <c r="C173" s="288" t="s">
        <v>718</v>
      </c>
      <c r="D173" s="215" t="s">
        <v>1778</v>
      </c>
      <c r="E173" s="12" t="s">
        <v>1779</v>
      </c>
      <c r="F173" s="11" t="s">
        <v>416</v>
      </c>
      <c r="G173" s="323" t="s">
        <v>1780</v>
      </c>
      <c r="H173" s="11" t="s">
        <v>1781</v>
      </c>
      <c r="I173" s="323" t="s">
        <v>1782</v>
      </c>
      <c r="J173" s="11" t="s">
        <v>718</v>
      </c>
      <c r="K173" s="229" t="s">
        <v>1783</v>
      </c>
      <c r="L173" s="11" t="s">
        <v>1784</v>
      </c>
      <c r="M173" s="35" t="s">
        <v>1785</v>
      </c>
      <c r="N173" s="60">
        <v>45520</v>
      </c>
      <c r="O173" s="60">
        <v>45597</v>
      </c>
      <c r="P173" s="241" t="s">
        <v>401</v>
      </c>
      <c r="Q173" s="244">
        <v>1.2</v>
      </c>
      <c r="R173" s="35">
        <v>45618</v>
      </c>
      <c r="S173" s="35"/>
      <c r="T173" s="11" t="s">
        <v>1683</v>
      </c>
      <c r="U173" s="52">
        <v>45597</v>
      </c>
      <c r="V173" s="52">
        <v>45597</v>
      </c>
      <c r="W173" s="52" t="s">
        <v>44</v>
      </c>
      <c r="X173" s="52">
        <v>45597</v>
      </c>
      <c r="Y173" s="52">
        <v>45597</v>
      </c>
      <c r="Z173" s="35"/>
      <c r="AB173" s="234"/>
      <c r="AC173" s="284"/>
      <c r="AD173" s="284"/>
      <c r="AE173" s="234"/>
      <c r="AF173" s="234"/>
      <c r="AG173" s="234"/>
      <c r="AP173" s="65"/>
    </row>
    <row r="174" s="3" customFormat="1" ht="90" customHeight="1" spans="1:42">
      <c r="A174" s="11">
        <v>24</v>
      </c>
      <c r="B174" s="332" t="s">
        <v>1786</v>
      </c>
      <c r="C174" s="288" t="s">
        <v>1336</v>
      </c>
      <c r="D174" s="220"/>
      <c r="E174" s="12" t="s">
        <v>1787</v>
      </c>
      <c r="F174" s="11" t="s">
        <v>509</v>
      </c>
      <c r="G174" s="323" t="s">
        <v>1788</v>
      </c>
      <c r="H174" s="11" t="s">
        <v>42</v>
      </c>
      <c r="I174" s="11" t="s">
        <v>42</v>
      </c>
      <c r="J174" s="11" t="s">
        <v>1336</v>
      </c>
      <c r="K174" s="229" t="s">
        <v>1789</v>
      </c>
      <c r="L174" s="11" t="s">
        <v>1790</v>
      </c>
      <c r="M174" s="35" t="s">
        <v>1791</v>
      </c>
      <c r="N174" s="60">
        <v>45520</v>
      </c>
      <c r="O174" s="60">
        <v>45597</v>
      </c>
      <c r="P174" s="241" t="s">
        <v>401</v>
      </c>
      <c r="Q174" s="244">
        <v>0.2</v>
      </c>
      <c r="R174" s="35">
        <v>45618</v>
      </c>
      <c r="S174" s="35"/>
      <c r="T174" s="11" t="s">
        <v>1683</v>
      </c>
      <c r="U174" s="52">
        <v>45597</v>
      </c>
      <c r="V174" s="52">
        <v>45597</v>
      </c>
      <c r="W174" s="52" t="s">
        <v>44</v>
      </c>
      <c r="X174" s="52">
        <v>45597</v>
      </c>
      <c r="Y174" s="52">
        <v>45597</v>
      </c>
      <c r="Z174" s="35"/>
      <c r="AB174" s="234"/>
      <c r="AC174" s="284"/>
      <c r="AD174" s="284"/>
      <c r="AE174" s="234"/>
      <c r="AF174" s="234"/>
      <c r="AG174" s="234"/>
      <c r="AP174" s="65"/>
    </row>
    <row r="175" s="3" customFormat="1" ht="90" customHeight="1" spans="1:42">
      <c r="A175" s="11">
        <v>25</v>
      </c>
      <c r="B175" s="332" t="s">
        <v>1792</v>
      </c>
      <c r="C175" s="288" t="s">
        <v>1345</v>
      </c>
      <c r="D175" s="216"/>
      <c r="E175" s="12" t="s">
        <v>1793</v>
      </c>
      <c r="F175" s="11" t="s">
        <v>1794</v>
      </c>
      <c r="G175" s="323" t="s">
        <v>1795</v>
      </c>
      <c r="H175" s="11" t="s">
        <v>42</v>
      </c>
      <c r="I175" s="11" t="s">
        <v>42</v>
      </c>
      <c r="J175" s="288" t="s">
        <v>1345</v>
      </c>
      <c r="K175" s="229" t="s">
        <v>1796</v>
      </c>
      <c r="L175" s="11" t="s">
        <v>1797</v>
      </c>
      <c r="M175" s="35" t="s">
        <v>1798</v>
      </c>
      <c r="N175" s="60">
        <v>45520</v>
      </c>
      <c r="O175" s="60">
        <v>45597</v>
      </c>
      <c r="P175" s="241" t="s">
        <v>401</v>
      </c>
      <c r="Q175" s="244">
        <v>0.2</v>
      </c>
      <c r="R175" s="35">
        <v>45618</v>
      </c>
      <c r="S175" s="35"/>
      <c r="T175" s="11" t="s">
        <v>1683</v>
      </c>
      <c r="U175" s="52">
        <v>45597</v>
      </c>
      <c r="V175" s="52">
        <v>45597</v>
      </c>
      <c r="W175" s="52" t="s">
        <v>44</v>
      </c>
      <c r="X175" s="52">
        <v>45597</v>
      </c>
      <c r="Y175" s="52">
        <v>45597</v>
      </c>
      <c r="Z175" s="35"/>
      <c r="AB175" s="234"/>
      <c r="AC175" s="284"/>
      <c r="AD175" s="284"/>
      <c r="AE175" s="234"/>
      <c r="AF175" s="234"/>
      <c r="AG175" s="234"/>
      <c r="AP175" s="65"/>
    </row>
    <row r="176" s="3" customFormat="1" ht="90" customHeight="1" spans="1:42">
      <c r="A176" s="11">
        <v>26</v>
      </c>
      <c r="B176" s="332" t="s">
        <v>1799</v>
      </c>
      <c r="C176" s="288" t="s">
        <v>1800</v>
      </c>
      <c r="D176" s="215" t="s">
        <v>1801</v>
      </c>
      <c r="E176" s="12" t="s">
        <v>1802</v>
      </c>
      <c r="F176" s="11" t="s">
        <v>408</v>
      </c>
      <c r="G176" s="323" t="s">
        <v>1803</v>
      </c>
      <c r="H176" s="11" t="s">
        <v>1804</v>
      </c>
      <c r="I176" s="323" t="s">
        <v>1805</v>
      </c>
      <c r="J176" s="11" t="s">
        <v>1800</v>
      </c>
      <c r="K176" s="229" t="s">
        <v>1806</v>
      </c>
      <c r="L176" s="11" t="s">
        <v>1807</v>
      </c>
      <c r="M176" s="35" t="s">
        <v>1808</v>
      </c>
      <c r="N176" s="60">
        <v>45531</v>
      </c>
      <c r="O176" s="60">
        <v>45600</v>
      </c>
      <c r="P176" s="40" t="s">
        <v>401</v>
      </c>
      <c r="Q176" s="244">
        <v>1.2</v>
      </c>
      <c r="R176" s="35">
        <v>45612</v>
      </c>
      <c r="S176" s="35"/>
      <c r="T176" s="11" t="s">
        <v>1809</v>
      </c>
      <c r="U176" s="52">
        <v>45602</v>
      </c>
      <c r="V176" s="52">
        <v>45603</v>
      </c>
      <c r="W176" s="52" t="s">
        <v>44</v>
      </c>
      <c r="X176" s="52">
        <v>45602</v>
      </c>
      <c r="Y176" s="52">
        <v>45602</v>
      </c>
      <c r="Z176" s="35"/>
      <c r="AB176" s="234"/>
      <c r="AC176" s="284"/>
      <c r="AD176" s="284"/>
      <c r="AE176" s="234"/>
      <c r="AF176" s="234"/>
      <c r="AG176" s="234"/>
      <c r="AP176" s="65"/>
    </row>
    <row r="177" s="3" customFormat="1" ht="90" customHeight="1" spans="1:42">
      <c r="A177" s="11">
        <v>27</v>
      </c>
      <c r="B177" s="332" t="s">
        <v>1810</v>
      </c>
      <c r="C177" s="288" t="s">
        <v>1811</v>
      </c>
      <c r="D177" s="220"/>
      <c r="E177" s="12" t="s">
        <v>1812</v>
      </c>
      <c r="F177" s="11" t="s">
        <v>1195</v>
      </c>
      <c r="G177" s="323" t="s">
        <v>1813</v>
      </c>
      <c r="H177" s="11" t="s">
        <v>42</v>
      </c>
      <c r="I177" s="11" t="s">
        <v>42</v>
      </c>
      <c r="J177" s="11" t="s">
        <v>1811</v>
      </c>
      <c r="K177" s="229" t="s">
        <v>1814</v>
      </c>
      <c r="L177" s="11" t="s">
        <v>1815</v>
      </c>
      <c r="M177" s="35" t="s">
        <v>1816</v>
      </c>
      <c r="N177" s="60">
        <v>45531</v>
      </c>
      <c r="O177" s="60">
        <v>45600</v>
      </c>
      <c r="P177" s="40" t="s">
        <v>401</v>
      </c>
      <c r="Q177" s="244">
        <v>0.2</v>
      </c>
      <c r="R177" s="35">
        <v>45611</v>
      </c>
      <c r="S177" s="35"/>
      <c r="T177" s="11" t="s">
        <v>1809</v>
      </c>
      <c r="U177" s="52">
        <v>45602</v>
      </c>
      <c r="V177" s="52">
        <v>45603</v>
      </c>
      <c r="W177" s="52" t="s">
        <v>44</v>
      </c>
      <c r="X177" s="52">
        <v>45602</v>
      </c>
      <c r="Y177" s="52">
        <v>45602</v>
      </c>
      <c r="Z177" s="35"/>
      <c r="AB177" s="234"/>
      <c r="AC177" s="284"/>
      <c r="AD177" s="284"/>
      <c r="AE177" s="234"/>
      <c r="AF177" s="234"/>
      <c r="AG177" s="234"/>
      <c r="AP177" s="65"/>
    </row>
    <row r="178" s="3" customFormat="1" ht="90" customHeight="1" spans="1:42">
      <c r="A178" s="11">
        <v>28</v>
      </c>
      <c r="B178" s="332" t="s">
        <v>1817</v>
      </c>
      <c r="C178" s="11" t="s">
        <v>1818</v>
      </c>
      <c r="D178" s="216"/>
      <c r="E178" s="12" t="s">
        <v>1819</v>
      </c>
      <c r="F178" s="11" t="s">
        <v>938</v>
      </c>
      <c r="G178" s="323" t="s">
        <v>1820</v>
      </c>
      <c r="H178" s="11" t="s">
        <v>42</v>
      </c>
      <c r="I178" s="11" t="s">
        <v>42</v>
      </c>
      <c r="J178" s="11" t="s">
        <v>1818</v>
      </c>
      <c r="K178" s="229" t="s">
        <v>1821</v>
      </c>
      <c r="L178" s="11" t="s">
        <v>1822</v>
      </c>
      <c r="M178" s="35" t="s">
        <v>1823</v>
      </c>
      <c r="N178" s="60">
        <v>45531</v>
      </c>
      <c r="O178" s="60">
        <v>45600</v>
      </c>
      <c r="P178" s="40" t="s">
        <v>401</v>
      </c>
      <c r="Q178" s="244">
        <v>0.2</v>
      </c>
      <c r="R178" s="35">
        <v>45611</v>
      </c>
      <c r="S178" s="35"/>
      <c r="T178" s="11" t="s">
        <v>1809</v>
      </c>
      <c r="U178" s="52">
        <v>45602</v>
      </c>
      <c r="V178" s="52">
        <v>45603</v>
      </c>
      <c r="W178" s="52" t="s">
        <v>44</v>
      </c>
      <c r="X178" s="52">
        <v>45602</v>
      </c>
      <c r="Y178" s="52">
        <v>45602</v>
      </c>
      <c r="Z178" s="35"/>
      <c r="AB178" s="234"/>
      <c r="AC178" s="284"/>
      <c r="AD178" s="284"/>
      <c r="AE178" s="234"/>
      <c r="AF178" s="234"/>
      <c r="AG178" s="234"/>
      <c r="AP178" s="65"/>
    </row>
    <row r="179" s="3" customFormat="1" ht="90" customHeight="1" spans="1:42">
      <c r="A179" s="11">
        <v>29</v>
      </c>
      <c r="B179" s="332" t="s">
        <v>1824</v>
      </c>
      <c r="C179" s="11" t="s">
        <v>1825</v>
      </c>
      <c r="D179" s="215" t="s">
        <v>1826</v>
      </c>
      <c r="E179" s="12" t="s">
        <v>1827</v>
      </c>
      <c r="F179" s="11" t="s">
        <v>425</v>
      </c>
      <c r="G179" s="323" t="s">
        <v>1828</v>
      </c>
      <c r="H179" s="11" t="s">
        <v>1829</v>
      </c>
      <c r="I179" s="323" t="s">
        <v>1830</v>
      </c>
      <c r="J179" s="11" t="s">
        <v>1831</v>
      </c>
      <c r="K179" s="229" t="s">
        <v>1832</v>
      </c>
      <c r="L179" s="11" t="s">
        <v>1833</v>
      </c>
      <c r="M179" s="35" t="s">
        <v>1834</v>
      </c>
      <c r="N179" s="60">
        <v>45534</v>
      </c>
      <c r="O179" s="60">
        <v>45622</v>
      </c>
      <c r="P179" s="40" t="s">
        <v>401</v>
      </c>
      <c r="Q179" s="244">
        <v>1.2</v>
      </c>
      <c r="R179" s="35">
        <v>45644</v>
      </c>
      <c r="S179" s="35"/>
      <c r="T179" s="11" t="s">
        <v>1738</v>
      </c>
      <c r="U179" s="52">
        <v>45625</v>
      </c>
      <c r="V179" s="52">
        <v>45625</v>
      </c>
      <c r="W179" s="52" t="s">
        <v>44</v>
      </c>
      <c r="X179" s="52">
        <v>45625</v>
      </c>
      <c r="Y179" s="52">
        <v>45625</v>
      </c>
      <c r="Z179" s="35"/>
      <c r="AB179" s="234"/>
      <c r="AC179" s="284"/>
      <c r="AD179" s="284"/>
      <c r="AE179" s="234"/>
      <c r="AF179" s="234"/>
      <c r="AG179" s="234"/>
      <c r="AP179" s="65"/>
    </row>
    <row r="180" s="3" customFormat="1" ht="90" customHeight="1" spans="1:42">
      <c r="A180" s="11">
        <v>30</v>
      </c>
      <c r="B180" s="332" t="s">
        <v>1835</v>
      </c>
      <c r="C180" s="11" t="s">
        <v>1836</v>
      </c>
      <c r="D180" s="220"/>
      <c r="E180" s="12" t="s">
        <v>1837</v>
      </c>
      <c r="F180" s="11" t="s">
        <v>1838</v>
      </c>
      <c r="G180" s="323" t="s">
        <v>1839</v>
      </c>
      <c r="H180" s="11" t="s">
        <v>42</v>
      </c>
      <c r="I180" s="11" t="s">
        <v>42</v>
      </c>
      <c r="J180" s="11" t="s">
        <v>1840</v>
      </c>
      <c r="K180" s="229" t="s">
        <v>1841</v>
      </c>
      <c r="L180" s="11" t="s">
        <v>1842</v>
      </c>
      <c r="M180" s="35" t="s">
        <v>1843</v>
      </c>
      <c r="N180" s="60">
        <v>45534</v>
      </c>
      <c r="O180" s="60">
        <v>45622</v>
      </c>
      <c r="P180" s="40" t="s">
        <v>401</v>
      </c>
      <c r="Q180" s="244">
        <v>0.2</v>
      </c>
      <c r="R180" s="35">
        <v>45644</v>
      </c>
      <c r="S180" s="35"/>
      <c r="T180" s="11" t="s">
        <v>1738</v>
      </c>
      <c r="U180" s="52">
        <v>45625</v>
      </c>
      <c r="V180" s="52">
        <v>45625</v>
      </c>
      <c r="W180" s="52" t="s">
        <v>44</v>
      </c>
      <c r="X180" s="52">
        <v>45625</v>
      </c>
      <c r="Y180" s="52">
        <v>45625</v>
      </c>
      <c r="Z180" s="35"/>
      <c r="AB180" s="234"/>
      <c r="AC180" s="284"/>
      <c r="AD180" s="284"/>
      <c r="AE180" s="234"/>
      <c r="AF180" s="234"/>
      <c r="AG180" s="234"/>
      <c r="AP180" s="65"/>
    </row>
    <row r="181" s="3" customFormat="1" ht="90" customHeight="1" spans="1:42">
      <c r="A181" s="11">
        <v>31</v>
      </c>
      <c r="B181" s="332" t="s">
        <v>1844</v>
      </c>
      <c r="C181" s="11" t="s">
        <v>1845</v>
      </c>
      <c r="D181" s="216"/>
      <c r="E181" s="12" t="s">
        <v>1846</v>
      </c>
      <c r="F181" s="11" t="s">
        <v>1847</v>
      </c>
      <c r="G181" s="323" t="s">
        <v>1848</v>
      </c>
      <c r="H181" s="11" t="s">
        <v>42</v>
      </c>
      <c r="I181" s="11" t="s">
        <v>42</v>
      </c>
      <c r="J181" s="11" t="s">
        <v>1849</v>
      </c>
      <c r="K181" s="229" t="s">
        <v>1850</v>
      </c>
      <c r="L181" s="11" t="s">
        <v>1851</v>
      </c>
      <c r="M181" s="35" t="s">
        <v>1852</v>
      </c>
      <c r="N181" s="60">
        <v>45534</v>
      </c>
      <c r="O181" s="60">
        <v>45622</v>
      </c>
      <c r="P181" s="40" t="s">
        <v>401</v>
      </c>
      <c r="Q181" s="244">
        <v>0.2</v>
      </c>
      <c r="R181" s="35">
        <v>45644</v>
      </c>
      <c r="S181" s="35"/>
      <c r="T181" s="11" t="s">
        <v>1738</v>
      </c>
      <c r="U181" s="52">
        <v>45625</v>
      </c>
      <c r="V181" s="52">
        <v>45625</v>
      </c>
      <c r="W181" s="52" t="s">
        <v>44</v>
      </c>
      <c r="X181" s="52">
        <v>45625</v>
      </c>
      <c r="Y181" s="52">
        <v>45625</v>
      </c>
      <c r="Z181" s="35"/>
      <c r="AB181" s="234"/>
      <c r="AC181" s="284"/>
      <c r="AD181" s="284"/>
      <c r="AE181" s="234"/>
      <c r="AF181" s="234"/>
      <c r="AG181" s="234"/>
      <c r="AP181" s="65"/>
    </row>
    <row r="182" s="3" customFormat="1" ht="90" customHeight="1" spans="1:42">
      <c r="A182" s="11">
        <v>32</v>
      </c>
      <c r="B182" s="332" t="s">
        <v>1853</v>
      </c>
      <c r="C182" s="288" t="s">
        <v>1854</v>
      </c>
      <c r="D182" s="215" t="s">
        <v>1855</v>
      </c>
      <c r="E182" s="12" t="s">
        <v>1856</v>
      </c>
      <c r="F182" s="11" t="s">
        <v>509</v>
      </c>
      <c r="G182" s="323" t="s">
        <v>1857</v>
      </c>
      <c r="H182" s="11" t="s">
        <v>42</v>
      </c>
      <c r="I182" s="11" t="s">
        <v>42</v>
      </c>
      <c r="J182" s="11" t="s">
        <v>1858</v>
      </c>
      <c r="K182" s="229" t="s">
        <v>1859</v>
      </c>
      <c r="L182" s="11" t="s">
        <v>1790</v>
      </c>
      <c r="M182" s="35" t="s">
        <v>1860</v>
      </c>
      <c r="N182" s="60">
        <v>45539</v>
      </c>
      <c r="O182" s="60">
        <v>45625</v>
      </c>
      <c r="P182" s="40" t="s">
        <v>401</v>
      </c>
      <c r="Q182" s="244">
        <v>1.5</v>
      </c>
      <c r="R182" s="35">
        <v>45643</v>
      </c>
      <c r="S182" s="35"/>
      <c r="T182" s="11" t="s">
        <v>1683</v>
      </c>
      <c r="U182" s="52">
        <v>45625</v>
      </c>
      <c r="V182" s="52">
        <v>45625</v>
      </c>
      <c r="W182" s="52" t="s">
        <v>44</v>
      </c>
      <c r="X182" s="52">
        <v>45625</v>
      </c>
      <c r="Y182" s="52">
        <v>45625</v>
      </c>
      <c r="Z182" s="35"/>
      <c r="AB182" s="234"/>
      <c r="AC182" s="284"/>
      <c r="AD182" s="284"/>
      <c r="AE182" s="234"/>
      <c r="AF182" s="234"/>
      <c r="AG182" s="234"/>
      <c r="AP182" s="65"/>
    </row>
    <row r="183" s="3" customFormat="1" ht="90" customHeight="1" spans="1:42">
      <c r="A183" s="11">
        <v>33</v>
      </c>
      <c r="B183" s="332" t="s">
        <v>1861</v>
      </c>
      <c r="C183" s="288" t="s">
        <v>1862</v>
      </c>
      <c r="D183" s="220"/>
      <c r="E183" s="12" t="s">
        <v>1863</v>
      </c>
      <c r="F183" s="11" t="s">
        <v>854</v>
      </c>
      <c r="G183" s="323" t="s">
        <v>1864</v>
      </c>
      <c r="H183" s="11" t="s">
        <v>42</v>
      </c>
      <c r="I183" s="11" t="s">
        <v>42</v>
      </c>
      <c r="J183" s="11" t="s">
        <v>1858</v>
      </c>
      <c r="K183" s="229" t="s">
        <v>1865</v>
      </c>
      <c r="L183" s="11" t="s">
        <v>1797</v>
      </c>
      <c r="M183" s="35" t="s">
        <v>1866</v>
      </c>
      <c r="N183" s="60">
        <v>45539</v>
      </c>
      <c r="O183" s="60">
        <v>45625</v>
      </c>
      <c r="P183" s="40" t="s">
        <v>401</v>
      </c>
      <c r="Q183" s="244">
        <v>1.5</v>
      </c>
      <c r="R183" s="35">
        <v>45643</v>
      </c>
      <c r="S183" s="35"/>
      <c r="T183" s="11" t="s">
        <v>1683</v>
      </c>
      <c r="U183" s="52">
        <v>45625</v>
      </c>
      <c r="V183" s="52">
        <v>45625</v>
      </c>
      <c r="W183" s="52" t="s">
        <v>44</v>
      </c>
      <c r="X183" s="52">
        <v>45625</v>
      </c>
      <c r="Y183" s="52">
        <v>45625</v>
      </c>
      <c r="Z183" s="35"/>
      <c r="AB183" s="234"/>
      <c r="AC183" s="284"/>
      <c r="AD183" s="284"/>
      <c r="AE183" s="234"/>
      <c r="AF183" s="234"/>
      <c r="AG183" s="234"/>
      <c r="AP183" s="65"/>
    </row>
    <row r="184" s="3" customFormat="1" ht="90" customHeight="1" spans="1:42">
      <c r="A184" s="11">
        <v>34</v>
      </c>
      <c r="B184" s="332" t="s">
        <v>1867</v>
      </c>
      <c r="C184" s="288" t="s">
        <v>1868</v>
      </c>
      <c r="D184" s="216"/>
      <c r="E184" s="12" t="s">
        <v>1869</v>
      </c>
      <c r="F184" s="11" t="s">
        <v>1870</v>
      </c>
      <c r="G184" s="323" t="s">
        <v>1871</v>
      </c>
      <c r="H184" s="11" t="s">
        <v>42</v>
      </c>
      <c r="I184" s="11" t="s">
        <v>42</v>
      </c>
      <c r="J184" s="11" t="s">
        <v>1868</v>
      </c>
      <c r="K184" s="229" t="s">
        <v>1872</v>
      </c>
      <c r="L184" s="11" t="s">
        <v>1873</v>
      </c>
      <c r="M184" s="35" t="s">
        <v>1874</v>
      </c>
      <c r="N184" s="60">
        <v>45539</v>
      </c>
      <c r="O184" s="60">
        <v>45625</v>
      </c>
      <c r="P184" s="40" t="s">
        <v>401</v>
      </c>
      <c r="Q184" s="244">
        <v>4</v>
      </c>
      <c r="R184" s="35">
        <v>45643</v>
      </c>
      <c r="S184" s="35"/>
      <c r="T184" s="11" t="s">
        <v>1683</v>
      </c>
      <c r="U184" s="52">
        <v>45625</v>
      </c>
      <c r="V184" s="52">
        <v>45625</v>
      </c>
      <c r="W184" s="52" t="s">
        <v>44</v>
      </c>
      <c r="X184" s="52">
        <v>45625</v>
      </c>
      <c r="Y184" s="52">
        <v>45625</v>
      </c>
      <c r="Z184" s="35"/>
      <c r="AB184" s="234"/>
      <c r="AC184" s="284"/>
      <c r="AD184" s="284"/>
      <c r="AE184" s="234"/>
      <c r="AF184" s="234"/>
      <c r="AG184" s="234"/>
      <c r="AP184" s="65"/>
    </row>
    <row r="185" s="3" customFormat="1" ht="90" customHeight="1" spans="1:42">
      <c r="A185" s="11">
        <v>35</v>
      </c>
      <c r="B185" s="332" t="s">
        <v>1875</v>
      </c>
      <c r="C185" s="288" t="s">
        <v>1876</v>
      </c>
      <c r="D185" s="13" t="s">
        <v>1877</v>
      </c>
      <c r="E185" s="12" t="s">
        <v>1878</v>
      </c>
      <c r="F185" s="11" t="s">
        <v>854</v>
      </c>
      <c r="G185" s="323" t="s">
        <v>1879</v>
      </c>
      <c r="H185" s="11" t="s">
        <v>42</v>
      </c>
      <c r="I185" s="11" t="s">
        <v>42</v>
      </c>
      <c r="J185" s="11" t="s">
        <v>1876</v>
      </c>
      <c r="K185" s="229" t="s">
        <v>1880</v>
      </c>
      <c r="L185" s="11" t="s">
        <v>1881</v>
      </c>
      <c r="M185" s="35" t="s">
        <v>1882</v>
      </c>
      <c r="N185" s="60">
        <v>45539</v>
      </c>
      <c r="O185" s="60">
        <v>45600</v>
      </c>
      <c r="P185" s="40" t="s">
        <v>401</v>
      </c>
      <c r="Q185" s="244">
        <v>2</v>
      </c>
      <c r="R185" s="35">
        <v>45608</v>
      </c>
      <c r="S185" s="35"/>
      <c r="T185" s="11" t="s">
        <v>1883</v>
      </c>
      <c r="U185" s="52">
        <v>45603</v>
      </c>
      <c r="V185" s="52">
        <v>45603</v>
      </c>
      <c r="W185" s="52" t="s">
        <v>44</v>
      </c>
      <c r="X185" s="52">
        <v>45602</v>
      </c>
      <c r="Y185" s="52">
        <v>45602</v>
      </c>
      <c r="Z185" s="35"/>
      <c r="AB185" s="234"/>
      <c r="AC185" s="284"/>
      <c r="AD185" s="284"/>
      <c r="AE185" s="234"/>
      <c r="AF185" s="234"/>
      <c r="AG185" s="234"/>
      <c r="AP185" s="65"/>
    </row>
    <row r="186" s="3" customFormat="1" ht="90" customHeight="1" spans="1:42">
      <c r="A186" s="11">
        <v>36</v>
      </c>
      <c r="B186" s="332" t="s">
        <v>1884</v>
      </c>
      <c r="C186" s="288" t="s">
        <v>1858</v>
      </c>
      <c r="D186" s="216" t="s">
        <v>1885</v>
      </c>
      <c r="E186" s="12" t="s">
        <v>1886</v>
      </c>
      <c r="F186" s="11" t="s">
        <v>854</v>
      </c>
      <c r="G186" s="323" t="s">
        <v>1887</v>
      </c>
      <c r="H186" s="11" t="s">
        <v>42</v>
      </c>
      <c r="I186" s="11" t="s">
        <v>42</v>
      </c>
      <c r="J186" s="11" t="s">
        <v>1858</v>
      </c>
      <c r="K186" s="229" t="s">
        <v>1888</v>
      </c>
      <c r="L186" s="11" t="s">
        <v>1889</v>
      </c>
      <c r="M186" s="35" t="s">
        <v>1890</v>
      </c>
      <c r="N186" s="60">
        <v>45545</v>
      </c>
      <c r="O186" s="60">
        <v>45630</v>
      </c>
      <c r="P186" s="40" t="s">
        <v>401</v>
      </c>
      <c r="Q186" s="290">
        <v>1.5</v>
      </c>
      <c r="R186" s="35">
        <v>45643</v>
      </c>
      <c r="S186" s="35"/>
      <c r="T186" s="11" t="s">
        <v>1809</v>
      </c>
      <c r="U186" s="52">
        <v>45637</v>
      </c>
      <c r="V186" s="52">
        <v>45637</v>
      </c>
      <c r="W186" s="52" t="s">
        <v>44</v>
      </c>
      <c r="X186" s="52">
        <v>45638</v>
      </c>
      <c r="Y186" s="52">
        <v>45637</v>
      </c>
      <c r="Z186" s="35"/>
      <c r="AB186" s="234"/>
      <c r="AC186" s="284"/>
      <c r="AD186" s="284"/>
      <c r="AE186" s="234"/>
      <c r="AF186" s="234"/>
      <c r="AG186" s="234"/>
      <c r="AP186" s="65"/>
    </row>
    <row r="187" s="3" customFormat="1" ht="90" customHeight="1" spans="1:42">
      <c r="A187" s="11">
        <v>37</v>
      </c>
      <c r="B187" s="332" t="s">
        <v>1891</v>
      </c>
      <c r="C187" s="288" t="s">
        <v>1858</v>
      </c>
      <c r="D187" s="216" t="s">
        <v>1892</v>
      </c>
      <c r="E187" s="12" t="s">
        <v>1893</v>
      </c>
      <c r="F187" s="11" t="s">
        <v>854</v>
      </c>
      <c r="G187" s="323" t="s">
        <v>1894</v>
      </c>
      <c r="H187" s="11" t="s">
        <v>42</v>
      </c>
      <c r="I187" s="11" t="s">
        <v>42</v>
      </c>
      <c r="J187" s="11" t="s">
        <v>1858</v>
      </c>
      <c r="K187" s="229" t="s">
        <v>1895</v>
      </c>
      <c r="L187" s="11" t="s">
        <v>1896</v>
      </c>
      <c r="M187" s="35" t="s">
        <v>1897</v>
      </c>
      <c r="N187" s="60">
        <v>45545</v>
      </c>
      <c r="O187" s="60">
        <v>45630</v>
      </c>
      <c r="P187" s="40" t="s">
        <v>401</v>
      </c>
      <c r="Q187" s="290">
        <v>1.5</v>
      </c>
      <c r="R187" s="35">
        <v>45643</v>
      </c>
      <c r="S187" s="35"/>
      <c r="T187" s="11" t="s">
        <v>1809</v>
      </c>
      <c r="U187" s="52">
        <v>45637</v>
      </c>
      <c r="V187" s="52">
        <v>45637</v>
      </c>
      <c r="W187" s="52" t="s">
        <v>44</v>
      </c>
      <c r="X187" s="52">
        <v>45638</v>
      </c>
      <c r="Y187" s="52">
        <v>45637</v>
      </c>
      <c r="Z187" s="35"/>
      <c r="AB187" s="234"/>
      <c r="AC187" s="284"/>
      <c r="AD187" s="284"/>
      <c r="AE187" s="234"/>
      <c r="AF187" s="234"/>
      <c r="AG187" s="234"/>
      <c r="AP187" s="65"/>
    </row>
    <row r="188" s="3" customFormat="1" ht="90" customHeight="1" spans="1:42">
      <c r="A188" s="11">
        <v>38</v>
      </c>
      <c r="B188" s="12" t="s">
        <v>1898</v>
      </c>
      <c r="C188" s="288" t="s">
        <v>1862</v>
      </c>
      <c r="D188" s="216" t="s">
        <v>1899</v>
      </c>
      <c r="E188" s="12" t="s">
        <v>1900</v>
      </c>
      <c r="F188" s="11" t="s">
        <v>854</v>
      </c>
      <c r="G188" s="323" t="s">
        <v>1901</v>
      </c>
      <c r="H188" s="11" t="s">
        <v>42</v>
      </c>
      <c r="I188" s="11" t="s">
        <v>42</v>
      </c>
      <c r="J188" s="11" t="s">
        <v>1858</v>
      </c>
      <c r="K188" s="229" t="s">
        <v>1902</v>
      </c>
      <c r="L188" s="11" t="s">
        <v>1903</v>
      </c>
      <c r="M188" s="35" t="s">
        <v>1904</v>
      </c>
      <c r="N188" s="60">
        <v>45559</v>
      </c>
      <c r="O188" s="60">
        <v>45637</v>
      </c>
      <c r="P188" s="40" t="s">
        <v>401</v>
      </c>
      <c r="Q188" s="290">
        <v>1.5</v>
      </c>
      <c r="R188" s="35">
        <v>45656</v>
      </c>
      <c r="S188" s="35"/>
      <c r="T188" s="11" t="s">
        <v>1905</v>
      </c>
      <c r="U188" s="52">
        <v>45642</v>
      </c>
      <c r="V188" s="52">
        <v>45643</v>
      </c>
      <c r="W188" s="52" t="s">
        <v>44</v>
      </c>
      <c r="X188" s="52">
        <v>45638</v>
      </c>
      <c r="Y188" s="52">
        <v>45638</v>
      </c>
      <c r="Z188" s="35"/>
      <c r="AB188" s="234"/>
      <c r="AC188" s="260" t="s">
        <v>294</v>
      </c>
      <c r="AD188" s="260" t="s">
        <v>294</v>
      </c>
      <c r="AE188" s="234"/>
      <c r="AF188" s="234"/>
      <c r="AG188" s="234"/>
      <c r="AP188" s="65"/>
    </row>
    <row r="189" s="3" customFormat="1" ht="90" customHeight="1" spans="1:42">
      <c r="A189" s="11">
        <v>39</v>
      </c>
      <c r="B189" s="12" t="s">
        <v>1906</v>
      </c>
      <c r="C189" s="288" t="s">
        <v>1862</v>
      </c>
      <c r="D189" s="216" t="s">
        <v>1761</v>
      </c>
      <c r="E189" s="12" t="s">
        <v>1907</v>
      </c>
      <c r="F189" s="11" t="s">
        <v>854</v>
      </c>
      <c r="G189" s="323" t="s">
        <v>1908</v>
      </c>
      <c r="H189" s="11" t="s">
        <v>42</v>
      </c>
      <c r="I189" s="11" t="s">
        <v>42</v>
      </c>
      <c r="J189" s="11" t="s">
        <v>1858</v>
      </c>
      <c r="K189" s="229" t="s">
        <v>1909</v>
      </c>
      <c r="L189" s="11" t="s">
        <v>1910</v>
      </c>
      <c r="M189" s="35" t="s">
        <v>1911</v>
      </c>
      <c r="N189" s="60">
        <v>45559</v>
      </c>
      <c r="O189" s="60">
        <v>45637</v>
      </c>
      <c r="P189" s="40" t="s">
        <v>401</v>
      </c>
      <c r="Q189" s="290">
        <v>1.5</v>
      </c>
      <c r="R189" s="35">
        <v>45656</v>
      </c>
      <c r="S189" s="35"/>
      <c r="T189" s="11" t="s">
        <v>1905</v>
      </c>
      <c r="U189" s="52">
        <v>45642</v>
      </c>
      <c r="V189" s="52">
        <v>45643</v>
      </c>
      <c r="W189" s="52" t="s">
        <v>44</v>
      </c>
      <c r="X189" s="52">
        <v>45638</v>
      </c>
      <c r="Y189" s="52">
        <v>45638</v>
      </c>
      <c r="Z189" s="35"/>
      <c r="AB189" s="234"/>
      <c r="AC189" s="260" t="s">
        <v>294</v>
      </c>
      <c r="AD189" s="260" t="s">
        <v>294</v>
      </c>
      <c r="AE189" s="234"/>
      <c r="AF189" s="234"/>
      <c r="AG189" s="234"/>
      <c r="AP189" s="65"/>
    </row>
    <row r="190" s="3" customFormat="1" ht="90" customHeight="1" spans="1:42">
      <c r="A190" s="11">
        <v>40</v>
      </c>
      <c r="B190" s="12" t="s">
        <v>1912</v>
      </c>
      <c r="C190" s="288" t="s">
        <v>1913</v>
      </c>
      <c r="D190" s="13" t="s">
        <v>1914</v>
      </c>
      <c r="E190" s="12" t="s">
        <v>1915</v>
      </c>
      <c r="F190" s="11" t="s">
        <v>416</v>
      </c>
      <c r="G190" s="323" t="s">
        <v>1916</v>
      </c>
      <c r="H190" s="11" t="s">
        <v>1917</v>
      </c>
      <c r="I190" s="323" t="s">
        <v>1918</v>
      </c>
      <c r="J190" s="11" t="s">
        <v>1373</v>
      </c>
      <c r="K190" s="229" t="s">
        <v>1919</v>
      </c>
      <c r="L190" s="11" t="s">
        <v>1920</v>
      </c>
      <c r="M190" s="35" t="s">
        <v>1921</v>
      </c>
      <c r="N190" s="60">
        <v>45563</v>
      </c>
      <c r="O190" s="60">
        <v>45651</v>
      </c>
      <c r="P190" s="40" t="s">
        <v>401</v>
      </c>
      <c r="Q190" s="244">
        <v>5</v>
      </c>
      <c r="R190" s="35">
        <v>45671</v>
      </c>
      <c r="S190" s="35"/>
      <c r="T190" s="11" t="s">
        <v>1683</v>
      </c>
      <c r="U190" s="52">
        <v>45653</v>
      </c>
      <c r="V190" s="52">
        <v>45653</v>
      </c>
      <c r="W190" s="52" t="s">
        <v>44</v>
      </c>
      <c r="X190" s="52">
        <v>45653</v>
      </c>
      <c r="Y190" s="52">
        <v>45653</v>
      </c>
      <c r="Z190" s="35"/>
      <c r="AB190" s="234"/>
      <c r="AC190" s="284"/>
      <c r="AD190" s="284"/>
      <c r="AE190" s="234"/>
      <c r="AF190" s="234"/>
      <c r="AG190" s="234"/>
      <c r="AP190" s="65"/>
    </row>
    <row r="191" s="3" customFormat="1" ht="90" customHeight="1" spans="1:42">
      <c r="A191" s="11">
        <v>41</v>
      </c>
      <c r="B191" s="12" t="s">
        <v>1922</v>
      </c>
      <c r="C191" s="288" t="s">
        <v>1862</v>
      </c>
      <c r="D191" s="13"/>
      <c r="E191" s="12" t="s">
        <v>1923</v>
      </c>
      <c r="F191" s="11" t="s">
        <v>854</v>
      </c>
      <c r="G191" s="323" t="s">
        <v>1924</v>
      </c>
      <c r="H191" s="11" t="s">
        <v>42</v>
      </c>
      <c r="I191" s="11" t="s">
        <v>42</v>
      </c>
      <c r="J191" s="11" t="s">
        <v>1858</v>
      </c>
      <c r="K191" s="229" t="s">
        <v>1925</v>
      </c>
      <c r="L191" s="11" t="s">
        <v>1926</v>
      </c>
      <c r="M191" s="35" t="s">
        <v>1927</v>
      </c>
      <c r="N191" s="60">
        <v>45563</v>
      </c>
      <c r="O191" s="60">
        <v>45651</v>
      </c>
      <c r="P191" s="40" t="s">
        <v>401</v>
      </c>
      <c r="Q191" s="290">
        <v>1.5</v>
      </c>
      <c r="R191" s="35">
        <v>45671</v>
      </c>
      <c r="S191" s="35"/>
      <c r="T191" s="11" t="s">
        <v>1683</v>
      </c>
      <c r="U191" s="52">
        <v>45653</v>
      </c>
      <c r="V191" s="52">
        <v>45653</v>
      </c>
      <c r="W191" s="52" t="s">
        <v>44</v>
      </c>
      <c r="X191" s="52">
        <v>45653</v>
      </c>
      <c r="Y191" s="52">
        <v>45653</v>
      </c>
      <c r="Z191" s="35"/>
      <c r="AB191" s="234"/>
      <c r="AC191" s="284"/>
      <c r="AD191" s="284"/>
      <c r="AE191" s="234"/>
      <c r="AF191" s="234"/>
      <c r="AG191" s="234"/>
      <c r="AP191" s="65"/>
    </row>
    <row r="192" s="3" customFormat="1" ht="90" customHeight="1" spans="1:42">
      <c r="A192" s="11">
        <v>42</v>
      </c>
      <c r="B192" s="12" t="s">
        <v>1928</v>
      </c>
      <c r="C192" s="288" t="s">
        <v>1373</v>
      </c>
      <c r="D192" s="13" t="s">
        <v>1929</v>
      </c>
      <c r="E192" s="12" t="s">
        <v>1930</v>
      </c>
      <c r="F192" s="11" t="s">
        <v>408</v>
      </c>
      <c r="G192" s="323" t="s">
        <v>1931</v>
      </c>
      <c r="H192" s="11" t="s">
        <v>1932</v>
      </c>
      <c r="I192" s="323" t="s">
        <v>1933</v>
      </c>
      <c r="J192" s="11" t="s">
        <v>1373</v>
      </c>
      <c r="K192" s="229" t="s">
        <v>1934</v>
      </c>
      <c r="L192" s="11" t="s">
        <v>1935</v>
      </c>
      <c r="M192" s="35" t="s">
        <v>1936</v>
      </c>
      <c r="N192" s="60">
        <v>45564</v>
      </c>
      <c r="O192" s="60">
        <v>45652</v>
      </c>
      <c r="P192" s="40" t="s">
        <v>401</v>
      </c>
      <c r="Q192" s="244">
        <v>5</v>
      </c>
      <c r="R192" s="35">
        <v>45655</v>
      </c>
      <c r="S192" s="35"/>
      <c r="T192" s="11" t="s">
        <v>1809</v>
      </c>
      <c r="U192" s="52">
        <v>45656</v>
      </c>
      <c r="V192" s="52">
        <v>45657</v>
      </c>
      <c r="W192" s="52" t="s">
        <v>44</v>
      </c>
      <c r="X192" s="52">
        <v>45653</v>
      </c>
      <c r="Y192" s="52">
        <v>45653</v>
      </c>
      <c r="Z192" s="35"/>
      <c r="AB192" s="234"/>
      <c r="AC192" s="284"/>
      <c r="AD192" s="284"/>
      <c r="AE192" s="234"/>
      <c r="AF192" s="234"/>
      <c r="AG192" s="234"/>
      <c r="AP192" s="65"/>
    </row>
    <row r="193" s="3" customFormat="1" ht="90" customHeight="1" spans="1:42">
      <c r="A193" s="11">
        <v>43</v>
      </c>
      <c r="B193" s="12" t="s">
        <v>1937</v>
      </c>
      <c r="C193" s="288" t="s">
        <v>1876</v>
      </c>
      <c r="D193" s="13" t="s">
        <v>1938</v>
      </c>
      <c r="E193" s="12" t="s">
        <v>1939</v>
      </c>
      <c r="F193" s="11" t="s">
        <v>854</v>
      </c>
      <c r="G193" s="323" t="s">
        <v>1940</v>
      </c>
      <c r="H193" s="11" t="s">
        <v>42</v>
      </c>
      <c r="I193" s="11" t="s">
        <v>42</v>
      </c>
      <c r="J193" s="11" t="s">
        <v>1858</v>
      </c>
      <c r="K193" s="229" t="s">
        <v>1941</v>
      </c>
      <c r="L193" s="11" t="s">
        <v>1942</v>
      </c>
      <c r="M193" s="35" t="s">
        <v>1943</v>
      </c>
      <c r="N193" s="60">
        <v>45580</v>
      </c>
      <c r="O193" s="60">
        <v>45639</v>
      </c>
      <c r="P193" s="40" t="s">
        <v>401</v>
      </c>
      <c r="Q193" s="290">
        <v>1.5</v>
      </c>
      <c r="R193" s="35">
        <v>45651</v>
      </c>
      <c r="S193" s="35"/>
      <c r="T193" s="11" t="s">
        <v>1944</v>
      </c>
      <c r="U193" s="52">
        <v>45645</v>
      </c>
      <c r="V193" s="52">
        <v>45645</v>
      </c>
      <c r="W193" s="52" t="s">
        <v>44</v>
      </c>
      <c r="X193" s="52">
        <v>45645</v>
      </c>
      <c r="Y193" s="52">
        <v>45645</v>
      </c>
      <c r="Z193" s="35"/>
      <c r="AB193" s="234"/>
      <c r="AC193" s="284"/>
      <c r="AD193" s="284"/>
      <c r="AE193" s="234"/>
      <c r="AF193" s="234"/>
      <c r="AG193" s="234"/>
      <c r="AP193" s="65"/>
    </row>
    <row r="194" s="3" customFormat="1" ht="90" customHeight="1" spans="1:42">
      <c r="A194" s="11">
        <v>44</v>
      </c>
      <c r="B194" s="12" t="s">
        <v>1945</v>
      </c>
      <c r="C194" s="12" t="s">
        <v>1946</v>
      </c>
      <c r="D194" s="13" t="s">
        <v>1947</v>
      </c>
      <c r="E194" s="12" t="s">
        <v>1948</v>
      </c>
      <c r="F194" s="11" t="s">
        <v>408</v>
      </c>
      <c r="G194" s="323" t="s">
        <v>1949</v>
      </c>
      <c r="H194" s="11" t="s">
        <v>1950</v>
      </c>
      <c r="I194" s="323" t="s">
        <v>1951</v>
      </c>
      <c r="J194" s="11" t="s">
        <v>1373</v>
      </c>
      <c r="K194" s="229" t="s">
        <v>1952</v>
      </c>
      <c r="L194" s="11" t="s">
        <v>1953</v>
      </c>
      <c r="M194" s="35" t="s">
        <v>1954</v>
      </c>
      <c r="N194" s="60">
        <v>45582</v>
      </c>
      <c r="O194" s="60">
        <v>45632</v>
      </c>
      <c r="P194" s="40" t="s">
        <v>401</v>
      </c>
      <c r="Q194" s="244">
        <v>5</v>
      </c>
      <c r="R194" s="35">
        <v>45659</v>
      </c>
      <c r="S194" s="35"/>
      <c r="T194" s="11" t="s">
        <v>1955</v>
      </c>
      <c r="U194" s="52">
        <v>45638</v>
      </c>
      <c r="V194" s="52">
        <v>45638</v>
      </c>
      <c r="W194" s="52" t="s">
        <v>44</v>
      </c>
      <c r="X194" s="52">
        <v>45638</v>
      </c>
      <c r="Y194" s="52">
        <v>45638</v>
      </c>
      <c r="Z194" s="35"/>
      <c r="AB194" s="234"/>
      <c r="AC194" s="284"/>
      <c r="AD194" s="284"/>
      <c r="AE194" s="234"/>
      <c r="AF194" s="234"/>
      <c r="AG194" s="234"/>
      <c r="AP194" s="65"/>
    </row>
    <row r="195" s="3" customFormat="1" ht="90" customHeight="1" spans="1:42">
      <c r="A195" s="11">
        <v>45</v>
      </c>
      <c r="B195" s="12" t="s">
        <v>1956</v>
      </c>
      <c r="C195" s="288" t="s">
        <v>1242</v>
      </c>
      <c r="D195" s="215" t="s">
        <v>1957</v>
      </c>
      <c r="E195" s="12" t="s">
        <v>1958</v>
      </c>
      <c r="F195" s="11" t="s">
        <v>1959</v>
      </c>
      <c r="G195" s="323" t="s">
        <v>1960</v>
      </c>
      <c r="H195" s="11" t="s">
        <v>1961</v>
      </c>
      <c r="I195" s="323" t="s">
        <v>1962</v>
      </c>
      <c r="J195" s="11" t="s">
        <v>1242</v>
      </c>
      <c r="K195" s="229" t="s">
        <v>1963</v>
      </c>
      <c r="L195" s="11" t="s">
        <v>1964</v>
      </c>
      <c r="M195" s="35" t="s">
        <v>1965</v>
      </c>
      <c r="N195" s="60">
        <v>45594</v>
      </c>
      <c r="O195" s="60">
        <v>45673</v>
      </c>
      <c r="P195" s="40" t="s">
        <v>401</v>
      </c>
      <c r="Q195" s="244">
        <v>10</v>
      </c>
      <c r="R195" s="35">
        <v>45684</v>
      </c>
      <c r="S195" s="35"/>
      <c r="T195" s="11" t="s">
        <v>1809</v>
      </c>
      <c r="U195" s="52">
        <v>45677</v>
      </c>
      <c r="V195" s="52">
        <v>45679</v>
      </c>
      <c r="W195" s="52" t="s">
        <v>44</v>
      </c>
      <c r="X195" s="52">
        <v>45679</v>
      </c>
      <c r="Y195" s="52">
        <v>45679</v>
      </c>
      <c r="Z195" s="35"/>
      <c r="AB195" s="260" t="s">
        <v>294</v>
      </c>
      <c r="AC195" s="284"/>
      <c r="AD195" s="284"/>
      <c r="AE195" s="234"/>
      <c r="AF195" s="234"/>
      <c r="AG195" s="234"/>
      <c r="AP195" s="65"/>
    </row>
    <row r="196" s="3" customFormat="1" ht="90" customHeight="1" spans="1:42">
      <c r="A196" s="11">
        <v>46</v>
      </c>
      <c r="B196" s="12" t="s">
        <v>1966</v>
      </c>
      <c r="C196" s="288" t="s">
        <v>1858</v>
      </c>
      <c r="D196" s="216"/>
      <c r="E196" s="12" t="s">
        <v>1967</v>
      </c>
      <c r="F196" s="11" t="s">
        <v>509</v>
      </c>
      <c r="G196" s="323" t="s">
        <v>1968</v>
      </c>
      <c r="H196" s="11" t="s">
        <v>42</v>
      </c>
      <c r="I196" s="11" t="s">
        <v>42</v>
      </c>
      <c r="J196" s="11" t="s">
        <v>1858</v>
      </c>
      <c r="K196" s="229" t="s">
        <v>1969</v>
      </c>
      <c r="L196" s="11" t="s">
        <v>1970</v>
      </c>
      <c r="M196" s="35" t="s">
        <v>1971</v>
      </c>
      <c r="N196" s="60">
        <v>45594</v>
      </c>
      <c r="O196" s="60">
        <v>45678</v>
      </c>
      <c r="P196" s="40" t="s">
        <v>401</v>
      </c>
      <c r="Q196" s="290">
        <v>1.5</v>
      </c>
      <c r="R196" s="35">
        <v>45684</v>
      </c>
      <c r="S196" s="35"/>
      <c r="T196" s="11" t="s">
        <v>1809</v>
      </c>
      <c r="U196" s="52">
        <v>45679</v>
      </c>
      <c r="V196" s="52">
        <v>45679</v>
      </c>
      <c r="W196" s="52" t="s">
        <v>44</v>
      </c>
      <c r="X196" s="52">
        <v>45679</v>
      </c>
      <c r="Y196" s="52">
        <v>45679</v>
      </c>
      <c r="Z196" s="35"/>
      <c r="AB196" s="260" t="s">
        <v>294</v>
      </c>
      <c r="AC196" s="284"/>
      <c r="AD196" s="284"/>
      <c r="AE196" s="234"/>
      <c r="AF196" s="234"/>
      <c r="AG196" s="234"/>
      <c r="AP196" s="65"/>
    </row>
    <row r="197" s="3" customFormat="1" ht="90" customHeight="1" spans="1:42">
      <c r="A197" s="11">
        <v>47</v>
      </c>
      <c r="B197" s="12" t="s">
        <v>1972</v>
      </c>
      <c r="C197" s="11" t="s">
        <v>1973</v>
      </c>
      <c r="D197" s="216" t="s">
        <v>1974</v>
      </c>
      <c r="E197" s="12" t="s">
        <v>1975</v>
      </c>
      <c r="F197" s="11" t="s">
        <v>416</v>
      </c>
      <c r="G197" s="323" t="s">
        <v>1976</v>
      </c>
      <c r="H197" s="11" t="s">
        <v>1977</v>
      </c>
      <c r="I197" s="323" t="s">
        <v>1978</v>
      </c>
      <c r="J197" s="11" t="s">
        <v>1373</v>
      </c>
      <c r="K197" s="229" t="s">
        <v>1979</v>
      </c>
      <c r="L197" s="11" t="s">
        <v>1980</v>
      </c>
      <c r="M197" s="35" t="s">
        <v>1981</v>
      </c>
      <c r="N197" s="60">
        <v>45597</v>
      </c>
      <c r="O197" s="60">
        <v>45651</v>
      </c>
      <c r="P197" s="40" t="s">
        <v>401</v>
      </c>
      <c r="Q197" s="244">
        <v>5</v>
      </c>
      <c r="R197" s="35">
        <v>45671</v>
      </c>
      <c r="S197" s="35"/>
      <c r="T197" s="11" t="s">
        <v>1683</v>
      </c>
      <c r="U197" s="52">
        <v>45653</v>
      </c>
      <c r="V197" s="52">
        <v>45653</v>
      </c>
      <c r="W197" s="52" t="s">
        <v>44</v>
      </c>
      <c r="X197" s="52">
        <v>45653</v>
      </c>
      <c r="Y197" s="52">
        <v>45653</v>
      </c>
      <c r="Z197" s="35"/>
      <c r="AB197" s="234"/>
      <c r="AC197" s="284"/>
      <c r="AD197" s="284"/>
      <c r="AE197" s="234"/>
      <c r="AF197" s="234"/>
      <c r="AG197" s="234"/>
      <c r="AP197" s="65"/>
    </row>
    <row r="198" s="3" customFormat="1" ht="90" customHeight="1" spans="1:42">
      <c r="A198" s="11">
        <v>48</v>
      </c>
      <c r="B198" s="12" t="s">
        <v>1982</v>
      </c>
      <c r="C198" s="11" t="s">
        <v>1983</v>
      </c>
      <c r="D198" s="216" t="s">
        <v>1984</v>
      </c>
      <c r="E198" s="12" t="s">
        <v>790</v>
      </c>
      <c r="F198" s="11" t="s">
        <v>416</v>
      </c>
      <c r="G198" s="323" t="s">
        <v>791</v>
      </c>
      <c r="H198" s="11" t="s">
        <v>1985</v>
      </c>
      <c r="I198" s="217"/>
      <c r="J198" s="11" t="s">
        <v>1373</v>
      </c>
      <c r="K198" s="229" t="s">
        <v>1986</v>
      </c>
      <c r="L198" s="11" t="s">
        <v>1987</v>
      </c>
      <c r="M198" s="35" t="s">
        <v>1988</v>
      </c>
      <c r="N198" s="60">
        <v>45600</v>
      </c>
      <c r="O198" s="60">
        <v>45678</v>
      </c>
      <c r="P198" s="40" t="s">
        <v>401</v>
      </c>
      <c r="Q198" s="244">
        <v>5</v>
      </c>
      <c r="R198" s="35">
        <v>45708</v>
      </c>
      <c r="S198" s="35"/>
      <c r="T198" s="11" t="s">
        <v>1738</v>
      </c>
      <c r="U198" s="52">
        <v>45678</v>
      </c>
      <c r="V198" s="52">
        <v>45679</v>
      </c>
      <c r="W198" s="52" t="s">
        <v>44</v>
      </c>
      <c r="X198" s="52">
        <v>45679</v>
      </c>
      <c r="Y198" s="52">
        <v>45679</v>
      </c>
      <c r="Z198" s="35"/>
      <c r="AB198" s="260" t="s">
        <v>294</v>
      </c>
      <c r="AC198" s="284"/>
      <c r="AD198" s="284"/>
      <c r="AE198" s="234"/>
      <c r="AF198" s="234"/>
      <c r="AG198" s="234"/>
      <c r="AP198" s="65"/>
    </row>
    <row r="199" s="3" customFormat="1" ht="90" customHeight="1" spans="1:42">
      <c r="A199" s="11">
        <v>49</v>
      </c>
      <c r="B199" s="12" t="s">
        <v>1989</v>
      </c>
      <c r="C199" s="11" t="s">
        <v>1990</v>
      </c>
      <c r="D199" s="216" t="s">
        <v>1991</v>
      </c>
      <c r="E199" s="12" t="s">
        <v>1992</v>
      </c>
      <c r="F199" s="11" t="s">
        <v>854</v>
      </c>
      <c r="G199" s="323" t="s">
        <v>1993</v>
      </c>
      <c r="H199" s="11" t="s">
        <v>42</v>
      </c>
      <c r="I199" s="11" t="s">
        <v>42</v>
      </c>
      <c r="J199" s="11" t="s">
        <v>1990</v>
      </c>
      <c r="K199" s="229" t="s">
        <v>1994</v>
      </c>
      <c r="L199" s="11" t="s">
        <v>1995</v>
      </c>
      <c r="M199" s="35" t="s">
        <v>1996</v>
      </c>
      <c r="N199" s="60">
        <v>45594</v>
      </c>
      <c r="O199" s="60">
        <v>45652</v>
      </c>
      <c r="P199" s="40" t="s">
        <v>401</v>
      </c>
      <c r="Q199" s="290">
        <v>1.5</v>
      </c>
      <c r="R199" s="35">
        <v>45657</v>
      </c>
      <c r="S199" s="35"/>
      <c r="T199" s="11" t="s">
        <v>1997</v>
      </c>
      <c r="U199" s="52">
        <v>45657</v>
      </c>
      <c r="V199" s="52">
        <v>45657</v>
      </c>
      <c r="W199" s="52" t="s">
        <v>44</v>
      </c>
      <c r="X199" s="52">
        <v>45656</v>
      </c>
      <c r="Y199" s="52">
        <v>45656</v>
      </c>
      <c r="Z199" s="35"/>
      <c r="AB199" s="234"/>
      <c r="AC199" s="284"/>
      <c r="AD199" s="284"/>
      <c r="AE199" s="234"/>
      <c r="AF199" s="234"/>
      <c r="AG199" s="234"/>
      <c r="AP199" s="65"/>
    </row>
    <row r="200" s="3" customFormat="1" ht="90" customHeight="1" spans="1:42">
      <c r="A200" s="11">
        <v>50</v>
      </c>
      <c r="B200" s="12" t="s">
        <v>1998</v>
      </c>
      <c r="C200" s="12" t="s">
        <v>1999</v>
      </c>
      <c r="D200" s="13" t="s">
        <v>2000</v>
      </c>
      <c r="E200" s="12" t="s">
        <v>2001</v>
      </c>
      <c r="F200" s="11" t="s">
        <v>416</v>
      </c>
      <c r="G200" s="323" t="s">
        <v>2002</v>
      </c>
      <c r="H200" s="11" t="s">
        <v>2003</v>
      </c>
      <c r="I200" s="323" t="s">
        <v>2004</v>
      </c>
      <c r="J200" s="11" t="s">
        <v>1373</v>
      </c>
      <c r="K200" s="229" t="s">
        <v>2005</v>
      </c>
      <c r="L200" s="11" t="s">
        <v>2006</v>
      </c>
      <c r="M200" s="35" t="s">
        <v>2007</v>
      </c>
      <c r="N200" s="60">
        <v>45604</v>
      </c>
      <c r="O200" s="60">
        <v>45678</v>
      </c>
      <c r="P200" s="40" t="s">
        <v>401</v>
      </c>
      <c r="Q200" s="244">
        <v>5</v>
      </c>
      <c r="R200" s="35">
        <v>45702</v>
      </c>
      <c r="S200" s="35"/>
      <c r="T200" s="11" t="s">
        <v>2008</v>
      </c>
      <c r="U200" s="52">
        <v>45679</v>
      </c>
      <c r="V200" s="52">
        <v>45679</v>
      </c>
      <c r="W200" s="52" t="s">
        <v>44</v>
      </c>
      <c r="X200" s="52">
        <v>45679</v>
      </c>
      <c r="Y200" s="52">
        <v>45679</v>
      </c>
      <c r="Z200" s="35"/>
      <c r="AB200" s="260" t="s">
        <v>294</v>
      </c>
      <c r="AC200" s="284"/>
      <c r="AD200" s="284"/>
      <c r="AE200" s="234"/>
      <c r="AF200" s="234"/>
      <c r="AG200" s="234"/>
      <c r="AP200" s="65"/>
    </row>
    <row r="201" s="3" customFormat="1" ht="90" customHeight="1" spans="1:42">
      <c r="A201" s="11">
        <v>51</v>
      </c>
      <c r="B201" s="12" t="s">
        <v>2009</v>
      </c>
      <c r="C201" s="12" t="s">
        <v>1999</v>
      </c>
      <c r="D201" s="13" t="s">
        <v>2010</v>
      </c>
      <c r="E201" s="12" t="s">
        <v>1779</v>
      </c>
      <c r="F201" s="11" t="s">
        <v>416</v>
      </c>
      <c r="G201" s="323" t="s">
        <v>1780</v>
      </c>
      <c r="H201" s="11" t="s">
        <v>1781</v>
      </c>
      <c r="I201" s="323" t="s">
        <v>1782</v>
      </c>
      <c r="J201" s="11" t="s">
        <v>1373</v>
      </c>
      <c r="K201" s="229" t="s">
        <v>2011</v>
      </c>
      <c r="L201" s="11" t="s">
        <v>2012</v>
      </c>
      <c r="M201" s="35" t="s">
        <v>2013</v>
      </c>
      <c r="N201" s="60">
        <v>45611</v>
      </c>
      <c r="O201" s="60">
        <v>45679</v>
      </c>
      <c r="P201" s="40" t="s">
        <v>401</v>
      </c>
      <c r="Q201" s="244">
        <v>5</v>
      </c>
      <c r="R201" s="35">
        <v>45716</v>
      </c>
      <c r="S201" s="35"/>
      <c r="T201" s="11" t="s">
        <v>2014</v>
      </c>
      <c r="U201" s="52">
        <v>45683</v>
      </c>
      <c r="V201" s="52">
        <v>45684</v>
      </c>
      <c r="W201" s="52" t="s">
        <v>44</v>
      </c>
      <c r="X201" s="52">
        <v>45679</v>
      </c>
      <c r="Y201" s="52">
        <v>45679</v>
      </c>
      <c r="AB201" s="260" t="s">
        <v>294</v>
      </c>
      <c r="AC201" s="260" t="s">
        <v>294</v>
      </c>
      <c r="AD201" s="260" t="s">
        <v>294</v>
      </c>
      <c r="AE201" s="234"/>
      <c r="AF201" s="234"/>
      <c r="AG201" s="234"/>
      <c r="AP201" s="65"/>
    </row>
    <row r="202" s="3" customFormat="1" ht="90" customHeight="1" spans="1:42">
      <c r="A202" s="11">
        <v>52</v>
      </c>
      <c r="B202" s="12" t="s">
        <v>2015</v>
      </c>
      <c r="C202" s="11" t="s">
        <v>1990</v>
      </c>
      <c r="D202" s="13" t="s">
        <v>2016</v>
      </c>
      <c r="E202" s="12" t="s">
        <v>2017</v>
      </c>
      <c r="F202" s="11" t="s">
        <v>854</v>
      </c>
      <c r="G202" s="323" t="s">
        <v>2018</v>
      </c>
      <c r="H202" s="11" t="s">
        <v>42</v>
      </c>
      <c r="I202" s="11" t="s">
        <v>42</v>
      </c>
      <c r="J202" s="11" t="s">
        <v>1990</v>
      </c>
      <c r="K202" s="229" t="s">
        <v>2019</v>
      </c>
      <c r="L202" s="11" t="s">
        <v>2020</v>
      </c>
      <c r="M202" s="35" t="s">
        <v>2021</v>
      </c>
      <c r="N202" s="60">
        <v>45617</v>
      </c>
      <c r="O202" s="60">
        <v>45667</v>
      </c>
      <c r="P202" s="241" t="s">
        <v>401</v>
      </c>
      <c r="Q202" s="290">
        <v>2.345263</v>
      </c>
      <c r="R202" s="35">
        <v>45677</v>
      </c>
      <c r="S202" s="35"/>
      <c r="T202" s="11" t="s">
        <v>2022</v>
      </c>
      <c r="U202" s="52">
        <v>45670</v>
      </c>
      <c r="V202" s="52">
        <v>45670</v>
      </c>
      <c r="W202" s="52" t="s">
        <v>44</v>
      </c>
      <c r="X202" s="52">
        <v>45670</v>
      </c>
      <c r="Y202" s="52">
        <v>45670</v>
      </c>
      <c r="AB202" s="260" t="s">
        <v>294</v>
      </c>
      <c r="AC202" s="284"/>
      <c r="AD202" s="284"/>
      <c r="AE202" s="234"/>
      <c r="AF202" s="234"/>
      <c r="AG202" s="234"/>
      <c r="AP202" s="65"/>
    </row>
    <row r="203" s="3" customFormat="1" ht="90" customHeight="1" spans="1:42">
      <c r="A203" s="11">
        <v>53</v>
      </c>
      <c r="B203" s="12" t="s">
        <v>2023</v>
      </c>
      <c r="C203" s="11" t="s">
        <v>2024</v>
      </c>
      <c r="D203" s="13"/>
      <c r="E203" s="12" t="s">
        <v>2025</v>
      </c>
      <c r="F203" s="11" t="s">
        <v>1838</v>
      </c>
      <c r="G203" s="323" t="s">
        <v>2026</v>
      </c>
      <c r="H203" s="11" t="s">
        <v>42</v>
      </c>
      <c r="I203" s="11" t="s">
        <v>42</v>
      </c>
      <c r="J203" s="11" t="s">
        <v>2024</v>
      </c>
      <c r="K203" s="229" t="s">
        <v>2027</v>
      </c>
      <c r="L203" s="11" t="s">
        <v>2028</v>
      </c>
      <c r="M203" s="35" t="s">
        <v>2029</v>
      </c>
      <c r="N203" s="60">
        <v>45593</v>
      </c>
      <c r="O203" s="60">
        <v>45667</v>
      </c>
      <c r="P203" s="241" t="s">
        <v>401</v>
      </c>
      <c r="Q203" s="290">
        <v>4.75</v>
      </c>
      <c r="R203" s="35">
        <v>45677</v>
      </c>
      <c r="S203" s="35"/>
      <c r="T203" s="11" t="s">
        <v>2022</v>
      </c>
      <c r="U203" s="52">
        <v>45670</v>
      </c>
      <c r="V203" s="52">
        <v>45670</v>
      </c>
      <c r="W203" s="52" t="s">
        <v>44</v>
      </c>
      <c r="X203" s="52">
        <v>45670</v>
      </c>
      <c r="Y203" s="52">
        <v>45670</v>
      </c>
      <c r="Z203" s="35"/>
      <c r="AB203" s="260" t="s">
        <v>294</v>
      </c>
      <c r="AC203" s="284"/>
      <c r="AD203" s="284"/>
      <c r="AE203" s="234"/>
      <c r="AF203" s="234"/>
      <c r="AG203" s="234"/>
      <c r="AP203" s="65"/>
    </row>
    <row r="204" s="3" customFormat="1" ht="90" customHeight="1" spans="1:42">
      <c r="A204" s="11">
        <v>54</v>
      </c>
      <c r="B204" s="12" t="s">
        <v>2030</v>
      </c>
      <c r="C204" s="11" t="s">
        <v>1043</v>
      </c>
      <c r="D204" s="216" t="s">
        <v>2031</v>
      </c>
      <c r="E204" s="12" t="s">
        <v>2032</v>
      </c>
      <c r="F204" s="11" t="s">
        <v>408</v>
      </c>
      <c r="G204" s="323" t="s">
        <v>2033</v>
      </c>
      <c r="H204" s="11" t="s">
        <v>2034</v>
      </c>
      <c r="I204" s="323" t="s">
        <v>2035</v>
      </c>
      <c r="J204" s="11" t="s">
        <v>1043</v>
      </c>
      <c r="K204" s="232" t="s">
        <v>2036</v>
      </c>
      <c r="L204" s="11" t="s">
        <v>2037</v>
      </c>
      <c r="M204" s="35" t="s">
        <v>2038</v>
      </c>
      <c r="N204" s="60">
        <v>45624</v>
      </c>
      <c r="O204" s="60">
        <v>45674</v>
      </c>
      <c r="P204" s="40" t="s">
        <v>401</v>
      </c>
      <c r="Q204" s="244">
        <v>5.5</v>
      </c>
      <c r="R204" s="35">
        <v>45698</v>
      </c>
      <c r="S204" s="35"/>
      <c r="T204" s="11" t="s">
        <v>2039</v>
      </c>
      <c r="U204" s="52">
        <v>45678</v>
      </c>
      <c r="V204" s="52">
        <v>45679</v>
      </c>
      <c r="W204" s="52" t="s">
        <v>44</v>
      </c>
      <c r="X204" s="52">
        <v>45679</v>
      </c>
      <c r="Y204" s="52">
        <v>45679</v>
      </c>
      <c r="Z204" s="35"/>
      <c r="AB204" s="260" t="s">
        <v>294</v>
      </c>
      <c r="AC204" s="284"/>
      <c r="AD204" s="284"/>
      <c r="AE204" s="234"/>
      <c r="AF204" s="234"/>
      <c r="AG204" s="234"/>
      <c r="AP204" s="65"/>
    </row>
    <row r="205" s="3" customFormat="1" ht="90" customHeight="1" spans="1:42">
      <c r="A205" s="11">
        <v>55</v>
      </c>
      <c r="B205" s="12" t="s">
        <v>2040</v>
      </c>
      <c r="C205" s="12" t="s">
        <v>2041</v>
      </c>
      <c r="D205" s="216" t="s">
        <v>2042</v>
      </c>
      <c r="E205" s="12" t="s">
        <v>2043</v>
      </c>
      <c r="F205" s="11" t="s">
        <v>408</v>
      </c>
      <c r="G205" s="323" t="s">
        <v>2044</v>
      </c>
      <c r="H205" s="11" t="s">
        <v>2045</v>
      </c>
      <c r="I205" s="217"/>
      <c r="J205" s="11" t="s">
        <v>1373</v>
      </c>
      <c r="K205" s="229" t="s">
        <v>2046</v>
      </c>
      <c r="L205" s="11" t="s">
        <v>2047</v>
      </c>
      <c r="M205" s="35" t="s">
        <v>2048</v>
      </c>
      <c r="N205" s="60">
        <v>45643</v>
      </c>
      <c r="O205" s="60">
        <v>45726</v>
      </c>
      <c r="P205" s="40" t="s">
        <v>401</v>
      </c>
      <c r="Q205" s="244">
        <v>5</v>
      </c>
      <c r="R205" s="52" t="s">
        <v>2049</v>
      </c>
      <c r="S205" s="35"/>
      <c r="T205" s="11" t="s">
        <v>1809</v>
      </c>
      <c r="U205" s="52" t="s">
        <v>2050</v>
      </c>
      <c r="V205" s="52"/>
      <c r="W205" s="52" t="s">
        <v>44</v>
      </c>
      <c r="X205" s="52"/>
      <c r="Y205" s="52"/>
      <c r="Z205" s="35"/>
      <c r="AB205" s="260" t="s">
        <v>294</v>
      </c>
      <c r="AC205" s="284"/>
      <c r="AD205" s="284"/>
      <c r="AE205" s="234"/>
      <c r="AF205" s="234"/>
      <c r="AG205" s="234"/>
      <c r="AP205" s="65"/>
    </row>
    <row r="206" s="3" customFormat="1" ht="90" customHeight="1" spans="1:42">
      <c r="A206" s="11">
        <v>56</v>
      </c>
      <c r="B206" s="12" t="s">
        <v>2051</v>
      </c>
      <c r="C206" s="11" t="s">
        <v>2052</v>
      </c>
      <c r="D206" s="216" t="s">
        <v>2053</v>
      </c>
      <c r="E206" s="12" t="s">
        <v>2054</v>
      </c>
      <c r="F206" s="11" t="s">
        <v>854</v>
      </c>
      <c r="G206" s="323" t="s">
        <v>2055</v>
      </c>
      <c r="H206" s="11" t="s">
        <v>42</v>
      </c>
      <c r="I206" s="11" t="s">
        <v>42</v>
      </c>
      <c r="J206" s="11" t="s">
        <v>1858</v>
      </c>
      <c r="K206" s="229" t="s">
        <v>2056</v>
      </c>
      <c r="L206" s="11" t="s">
        <v>2057</v>
      </c>
      <c r="M206" s="35" t="s">
        <v>2058</v>
      </c>
      <c r="N206" s="60">
        <v>45643</v>
      </c>
      <c r="O206" s="60">
        <v>45726</v>
      </c>
      <c r="P206" s="40" t="s">
        <v>401</v>
      </c>
      <c r="Q206" s="290">
        <v>1.5</v>
      </c>
      <c r="R206" s="52" t="s">
        <v>2049</v>
      </c>
      <c r="S206" s="35"/>
      <c r="T206" s="11" t="s">
        <v>1809</v>
      </c>
      <c r="U206" s="52" t="s">
        <v>2050</v>
      </c>
      <c r="V206" s="52"/>
      <c r="W206" s="52" t="s">
        <v>44</v>
      </c>
      <c r="X206" s="52"/>
      <c r="Y206" s="52"/>
      <c r="Z206" s="35"/>
      <c r="AB206" s="260" t="s">
        <v>294</v>
      </c>
      <c r="AC206" s="284"/>
      <c r="AD206" s="284"/>
      <c r="AE206" s="234"/>
      <c r="AF206" s="234"/>
      <c r="AG206" s="234"/>
      <c r="AP206" s="65"/>
    </row>
    <row r="207" s="3" customFormat="1" ht="90" customHeight="1" spans="1:42">
      <c r="A207" s="11">
        <v>57</v>
      </c>
      <c r="B207" s="12" t="s">
        <v>2059</v>
      </c>
      <c r="C207" s="12" t="s">
        <v>2060</v>
      </c>
      <c r="D207" s="216" t="s">
        <v>2061</v>
      </c>
      <c r="E207" s="12" t="s">
        <v>2062</v>
      </c>
      <c r="F207" s="11" t="s">
        <v>408</v>
      </c>
      <c r="G207" s="323" t="s">
        <v>2063</v>
      </c>
      <c r="H207" s="11" t="s">
        <v>2064</v>
      </c>
      <c r="I207" s="323" t="s">
        <v>2065</v>
      </c>
      <c r="J207" s="11" t="s">
        <v>1373</v>
      </c>
      <c r="K207" s="229" t="s">
        <v>2066</v>
      </c>
      <c r="L207" s="11" t="s">
        <v>2067</v>
      </c>
      <c r="M207" s="35" t="s">
        <v>2068</v>
      </c>
      <c r="N207" s="60">
        <v>45644</v>
      </c>
      <c r="O207" s="60">
        <v>45716</v>
      </c>
      <c r="P207" s="40" t="s">
        <v>401</v>
      </c>
      <c r="Q207" s="244">
        <v>5</v>
      </c>
      <c r="R207" s="35">
        <v>45733</v>
      </c>
      <c r="S207" s="35"/>
      <c r="T207" s="11" t="s">
        <v>1997</v>
      </c>
      <c r="U207" s="52">
        <v>45721</v>
      </c>
      <c r="V207" s="52">
        <v>45723</v>
      </c>
      <c r="W207" s="52" t="s">
        <v>44</v>
      </c>
      <c r="X207" s="52">
        <v>45723</v>
      </c>
      <c r="Y207" s="52">
        <v>45723</v>
      </c>
      <c r="Z207" s="35"/>
      <c r="AB207" s="260" t="s">
        <v>294</v>
      </c>
      <c r="AC207" s="284"/>
      <c r="AD207" s="284"/>
      <c r="AE207" s="234"/>
      <c r="AF207" s="234"/>
      <c r="AG207" s="234"/>
      <c r="AP207" s="65"/>
    </row>
    <row r="208" s="3" customFormat="1" ht="90" customHeight="1" spans="1:42">
      <c r="A208" s="11">
        <v>58</v>
      </c>
      <c r="B208" s="12" t="s">
        <v>2069</v>
      </c>
      <c r="C208" s="11" t="s">
        <v>2070</v>
      </c>
      <c r="D208" s="216" t="s">
        <v>2071</v>
      </c>
      <c r="E208" s="12" t="s">
        <v>2072</v>
      </c>
      <c r="F208" s="11" t="s">
        <v>408</v>
      </c>
      <c r="G208" s="323" t="s">
        <v>2073</v>
      </c>
      <c r="H208" s="11" t="s">
        <v>2074</v>
      </c>
      <c r="I208" s="217"/>
      <c r="J208" s="11" t="s">
        <v>2075</v>
      </c>
      <c r="K208" s="232" t="s">
        <v>2076</v>
      </c>
      <c r="L208" s="11" t="s">
        <v>2077</v>
      </c>
      <c r="M208" s="35" t="s">
        <v>2078</v>
      </c>
      <c r="N208" s="60">
        <v>45656</v>
      </c>
      <c r="O208" s="60">
        <v>45741</v>
      </c>
      <c r="P208" s="37" t="s">
        <v>401</v>
      </c>
      <c r="Q208" s="243">
        <v>5.5</v>
      </c>
      <c r="R208" s="51">
        <v>45763</v>
      </c>
      <c r="S208" s="35"/>
      <c r="T208" s="11" t="s">
        <v>2079</v>
      </c>
      <c r="U208" s="60">
        <v>45741</v>
      </c>
      <c r="V208" s="52"/>
      <c r="W208" s="52" t="s">
        <v>44</v>
      </c>
      <c r="X208" s="52"/>
      <c r="Y208" s="52"/>
      <c r="Z208" s="35"/>
      <c r="AB208" s="234"/>
      <c r="AC208" s="284"/>
      <c r="AD208" s="284"/>
      <c r="AE208" s="234"/>
      <c r="AF208" s="234"/>
      <c r="AG208" s="234"/>
      <c r="AP208" s="65"/>
    </row>
    <row r="209" s="3" customFormat="1" ht="90" customHeight="1" spans="1:42">
      <c r="A209" s="11">
        <v>59</v>
      </c>
      <c r="B209" s="12" t="s">
        <v>2080</v>
      </c>
      <c r="C209" s="11" t="s">
        <v>2070</v>
      </c>
      <c r="D209" s="216" t="s">
        <v>2081</v>
      </c>
      <c r="E209" s="12" t="s">
        <v>2082</v>
      </c>
      <c r="F209" s="11" t="s">
        <v>408</v>
      </c>
      <c r="G209" s="323" t="s">
        <v>2083</v>
      </c>
      <c r="H209" s="11" t="s">
        <v>2084</v>
      </c>
      <c r="I209" s="217"/>
      <c r="J209" s="11" t="s">
        <v>2075</v>
      </c>
      <c r="K209" s="232" t="s">
        <v>2085</v>
      </c>
      <c r="L209" s="11" t="s">
        <v>2086</v>
      </c>
      <c r="M209" s="35" t="s">
        <v>2087</v>
      </c>
      <c r="N209" s="60">
        <v>45656</v>
      </c>
      <c r="O209" s="60">
        <v>45741</v>
      </c>
      <c r="P209" s="37" t="s">
        <v>401</v>
      </c>
      <c r="Q209" s="243">
        <v>5.5</v>
      </c>
      <c r="R209" s="51">
        <v>45763</v>
      </c>
      <c r="S209" s="35"/>
      <c r="T209" s="11" t="s">
        <v>2079</v>
      </c>
      <c r="U209" s="60">
        <v>45741</v>
      </c>
      <c r="V209" s="52"/>
      <c r="W209" s="52" t="s">
        <v>44</v>
      </c>
      <c r="X209" s="52"/>
      <c r="Y209" s="52"/>
      <c r="Z209" s="35"/>
      <c r="AB209" s="234"/>
      <c r="AC209" s="284"/>
      <c r="AD209" s="284"/>
      <c r="AE209" s="234"/>
      <c r="AF209" s="234"/>
      <c r="AG209" s="234"/>
      <c r="AP209" s="65"/>
    </row>
    <row r="210" s="3" customFormat="1" ht="90" customHeight="1" spans="1:42">
      <c r="A210" s="11">
        <v>1</v>
      </c>
      <c r="B210" s="12" t="s">
        <v>2088</v>
      </c>
      <c r="C210" s="288" t="s">
        <v>1990</v>
      </c>
      <c r="D210" s="216" t="s">
        <v>2089</v>
      </c>
      <c r="E210" s="12" t="s">
        <v>2090</v>
      </c>
      <c r="F210" s="11" t="s">
        <v>854</v>
      </c>
      <c r="G210" s="323" t="s">
        <v>2091</v>
      </c>
      <c r="H210" s="11" t="s">
        <v>42</v>
      </c>
      <c r="I210" s="11" t="s">
        <v>42</v>
      </c>
      <c r="J210" s="11" t="s">
        <v>1990</v>
      </c>
      <c r="K210" s="229" t="s">
        <v>2092</v>
      </c>
      <c r="L210" s="11" t="s">
        <v>2093</v>
      </c>
      <c r="M210" s="35" t="s">
        <v>2094</v>
      </c>
      <c r="N210" s="60">
        <v>45660</v>
      </c>
      <c r="O210" s="60">
        <v>45730</v>
      </c>
      <c r="P210" s="37" t="s">
        <v>401</v>
      </c>
      <c r="Q210" s="243">
        <v>1.5</v>
      </c>
      <c r="R210" s="51">
        <v>45733</v>
      </c>
      <c r="S210" s="35"/>
      <c r="T210" s="11" t="s">
        <v>1573</v>
      </c>
      <c r="U210" s="52">
        <v>45730</v>
      </c>
      <c r="V210" s="52">
        <v>45730</v>
      </c>
      <c r="W210" s="52" t="s">
        <v>44</v>
      </c>
      <c r="X210" s="52">
        <v>45730</v>
      </c>
      <c r="Y210" s="52">
        <v>45730</v>
      </c>
      <c r="Z210" s="35"/>
      <c r="AB210" s="260" t="s">
        <v>294</v>
      </c>
      <c r="AC210" s="284"/>
      <c r="AD210" s="284"/>
      <c r="AE210" s="234"/>
      <c r="AF210" s="234"/>
      <c r="AG210" s="234"/>
      <c r="AP210" s="65"/>
    </row>
    <row r="211" s="3" customFormat="1" ht="90" customHeight="1" spans="1:42">
      <c r="A211" s="11"/>
      <c r="B211" s="12"/>
      <c r="C211" s="288"/>
      <c r="D211" s="216"/>
      <c r="E211" s="12"/>
      <c r="F211" s="11"/>
      <c r="G211" s="11"/>
      <c r="H211" s="11"/>
      <c r="I211" s="11"/>
      <c r="J211" s="11"/>
      <c r="K211" s="229"/>
      <c r="L211" s="11"/>
      <c r="M211" s="35"/>
      <c r="N211" s="60"/>
      <c r="O211" s="60"/>
      <c r="P211" s="241"/>
      <c r="Q211" s="243"/>
      <c r="R211" s="35"/>
      <c r="S211" s="35"/>
      <c r="T211" s="11"/>
      <c r="U211" s="52"/>
      <c r="V211" s="52"/>
      <c r="W211" s="52" t="s">
        <v>44</v>
      </c>
      <c r="X211" s="52"/>
      <c r="Y211" s="52"/>
      <c r="Z211" s="35"/>
      <c r="AB211" s="234"/>
      <c r="AC211" s="284"/>
      <c r="AD211" s="284"/>
      <c r="AE211" s="234"/>
      <c r="AF211" s="234"/>
      <c r="AG211" s="234"/>
      <c r="AP211" s="65"/>
    </row>
    <row r="212" ht="33" spans="1:33">
      <c r="A212" s="213"/>
      <c r="B212" s="214"/>
      <c r="C212" s="213" t="str">
        <f>_xlfn.CONCAT(E212,J212,"行政处罚案")</f>
        <v>行政处罚案</v>
      </c>
      <c r="D212" s="13"/>
      <c r="E212" s="12"/>
      <c r="F212" s="11"/>
      <c r="G212" s="11"/>
      <c r="H212" s="11"/>
      <c r="I212" s="11"/>
      <c r="J212" s="11"/>
      <c r="K212" s="229"/>
      <c r="L212" s="11"/>
      <c r="M212" s="35"/>
      <c r="N212" s="60"/>
      <c r="O212" s="60"/>
      <c r="P212" s="40"/>
      <c r="Q212" s="244"/>
      <c r="R212" s="35"/>
      <c r="S212" s="35"/>
      <c r="T212" s="11"/>
      <c r="U212" s="52"/>
      <c r="V212" s="11"/>
      <c r="W212" s="52" t="s">
        <v>44</v>
      </c>
      <c r="X212" s="11"/>
      <c r="Y212" s="251"/>
      <c r="Z212" s="35"/>
      <c r="AB212" s="224"/>
      <c r="AC212" s="224"/>
      <c r="AD212" s="224"/>
      <c r="AE212" s="224"/>
      <c r="AF212" s="224"/>
      <c r="AG212" s="224"/>
    </row>
    <row r="213" ht="90" customHeight="1" spans="1:26">
      <c r="A213" s="224"/>
      <c r="B213" s="225"/>
      <c r="C213" s="226"/>
      <c r="E213" s="224"/>
      <c r="F213" s="224"/>
      <c r="G213" s="224"/>
      <c r="H213" s="224"/>
      <c r="I213" s="224"/>
      <c r="J213" s="224"/>
      <c r="K213" s="233"/>
      <c r="L213" s="233"/>
      <c r="M213" s="294"/>
      <c r="N213" s="295" t="s">
        <v>2095</v>
      </c>
      <c r="O213" s="296" t="s">
        <v>2096</v>
      </c>
      <c r="P213" s="297" t="s">
        <v>2097</v>
      </c>
      <c r="Q213" s="300" t="s">
        <v>2098</v>
      </c>
      <c r="R213" s="295" t="s">
        <v>2099</v>
      </c>
      <c r="S213" s="295"/>
      <c r="T213" s="294" t="s">
        <v>2100</v>
      </c>
      <c r="U213" s="252"/>
      <c r="V213" s="224"/>
      <c r="W213" s="224"/>
      <c r="X213" s="224"/>
      <c r="Y213" s="224"/>
      <c r="Z213" s="235"/>
    </row>
    <row r="214" ht="30" customHeight="1" spans="1:26">
      <c r="A214" s="224"/>
      <c r="B214" s="225"/>
      <c r="C214" s="226"/>
      <c r="E214" s="224"/>
      <c r="F214" s="224"/>
      <c r="G214" s="224"/>
      <c r="H214" s="224"/>
      <c r="I214" s="224"/>
      <c r="J214" s="224"/>
      <c r="K214" s="233"/>
      <c r="L214" s="233"/>
      <c r="M214" s="298" t="s">
        <v>2101</v>
      </c>
      <c r="N214" s="299">
        <f>COUNTA(N147:N149)</f>
        <v>3</v>
      </c>
      <c r="O214" s="299">
        <f>COUNTA(O147:O149)</f>
        <v>3</v>
      </c>
      <c r="P214" s="297">
        <f>+N214-O214</f>
        <v>0</v>
      </c>
      <c r="Q214" s="300">
        <f>SUM(Q147:Q149)</f>
        <v>7</v>
      </c>
      <c r="R214" s="299">
        <f>COUNTA(R147:R149)</f>
        <v>3</v>
      </c>
      <c r="S214" s="295"/>
      <c r="T214" s="294">
        <f>+O214-R214</f>
        <v>0</v>
      </c>
      <c r="U214" s="252"/>
      <c r="V214" s="224"/>
      <c r="W214" s="224"/>
      <c r="X214" s="224"/>
      <c r="Y214" s="224"/>
      <c r="Z214" s="235"/>
    </row>
    <row r="215" ht="30" customHeight="1" spans="1:26">
      <c r="A215" s="224"/>
      <c r="B215" s="225"/>
      <c r="C215" s="226"/>
      <c r="E215" s="224"/>
      <c r="F215" s="224"/>
      <c r="G215" s="224"/>
      <c r="H215" s="224"/>
      <c r="I215" s="224"/>
      <c r="J215" s="224"/>
      <c r="K215" s="233"/>
      <c r="L215" s="233"/>
      <c r="M215" s="298" t="s">
        <v>2102</v>
      </c>
      <c r="N215" s="299">
        <f>COUNTA(N150:N212)</f>
        <v>61</v>
      </c>
      <c r="O215" s="299">
        <f>COUNTA(O150:O212)</f>
        <v>61</v>
      </c>
      <c r="P215" s="297">
        <f>+N215-O215</f>
        <v>0</v>
      </c>
      <c r="Q215" s="300">
        <f>SUM(Q150:Q212)</f>
        <v>175.395263</v>
      </c>
      <c r="R215" s="299">
        <f>COUNTA(R150:R212)</f>
        <v>61</v>
      </c>
      <c r="S215" s="295"/>
      <c r="T215" s="294">
        <f>+O215-R215</f>
        <v>0</v>
      </c>
      <c r="U215" s="252"/>
      <c r="V215" s="224"/>
      <c r="W215" s="224"/>
      <c r="X215" s="224"/>
      <c r="Y215" s="224"/>
      <c r="Z215" s="235"/>
    </row>
    <row r="216" ht="30" customHeight="1" spans="1:26">
      <c r="A216" s="224"/>
      <c r="B216" s="225"/>
      <c r="C216" s="226"/>
      <c r="E216" s="224"/>
      <c r="F216" s="224"/>
      <c r="G216" s="224"/>
      <c r="H216" s="224"/>
      <c r="I216" s="224"/>
      <c r="J216" s="224"/>
      <c r="K216" s="233"/>
      <c r="L216" s="233"/>
      <c r="M216" s="298" t="s">
        <v>355</v>
      </c>
      <c r="N216" s="299">
        <f t="shared" ref="N216:R216" si="3">SUM(N214:N215)</f>
        <v>64</v>
      </c>
      <c r="O216" s="299">
        <f t="shared" si="3"/>
        <v>64</v>
      </c>
      <c r="P216" s="297">
        <f>+N216-O216</f>
        <v>0</v>
      </c>
      <c r="Q216" s="300">
        <f t="shared" si="3"/>
        <v>182.395263</v>
      </c>
      <c r="R216" s="299">
        <f t="shared" si="3"/>
        <v>64</v>
      </c>
      <c r="S216" s="295"/>
      <c r="T216" s="294">
        <f>+O216-R216</f>
        <v>0</v>
      </c>
      <c r="U216" s="252"/>
      <c r="V216" s="224"/>
      <c r="W216" s="224"/>
      <c r="X216" s="224"/>
      <c r="Y216" s="224"/>
      <c r="Z216" s="235"/>
    </row>
  </sheetData>
  <mergeCells count="44">
    <mergeCell ref="A1:R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 ref="D101:D103"/>
    <mergeCell ref="D106:D107"/>
    <mergeCell ref="D108:D111"/>
    <mergeCell ref="D119:D120"/>
    <mergeCell ref="D122:D124"/>
    <mergeCell ref="D125:D127"/>
    <mergeCell ref="D129:D130"/>
    <mergeCell ref="D132:D133"/>
    <mergeCell ref="D134:D136"/>
    <mergeCell ref="D140:D141"/>
    <mergeCell ref="D144:D146"/>
    <mergeCell ref="D147:D149"/>
    <mergeCell ref="D153:D155"/>
    <mergeCell ref="D157:D159"/>
    <mergeCell ref="D164:D167"/>
    <mergeCell ref="D171:D172"/>
    <mergeCell ref="D173:D175"/>
    <mergeCell ref="D176:D178"/>
    <mergeCell ref="D179:D181"/>
    <mergeCell ref="D182:D184"/>
    <mergeCell ref="D190:D191"/>
    <mergeCell ref="D195:D196"/>
    <mergeCell ref="D202:D203"/>
  </mergeCells>
  <conditionalFormatting sqref="B73">
    <cfRule type="timePeriod" dxfId="0" priority="131" timePeriod="tomorrow">
      <formula>FLOOR(B73,1)=TODAY()+1</formula>
    </cfRule>
  </conditionalFormatting>
  <conditionalFormatting sqref="Y77">
    <cfRule type="timePeriod" dxfId="0" priority="132" timePeriod="tomorrow">
      <formula>FLOOR(Y77,1)=TODAY()+1</formula>
    </cfRule>
  </conditionalFormatting>
  <conditionalFormatting sqref="X95">
    <cfRule type="timePeriod" dxfId="0" priority="124" timePeriod="tomorrow">
      <formula>FLOOR(X95,1)=TODAY()+1</formula>
    </cfRule>
  </conditionalFormatting>
  <conditionalFormatting sqref="X105">
    <cfRule type="timePeriod" dxfId="0" priority="119" timePeriod="tomorrow">
      <formula>FLOOR(X105,1)=TODAY()+1</formula>
    </cfRule>
  </conditionalFormatting>
  <conditionalFormatting sqref="U113">
    <cfRule type="timePeriod" dxfId="0" priority="112" timePeriod="tomorrow">
      <formula>FLOOR(U113,1)=TODAY()+1</formula>
    </cfRule>
  </conditionalFormatting>
  <conditionalFormatting sqref="V113">
    <cfRule type="timePeriod" dxfId="0" priority="111" timePeriod="tomorrow">
      <formula>FLOOR(V113,1)=TODAY()+1</formula>
    </cfRule>
  </conditionalFormatting>
  <conditionalFormatting sqref="V114">
    <cfRule type="timePeriod" dxfId="0" priority="102" timePeriod="tomorrow">
      <formula>FLOOR(V114,1)=TODAY()+1</formula>
    </cfRule>
  </conditionalFormatting>
  <conditionalFormatting sqref="U116">
    <cfRule type="timePeriod" dxfId="0" priority="103" timePeriod="tomorrow">
      <formula>FLOOR(U116,1)=TODAY()+1</formula>
    </cfRule>
  </conditionalFormatting>
  <conditionalFormatting sqref="V116">
    <cfRule type="timePeriod" dxfId="0" priority="101" timePeriod="tomorrow">
      <formula>FLOOR(V116,1)=TODAY()+1</formula>
    </cfRule>
  </conditionalFormatting>
  <conditionalFormatting sqref="X116">
    <cfRule type="timePeriod" dxfId="0" priority="114" timePeriod="tomorrow">
      <formula>FLOOR(X116,1)=TODAY()+1</formula>
    </cfRule>
  </conditionalFormatting>
  <conditionalFormatting sqref="Y116">
    <cfRule type="timePeriod" dxfId="0" priority="117" timePeriod="tomorrow">
      <formula>FLOOR(Y116,1)=TODAY()+1</formula>
    </cfRule>
  </conditionalFormatting>
  <conditionalFormatting sqref="U118">
    <cfRule type="timePeriod" dxfId="0" priority="110" timePeriod="tomorrow">
      <formula>FLOOR(U118,1)=TODAY()+1</formula>
    </cfRule>
  </conditionalFormatting>
  <conditionalFormatting sqref="V118">
    <cfRule type="timePeriod" dxfId="0" priority="98" timePeriod="tomorrow">
      <formula>FLOOR(V118,1)=TODAY()+1</formula>
    </cfRule>
  </conditionalFormatting>
  <conditionalFormatting sqref="W118">
    <cfRule type="timePeriod" dxfId="0" priority="107" timePeriod="tomorrow">
      <formula>FLOOR(W118,1)=TODAY()+1</formula>
    </cfRule>
    <cfRule type="timePeriod" dxfId="0" priority="108" timePeriod="tomorrow">
      <formula>FLOOR(W118,1)=TODAY()+1</formula>
    </cfRule>
  </conditionalFormatting>
  <conditionalFormatting sqref="X118">
    <cfRule type="timePeriod" dxfId="0" priority="97" timePeriod="tomorrow">
      <formula>FLOOR(X118,1)=TODAY()+1</formula>
    </cfRule>
  </conditionalFormatting>
  <conditionalFormatting sqref="Y118">
    <cfRule type="timePeriod" dxfId="0" priority="109" timePeriod="tomorrow">
      <formula>FLOOR(Y118,1)=TODAY()+1</formula>
    </cfRule>
  </conditionalFormatting>
  <conditionalFormatting sqref="V119">
    <cfRule type="timePeriod" dxfId="0" priority="100" timePeriod="tomorrow">
      <formula>FLOOR(V119,1)=TODAY()+1</formula>
    </cfRule>
  </conditionalFormatting>
  <conditionalFormatting sqref="V128">
    <cfRule type="timePeriod" dxfId="0" priority="90" timePeriod="tomorrow">
      <formula>FLOOR(V128,1)=TODAY()+1</formula>
    </cfRule>
  </conditionalFormatting>
  <conditionalFormatting sqref="X128">
    <cfRule type="timePeriod" dxfId="0" priority="88" timePeriod="tomorrow">
      <formula>FLOOR(X128,1)=TODAY()+1</formula>
    </cfRule>
  </conditionalFormatting>
  <conditionalFormatting sqref="V132">
    <cfRule type="timePeriod" dxfId="0" priority="79" timePeriod="tomorrow">
      <formula>FLOOR(V132,1)=TODAY()+1</formula>
    </cfRule>
  </conditionalFormatting>
  <conditionalFormatting sqref="U133:V133">
    <cfRule type="timePeriod" dxfId="0" priority="78" timePeriod="tomorrow">
      <formula>FLOOR(U133,1)=TODAY()+1</formula>
    </cfRule>
  </conditionalFormatting>
  <conditionalFormatting sqref="U135">
    <cfRule type="timePeriod" dxfId="0" priority="85" timePeriod="tomorrow">
      <formula>FLOOR(U135,1)=TODAY()+1</formula>
    </cfRule>
  </conditionalFormatting>
  <conditionalFormatting sqref="V135">
    <cfRule type="timePeriod" dxfId="0" priority="82" timePeriod="tomorrow">
      <formula>FLOOR(V135,1)=TODAY()+1</formula>
    </cfRule>
  </conditionalFormatting>
  <conditionalFormatting sqref="U136">
    <cfRule type="timePeriod" dxfId="0" priority="84" timePeriod="tomorrow">
      <formula>FLOOR(U136,1)=TODAY()+1</formula>
    </cfRule>
  </conditionalFormatting>
  <conditionalFormatting sqref="V136">
    <cfRule type="timePeriod" dxfId="0" priority="81" timePeriod="tomorrow">
      <formula>FLOOR(V136,1)=TODAY()+1</formula>
    </cfRule>
  </conditionalFormatting>
  <conditionalFormatting sqref="U137">
    <cfRule type="timePeriod" dxfId="0" priority="83" timePeriod="tomorrow">
      <formula>FLOOR(U137,1)=TODAY()+1</formula>
    </cfRule>
  </conditionalFormatting>
  <conditionalFormatting sqref="V137">
    <cfRule type="timePeriod" dxfId="0" priority="80" timePeriod="tomorrow">
      <formula>FLOOR(V137,1)=TODAY()+1</formula>
    </cfRule>
  </conditionalFormatting>
  <conditionalFormatting sqref="U148">
    <cfRule type="timePeriod" dxfId="0" priority="72" timePeriod="tomorrow">
      <formula>FLOOR(U148,1)=TODAY()+1</formula>
    </cfRule>
  </conditionalFormatting>
  <conditionalFormatting sqref="V148">
    <cfRule type="timePeriod" dxfId="0" priority="70" timePeriod="tomorrow">
      <formula>FLOOR(V148,1)=TODAY()+1</formula>
    </cfRule>
  </conditionalFormatting>
  <conditionalFormatting sqref="U149">
    <cfRule type="timePeriod" dxfId="0" priority="71" timePeriod="tomorrow">
      <formula>FLOOR(U149,1)=TODAY()+1</formula>
    </cfRule>
  </conditionalFormatting>
  <conditionalFormatting sqref="V149">
    <cfRule type="timePeriod" dxfId="0" priority="69" timePeriod="tomorrow">
      <formula>FLOOR(V149,1)=TODAY()+1</formula>
    </cfRule>
  </conditionalFormatting>
  <conditionalFormatting sqref="U153">
    <cfRule type="timePeriod" dxfId="0" priority="66" timePeriod="tomorrow">
      <formula>FLOOR(U153,1)=TODAY()+1</formula>
    </cfRule>
  </conditionalFormatting>
  <conditionalFormatting sqref="V156">
    <cfRule type="timePeriod" dxfId="0" priority="63" timePeriod="tomorrow">
      <formula>FLOOR(V156,1)=TODAY()+1</formula>
    </cfRule>
  </conditionalFormatting>
  <conditionalFormatting sqref="X156">
    <cfRule type="timePeriod" dxfId="0" priority="62" timePeriod="tomorrow">
      <formula>FLOOR(X156,1)=TODAY()+1</formula>
    </cfRule>
  </conditionalFormatting>
  <conditionalFormatting sqref="V161">
    <cfRule type="timePeriod" dxfId="0" priority="58" timePeriod="tomorrow">
      <formula>FLOOR(V161,1)=TODAY()+1</formula>
    </cfRule>
  </conditionalFormatting>
  <conditionalFormatting sqref="X161">
    <cfRule type="timePeriod" dxfId="0" priority="57" timePeriod="tomorrow">
      <formula>FLOOR(X161,1)=TODAY()+1</formula>
    </cfRule>
  </conditionalFormatting>
  <conditionalFormatting sqref="X162">
    <cfRule type="timePeriod" dxfId="0" priority="56" timePeriod="tomorrow">
      <formula>FLOOR(X162,1)=TODAY()+1</formula>
    </cfRule>
  </conditionalFormatting>
  <conditionalFormatting sqref="X167">
    <cfRule type="timePeriod" dxfId="0" priority="53" timePeriod="tomorrow">
      <formula>FLOOR(X167,1)=TODAY()+1</formula>
    </cfRule>
  </conditionalFormatting>
  <conditionalFormatting sqref="X168">
    <cfRule type="timePeriod" dxfId="0" priority="45" timePeriod="tomorrow">
      <formula>FLOOR(X168,1)=TODAY()+1</formula>
    </cfRule>
  </conditionalFormatting>
  <conditionalFormatting sqref="U172">
    <cfRule type="timePeriod" dxfId="0" priority="51" timePeriod="tomorrow">
      <formula>FLOOR(U172,1)=TODAY()+1</formula>
    </cfRule>
  </conditionalFormatting>
  <conditionalFormatting sqref="V172">
    <cfRule type="timePeriod" dxfId="0" priority="50" timePeriod="tomorrow">
      <formula>FLOOR(V172,1)=TODAY()+1</formula>
    </cfRule>
  </conditionalFormatting>
  <conditionalFormatting sqref="X185">
    <cfRule type="timePeriod" dxfId="0" priority="41" timePeriod="tomorrow">
      <formula>FLOOR(X185,1)=TODAY()+1</formula>
    </cfRule>
  </conditionalFormatting>
  <conditionalFormatting sqref="U189">
    <cfRule type="timePeriod" dxfId="0" priority="31" timePeriod="tomorrow">
      <formula>FLOOR(U189,1)=TODAY()+1</formula>
    </cfRule>
  </conditionalFormatting>
  <conditionalFormatting sqref="V189">
    <cfRule type="timePeriod" dxfId="0" priority="30" timePeriod="tomorrow">
      <formula>FLOOR(V189,1)=TODAY()+1</formula>
    </cfRule>
  </conditionalFormatting>
  <conditionalFormatting sqref="V192">
    <cfRule type="timePeriod" dxfId="0" priority="21" timePeriod="tomorrow">
      <formula>FLOOR(V192,1)=TODAY()+1</formula>
    </cfRule>
  </conditionalFormatting>
  <conditionalFormatting sqref="X193">
    <cfRule type="timePeriod" dxfId="0" priority="29" timePeriod="tomorrow">
      <formula>FLOOR(X193,1)=TODAY()+1</formula>
    </cfRule>
  </conditionalFormatting>
  <conditionalFormatting sqref="Y193">
    <cfRule type="timePeriod" dxfId="0" priority="28" timePeriod="tomorrow">
      <formula>FLOOR(Y193,1)=TODAY()+1</formula>
    </cfRule>
  </conditionalFormatting>
  <conditionalFormatting sqref="V194">
    <cfRule type="timePeriod" dxfId="0" priority="32" timePeriod="tomorrow">
      <formula>FLOOR(V194,1)=TODAY()+1</formula>
    </cfRule>
  </conditionalFormatting>
  <conditionalFormatting sqref="Y194">
    <cfRule type="timePeriod" dxfId="0" priority="34" timePeriod="tomorrow">
      <formula>FLOOR(Y194,1)=TODAY()+1</formula>
    </cfRule>
  </conditionalFormatting>
  <conditionalFormatting sqref="U197">
    <cfRule type="timePeriod" dxfId="0" priority="26" timePeriod="tomorrow">
      <formula>FLOOR(U197,1)=TODAY()+1</formula>
    </cfRule>
  </conditionalFormatting>
  <conditionalFormatting sqref="V197">
    <cfRule type="timePeriod" dxfId="0" priority="23" timePeriod="tomorrow">
      <formula>FLOOR(V197,1)=TODAY()+1</formula>
    </cfRule>
  </conditionalFormatting>
  <conditionalFormatting sqref="V198">
    <cfRule type="timePeriod" dxfId="0" priority="12" timePeriod="tomorrow">
      <formula>FLOOR(V198,1)=TODAY()+1</formula>
    </cfRule>
  </conditionalFormatting>
  <conditionalFormatting sqref="Y198">
    <cfRule type="timePeriod" dxfId="0" priority="17" timePeriod="tomorrow">
      <formula>FLOOR(Y198,1)=TODAY()+1</formula>
    </cfRule>
  </conditionalFormatting>
  <conditionalFormatting sqref="V199">
    <cfRule type="timePeriod" dxfId="0" priority="22" timePeriod="tomorrow">
      <formula>FLOOR(V199,1)=TODAY()+1</formula>
    </cfRule>
  </conditionalFormatting>
  <conditionalFormatting sqref="V200">
    <cfRule type="timePeriod" dxfId="0" priority="11" timePeriod="tomorrow">
      <formula>FLOOR(V200,1)=TODAY()+1</formula>
    </cfRule>
  </conditionalFormatting>
  <conditionalFormatting sqref="V204">
    <cfRule type="timePeriod" dxfId="0" priority="10" timePeriod="tomorrow">
      <formula>FLOOR(V204,1)=TODAY()+1</formula>
    </cfRule>
  </conditionalFormatting>
  <conditionalFormatting sqref="Y204">
    <cfRule type="timePeriod" dxfId="0" priority="15" timePeriod="tomorrow">
      <formula>FLOOR(Y204,1)=TODAY()+1</formula>
    </cfRule>
  </conditionalFormatting>
  <conditionalFormatting sqref="R205">
    <cfRule type="timePeriod" dxfId="0" priority="4" timePeriod="tomorrow">
      <formula>FLOOR(R205,1)=TODAY()+1</formula>
    </cfRule>
  </conditionalFormatting>
  <conditionalFormatting sqref="U205">
    <cfRule type="timePeriod" dxfId="0" priority="2" timePeriod="tomorrow">
      <formula>FLOOR(U205,1)=TODAY()+1</formula>
    </cfRule>
  </conditionalFormatting>
  <conditionalFormatting sqref="R206">
    <cfRule type="timePeriod" dxfId="0" priority="3" timePeriod="tomorrow">
      <formula>FLOOR(R206,1)=TODAY()+1</formula>
    </cfRule>
  </conditionalFormatting>
  <conditionalFormatting sqref="U206">
    <cfRule type="timePeriod" dxfId="0" priority="1" timePeriod="tomorrow">
      <formula>FLOOR(U206,1)=TODAY()+1</formula>
    </cfRule>
  </conditionalFormatting>
  <conditionalFormatting sqref="X207">
    <cfRule type="timePeriod" dxfId="0" priority="9" timePeriod="tomorrow">
      <formula>FLOOR(X207,1)=TODAY()+1</formula>
    </cfRule>
  </conditionalFormatting>
  <conditionalFormatting sqref="Y207">
    <cfRule type="timePeriod" dxfId="0" priority="8" timePeriod="tomorrow">
      <formula>FLOOR(Y207,1)=TODAY()+1</formula>
    </cfRule>
  </conditionalFormatting>
  <conditionalFormatting sqref="V210">
    <cfRule type="timePeriod" dxfId="0" priority="7" timePeriod="tomorrow">
      <formula>FLOOR(V210,1)=TODAY()+1</formula>
    </cfRule>
  </conditionalFormatting>
  <conditionalFormatting sqref="X210">
    <cfRule type="timePeriod" dxfId="0" priority="6" timePeriod="tomorrow">
      <formula>FLOOR(X210,1)=TODAY()+1</formula>
    </cfRule>
  </conditionalFormatting>
  <conditionalFormatting sqref="Y210">
    <cfRule type="timePeriod" dxfId="0" priority="5" timePeriod="tomorrow">
      <formula>FLOOR(Y210,1)=TODAY()+1</formula>
    </cfRule>
  </conditionalFormatting>
  <conditionalFormatting sqref="U81:U82">
    <cfRule type="timePeriod" dxfId="0" priority="147" timePeriod="tomorrow">
      <formula>FLOOR(U81,1)=TODAY()+1</formula>
    </cfRule>
  </conditionalFormatting>
  <conditionalFormatting sqref="U86:U89">
    <cfRule type="timePeriod" dxfId="0" priority="141" timePeriod="tomorrow">
      <formula>FLOOR(U86,1)=TODAY()+1</formula>
    </cfRule>
  </conditionalFormatting>
  <conditionalFormatting sqref="U129:U130">
    <cfRule type="timePeriod" dxfId="0" priority="91" timePeriod="tomorrow">
      <formula>FLOOR(U129,1)=TODAY()+1</formula>
    </cfRule>
  </conditionalFormatting>
  <conditionalFormatting sqref="U140:U141">
    <cfRule type="timePeriod" dxfId="0" priority="76" timePeriod="tomorrow">
      <formula>FLOOR(U140,1)=TODAY()+1</formula>
    </cfRule>
  </conditionalFormatting>
  <conditionalFormatting sqref="U157:U159">
    <cfRule type="timePeriod" dxfId="0" priority="61" timePeriod="tomorrow">
      <formula>FLOOR(U157,1)=TODAY()+1</formula>
    </cfRule>
  </conditionalFormatting>
  <conditionalFormatting sqref="U176:U178">
    <cfRule type="timePeriod" dxfId="0" priority="40" timePeriod="tomorrow">
      <formula>FLOOR(U176,1)=TODAY()+1</formula>
    </cfRule>
  </conditionalFormatting>
  <conditionalFormatting sqref="U190:U191">
    <cfRule type="timePeriod" dxfId="0" priority="25" timePeriod="tomorrow">
      <formula>FLOOR(U190,1)=TODAY()+1</formula>
    </cfRule>
  </conditionalFormatting>
  <conditionalFormatting sqref="V86:V89">
    <cfRule type="timePeriod" dxfId="0" priority="138" timePeriod="tomorrow">
      <formula>FLOOR(V86,1)=TODAY()+1</formula>
    </cfRule>
  </conditionalFormatting>
  <conditionalFormatting sqref="V122:V124">
    <cfRule type="timePeriod" dxfId="0" priority="95" timePeriod="tomorrow">
      <formula>FLOOR(V122,1)=TODAY()+1</formula>
    </cfRule>
  </conditionalFormatting>
  <conditionalFormatting sqref="V125:V127">
    <cfRule type="timePeriod" dxfId="0" priority="94" timePeriod="tomorrow">
      <formula>FLOOR(V125,1)=TODAY()+1</formula>
    </cfRule>
  </conditionalFormatting>
  <conditionalFormatting sqref="V129:V130">
    <cfRule type="timePeriod" dxfId="0" priority="89" timePeriod="tomorrow">
      <formula>FLOOR(V129,1)=TODAY()+1</formula>
    </cfRule>
  </conditionalFormatting>
  <conditionalFormatting sqref="V151:V152">
    <cfRule type="timePeriod" dxfId="0" priority="67" timePeriod="tomorrow">
      <formula>FLOOR(V151,1)=TODAY()+1</formula>
    </cfRule>
  </conditionalFormatting>
  <conditionalFormatting sqref="V153:V155">
    <cfRule type="timePeriod" dxfId="0" priority="65" timePeriod="tomorrow">
      <formula>FLOOR(V153,1)=TODAY()+1</formula>
    </cfRule>
  </conditionalFormatting>
  <conditionalFormatting sqref="V157:V160">
    <cfRule type="timePeriod" dxfId="0" priority="60" timePeriod="tomorrow">
      <formula>FLOOR(V157,1)=TODAY()+1</formula>
    </cfRule>
  </conditionalFormatting>
  <conditionalFormatting sqref="V173:V175">
    <cfRule type="timePeriod" dxfId="0" priority="48" timePeriod="tomorrow">
      <formula>FLOOR(V173,1)=TODAY()+1</formula>
    </cfRule>
  </conditionalFormatting>
  <conditionalFormatting sqref="V182:V184">
    <cfRule type="timePeriod" dxfId="0" priority="39" timePeriod="tomorrow">
      <formula>FLOOR(V182,1)=TODAY()+1</formula>
    </cfRule>
  </conditionalFormatting>
  <conditionalFormatting sqref="V190:V191">
    <cfRule type="timePeriod" dxfId="0" priority="24" timePeriod="tomorrow">
      <formula>FLOOR(V190,1)=TODAY()+1</formula>
    </cfRule>
  </conditionalFormatting>
  <conditionalFormatting sqref="V195:V196">
    <cfRule type="timePeriod" dxfId="0" priority="13" timePeriod="tomorrow">
      <formula>FLOOR(V195,1)=TODAY()+1</formula>
    </cfRule>
  </conditionalFormatting>
  <conditionalFormatting sqref="V202:V203">
    <cfRule type="timePeriod" dxfId="0" priority="20" timePeriod="tomorrow">
      <formula>FLOOR(V202,1)=TODAY()+1</formula>
    </cfRule>
  </conditionalFormatting>
  <conditionalFormatting sqref="W74:W80">
    <cfRule type="timePeriod" dxfId="0" priority="137" timePeriod="tomorrow">
      <formula>FLOOR(W74,1)=TODAY()+1</formula>
    </cfRule>
  </conditionalFormatting>
  <conditionalFormatting sqref="X78:X80">
    <cfRule type="timePeriod" dxfId="0" priority="129" timePeriod="tomorrow">
      <formula>FLOOR(X78,1)=TODAY()+1</formula>
    </cfRule>
  </conditionalFormatting>
  <conditionalFormatting sqref="X86:X89">
    <cfRule type="timePeriod" dxfId="0" priority="139" timePeriod="tomorrow">
      <formula>FLOOR(X86,1)=TODAY()+1</formula>
    </cfRule>
  </conditionalFormatting>
  <conditionalFormatting sqref="X101:X103">
    <cfRule type="timePeriod" dxfId="0" priority="122" timePeriod="tomorrow">
      <formula>FLOOR(X101,1)=TODAY()+1</formula>
    </cfRule>
  </conditionalFormatting>
  <conditionalFormatting sqref="X106:X107">
    <cfRule type="timePeriod" dxfId="0" priority="121" timePeriod="tomorrow">
      <formula>FLOOR(X106,1)=TODAY()+1</formula>
    </cfRule>
  </conditionalFormatting>
  <conditionalFormatting sqref="X122:X124">
    <cfRule type="timePeriod" dxfId="0" priority="96" timePeriod="tomorrow">
      <formula>FLOOR(X122,1)=TODAY()+1</formula>
    </cfRule>
  </conditionalFormatting>
  <conditionalFormatting sqref="X125:X127">
    <cfRule type="timePeriod" dxfId="0" priority="92" timePeriod="tomorrow">
      <formula>FLOOR(X125,1)=TODAY()+1</formula>
    </cfRule>
  </conditionalFormatting>
  <conditionalFormatting sqref="X129:X130">
    <cfRule type="timePeriod" dxfId="0" priority="87" timePeriod="tomorrow">
      <formula>FLOOR(X129,1)=TODAY()+1</formula>
    </cfRule>
  </conditionalFormatting>
  <conditionalFormatting sqref="X134:X137">
    <cfRule type="timePeriod" dxfId="0" priority="86" timePeriod="tomorrow">
      <formula>FLOOR(X134,1)=TODAY()+1</formula>
    </cfRule>
  </conditionalFormatting>
  <conditionalFormatting sqref="X140:X141">
    <cfRule type="timePeriod" dxfId="0" priority="77" timePeriod="tomorrow">
      <formula>FLOOR(X140,1)=TODAY()+1</formula>
    </cfRule>
  </conditionalFormatting>
  <conditionalFormatting sqref="X151:X152">
    <cfRule type="timePeriod" dxfId="0" priority="68" timePeriod="tomorrow">
      <formula>FLOOR(X151,1)=TODAY()+1</formula>
    </cfRule>
  </conditionalFormatting>
  <conditionalFormatting sqref="X157:X160">
    <cfRule type="timePeriod" dxfId="0" priority="59" timePeriod="tomorrow">
      <formula>FLOOR(X157,1)=TODAY()+1</formula>
    </cfRule>
  </conditionalFormatting>
  <conditionalFormatting sqref="X163:X166">
    <cfRule type="timePeriod" dxfId="0" priority="54" timePeriod="tomorrow">
      <formula>FLOOR(X163,1)=TODAY()+1</formula>
    </cfRule>
  </conditionalFormatting>
  <conditionalFormatting sqref="X169:X170">
    <cfRule type="timePeriod" dxfId="0" priority="44" timePeriod="tomorrow">
      <formula>FLOOR(X169,1)=TODAY()+1</formula>
    </cfRule>
  </conditionalFormatting>
  <conditionalFormatting sqref="X173:X175">
    <cfRule type="timePeriod" dxfId="0" priority="46" timePeriod="tomorrow">
      <formula>FLOOR(X173,1)=TODAY()+1</formula>
    </cfRule>
  </conditionalFormatting>
  <conditionalFormatting sqref="X176:X178">
    <cfRule type="timePeriod" dxfId="0" priority="42" timePeriod="tomorrow">
      <formula>FLOOR(X176,1)=TODAY()+1</formula>
    </cfRule>
  </conditionalFormatting>
  <conditionalFormatting sqref="X179:X184">
    <cfRule type="timePeriod" dxfId="0" priority="36" timePeriod="tomorrow">
      <formula>FLOOR(X179,1)=TODAY()+1</formula>
    </cfRule>
  </conditionalFormatting>
  <conditionalFormatting sqref="Y66:Y68">
    <cfRule type="timePeriod" dxfId="0" priority="134" timePeriod="tomorrow">
      <formula>FLOOR(Y66,1)=TODAY()+1</formula>
    </cfRule>
  </conditionalFormatting>
  <conditionalFormatting sqref="Y69:Y73">
    <cfRule type="timePeriod" dxfId="0" priority="135" timePeriod="tomorrow">
      <formula>FLOOR(Y69,1)=TODAY()+1</formula>
    </cfRule>
  </conditionalFormatting>
  <conditionalFormatting sqref="Y74:Y76">
    <cfRule type="timePeriod" dxfId="0" priority="133" timePeriod="tomorrow">
      <formula>FLOOR(Y74,1)=TODAY()+1</formula>
    </cfRule>
  </conditionalFormatting>
  <conditionalFormatting sqref="Y78:Y80">
    <cfRule type="timePeriod" dxfId="0" priority="130" timePeriod="tomorrow">
      <formula>FLOOR(Y78,1)=TODAY()+1</formula>
    </cfRule>
  </conditionalFormatting>
  <conditionalFormatting sqref="Y81:Y82">
    <cfRule type="timePeriod" dxfId="0" priority="144" timePeriod="tomorrow">
      <formula>FLOOR(Y81,1)=TODAY()+1</formula>
    </cfRule>
  </conditionalFormatting>
  <conditionalFormatting sqref="Y86:Y89">
    <cfRule type="timePeriod" dxfId="0" priority="140" timePeriod="tomorrow">
      <formula>FLOOR(Y86,1)=TODAY()+1</formula>
    </cfRule>
  </conditionalFormatting>
  <conditionalFormatting sqref="Y125:Y127">
    <cfRule type="timePeriod" dxfId="0" priority="93" timePeriod="tomorrow">
      <formula>FLOOR(Y125,1)=TODAY()+1</formula>
    </cfRule>
  </conditionalFormatting>
  <conditionalFormatting sqref="Y163:Y167">
    <cfRule type="timePeriod" dxfId="0" priority="55" timePeriod="tomorrow">
      <formula>FLOOR(Y163,1)=TODAY()+1</formula>
    </cfRule>
  </conditionalFormatting>
  <conditionalFormatting sqref="Y168:Y170">
    <cfRule type="timePeriod" dxfId="0" priority="43" timePeriod="tomorrow">
      <formula>FLOOR(Y168,1)=TODAY()+1</formula>
    </cfRule>
  </conditionalFormatting>
  <conditionalFormatting sqref="Y171:Y172">
    <cfRule type="timePeriod" dxfId="0" priority="52" timePeriod="tomorrow">
      <formula>FLOOR(Y171,1)=TODAY()+1</formula>
    </cfRule>
  </conditionalFormatting>
  <conditionalFormatting sqref="Y173:Y175">
    <cfRule type="timePeriod" dxfId="0" priority="47" timePeriod="tomorrow">
      <formula>FLOOR(Y173,1)=TODAY()+1</formula>
    </cfRule>
  </conditionalFormatting>
  <conditionalFormatting sqref="Y179:Y184">
    <cfRule type="timePeriod" dxfId="0" priority="38" timePeriod="tomorrow">
      <formula>FLOOR(Y179,1)=TODAY()+1</formula>
    </cfRule>
  </conditionalFormatting>
  <conditionalFormatting sqref="Y186:Y187">
    <cfRule type="timePeriod" dxfId="0" priority="35" timePeriod="tomorrow">
      <formula>FLOOR(Y186,1)=TODAY()+1</formula>
    </cfRule>
  </conditionalFormatting>
  <conditionalFormatting sqref="Y188:Y189">
    <cfRule type="timePeriod" dxfId="0" priority="33" timePeriod="tomorrow">
      <formula>FLOOR(Y188,1)=TODAY()+1</formula>
    </cfRule>
  </conditionalFormatting>
  <conditionalFormatting sqref="Y195:Y196">
    <cfRule type="timePeriod" dxfId="0" priority="18" timePeriod="tomorrow">
      <formula>FLOOR(Y195,1)=TODAY()+1</formula>
    </cfRule>
  </conditionalFormatting>
  <conditionalFormatting sqref="Y200:Y201">
    <cfRule type="timePeriod" dxfId="0" priority="16" timePeriod="tomorrow">
      <formula>FLOOR(Y200,1)=TODAY()+1</formula>
    </cfRule>
  </conditionalFormatting>
  <conditionalFormatting sqref="U1:X2 U83:U85 U90:U105 U108:U112 U114:U115 U117 U119:U128 U131:U132 U134 U142:U147 U150:U152 U154:U156 U160:U171 U173:U175 U182:U188 U192:U196 U198:U204 U207 U210:U211 V193 U138:U139 U212:V212 U213:X1048576 X212 V201">
    <cfRule type="timePeriod" dxfId="0" priority="149" timePeriod="tomorrow">
      <formula>FLOOR(U1,1)=TODAY()+1</formula>
    </cfRule>
  </conditionalFormatting>
  <conditionalFormatting sqref="U66:W71 U72:X77 U78:W80">
    <cfRule type="timePeriod" dxfId="0" priority="136" timePeriod="tomorrow">
      <formula>FLOOR(U66,1)=TODAY()+1</formula>
    </cfRule>
  </conditionalFormatting>
  <conditionalFormatting sqref="V81:V85 V90:V95">
    <cfRule type="timePeriod" dxfId="0" priority="142" timePeriod="tomorrow">
      <formula>FLOOR(V81,1)=TODAY()+1</formula>
    </cfRule>
  </conditionalFormatting>
  <conditionalFormatting sqref="W81:W117 W119:W212">
    <cfRule type="timePeriod" dxfId="0" priority="145" timePeriod="tomorrow">
      <formula>FLOOR(W81,1)=TODAY()+1</formula>
    </cfRule>
    <cfRule type="timePeriod" dxfId="0" priority="146" timePeriod="tomorrow">
      <formula>FLOOR(W81,1)=TODAY()+1</formula>
    </cfRule>
  </conditionalFormatting>
  <conditionalFormatting sqref="X81:X85 X90:X94 X96:X100 X104 X108:X115 X117">
    <cfRule type="timePeriod" dxfId="0" priority="143" timePeriod="tomorrow">
      <formula>FLOOR(X81,1)=TODAY()+1</formula>
    </cfRule>
  </conditionalFormatting>
  <conditionalFormatting sqref="Y83:Y85 Y90:Y115 Y117 Y119:Y124 Y128:Y142 Y212">
    <cfRule type="timePeriod" dxfId="0" priority="148" timePeriod="tomorrow">
      <formula>FLOOR(Y83,1)=TODAY()+1</formula>
    </cfRule>
  </conditionalFormatting>
  <conditionalFormatting sqref="V96:V105 V108:V112 V115 V117">
    <cfRule type="timePeriod" dxfId="0" priority="123" timePeriod="tomorrow">
      <formula>FLOOR(V96,1)=TODAY()+1</formula>
    </cfRule>
  </conditionalFormatting>
  <conditionalFormatting sqref="U106:V107">
    <cfRule type="timePeriod" dxfId="0" priority="120" timePeriod="tomorrow">
      <formula>FLOOR(U106,1)=TODAY()+1</formula>
    </cfRule>
  </conditionalFormatting>
  <conditionalFormatting sqref="X119:X121 X131:X133 X142 X138:X139">
    <cfRule type="timePeriod" dxfId="0" priority="104" timePeriod="tomorrow">
      <formula>FLOOR(X119,1)=TODAY()+1</formula>
    </cfRule>
  </conditionalFormatting>
  <conditionalFormatting sqref="V120:V121 V131 V134 V138:V142">
    <cfRule type="timePeriod" dxfId="0" priority="99" timePeriod="tomorrow">
      <formula>FLOOR(V120,1)=TODAY()+1</formula>
    </cfRule>
  </conditionalFormatting>
  <conditionalFormatting sqref="V143:V147 V150 V162:V171 V176:V178 V185:V188 V205:V209 V211">
    <cfRule type="timePeriod" dxfId="0" priority="75" timePeriod="tomorrow">
      <formula>FLOOR(V143,1)=TODAY()+1</formula>
    </cfRule>
  </conditionalFormatting>
  <conditionalFormatting sqref="X143:X150 X171:X172 X186:X189 X194:X196 X198:X201 X204:X206 X208:X209 X211">
    <cfRule type="timePeriod" dxfId="0" priority="74" timePeriod="tomorrow">
      <formula>FLOOR(X143,1)=TODAY()+1</formula>
    </cfRule>
  </conditionalFormatting>
  <conditionalFormatting sqref="Y143:Y152 Y156:Y162 Y176:Y178 Y185 Y190:Y192 Y197 Y199 Y205:Y206 Y208:Y209 Y211">
    <cfRule type="timePeriod" dxfId="0" priority="73" timePeriod="tomorrow">
      <formula>FLOOR(Y143,1)=TODAY()+1</formula>
    </cfRule>
  </conditionalFormatting>
  <conditionalFormatting sqref="X153:Y155">
    <cfRule type="timePeriod" dxfId="0" priority="64" timePeriod="tomorrow">
      <formula>FLOOR(X153,1)=TODAY()+1</formula>
    </cfRule>
  </conditionalFormatting>
  <conditionalFormatting sqref="U179:V181">
    <cfRule type="timePeriod" dxfId="0" priority="37" timePeriod="tomorrow">
      <formula>FLOOR(U179,1)=TODAY()+1</formula>
    </cfRule>
  </conditionalFormatting>
  <conditionalFormatting sqref="X190:X192 X197">
    <cfRule type="timePeriod" dxfId="0" priority="27" timePeriod="tomorrow">
      <formula>FLOOR(X190,1)=TODAY()+1</formula>
    </cfRule>
  </conditionalFormatting>
  <conditionalFormatting sqref="X202:Y203">
    <cfRule type="timePeriod" dxfId="0" priority="19" timePeriod="tomorrow">
      <formula>FLOOR(X202,1)=TODAY()+1</formula>
    </cfRule>
  </conditionalFormatting>
  <printOptions horizontalCentered="1"/>
  <pageMargins left="0.751388888888889" right="0.751388888888889" top="0.802777777777778" bottom="0.802777777777778" header="0.511805555555556" footer="0.511805555555556"/>
  <pageSetup paperSize="9" scale="22" fitToHeight="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K10"/>
  <sheetViews>
    <sheetView workbookViewId="0">
      <selection activeCell="J8" sqref="J8"/>
    </sheetView>
  </sheetViews>
  <sheetFormatPr defaultColWidth="9" defaultRowHeight="15.75"/>
  <cols>
    <col min="1" max="1" width="9.00833333333333" customWidth="1"/>
    <col min="2" max="3" width="15.625" customWidth="1"/>
    <col min="4" max="4" width="10.625" customWidth="1"/>
    <col min="5" max="5" width="30.625" customWidth="1"/>
    <col min="6" max="6" width="15.625" customWidth="1"/>
    <col min="7" max="7" width="12.625" customWidth="1"/>
    <col min="9" max="9" width="15.625" customWidth="1"/>
    <col min="11" max="11" width="12.625" customWidth="1"/>
  </cols>
  <sheetData>
    <row r="1" ht="31.5" spans="1:11">
      <c r="A1" s="9" t="s">
        <v>1</v>
      </c>
      <c r="B1" s="9" t="s">
        <v>4</v>
      </c>
      <c r="C1" s="9" t="s">
        <v>359</v>
      </c>
      <c r="D1" s="9" t="s">
        <v>360</v>
      </c>
      <c r="E1" s="9" t="s">
        <v>364</v>
      </c>
      <c r="F1" s="27" t="s">
        <v>367</v>
      </c>
      <c r="G1" s="49" t="s">
        <v>369</v>
      </c>
      <c r="H1" s="34" t="s">
        <v>17</v>
      </c>
      <c r="I1" s="240" t="s">
        <v>370</v>
      </c>
      <c r="J1" s="9" t="s">
        <v>2103</v>
      </c>
      <c r="K1" s="49" t="s">
        <v>27</v>
      </c>
    </row>
    <row r="2" ht="57" customHeight="1" spans="1:11">
      <c r="A2" s="11">
        <v>1</v>
      </c>
      <c r="B2" s="263" t="s">
        <v>1293</v>
      </c>
      <c r="C2" s="12" t="s">
        <v>1294</v>
      </c>
      <c r="D2" s="11" t="s">
        <v>416</v>
      </c>
      <c r="E2" s="213" t="s">
        <v>1151</v>
      </c>
      <c r="F2" s="35" t="s">
        <v>1298</v>
      </c>
      <c r="G2" s="35">
        <v>45030</v>
      </c>
      <c r="H2" s="40" t="s">
        <v>401</v>
      </c>
      <c r="I2" s="244">
        <v>5</v>
      </c>
      <c r="J2" s="11" t="s">
        <v>450</v>
      </c>
      <c r="K2" s="35" t="s">
        <v>1299</v>
      </c>
    </row>
    <row r="3" ht="57" customHeight="1" spans="1:11">
      <c r="A3" s="11">
        <v>2</v>
      </c>
      <c r="B3" s="12" t="s">
        <v>1304</v>
      </c>
      <c r="C3" s="12" t="s">
        <v>1305</v>
      </c>
      <c r="D3" s="11" t="s">
        <v>509</v>
      </c>
      <c r="E3" s="11" t="s">
        <v>694</v>
      </c>
      <c r="F3" s="35" t="s">
        <v>1309</v>
      </c>
      <c r="G3" s="35">
        <v>45054</v>
      </c>
      <c r="H3" s="40" t="s">
        <v>401</v>
      </c>
      <c r="I3" s="244">
        <v>0.2</v>
      </c>
      <c r="J3" s="11" t="s">
        <v>2104</v>
      </c>
      <c r="K3" s="35" t="s">
        <v>1299</v>
      </c>
    </row>
    <row r="4" ht="57" customHeight="1" spans="1:11">
      <c r="A4" s="11">
        <v>3</v>
      </c>
      <c r="B4" s="12"/>
      <c r="C4" s="12" t="s">
        <v>1312</v>
      </c>
      <c r="D4" s="11" t="s">
        <v>516</v>
      </c>
      <c r="E4" s="11" t="s">
        <v>694</v>
      </c>
      <c r="F4" s="35" t="s">
        <v>1316</v>
      </c>
      <c r="G4" s="35">
        <v>45054</v>
      </c>
      <c r="H4" s="40" t="s">
        <v>401</v>
      </c>
      <c r="I4" s="244">
        <v>0.2</v>
      </c>
      <c r="J4" s="11" t="s">
        <v>2104</v>
      </c>
      <c r="K4" s="35" t="s">
        <v>1299</v>
      </c>
    </row>
    <row r="5" ht="57" customHeight="1" spans="1:11">
      <c r="A5" s="11">
        <v>4</v>
      </c>
      <c r="B5" s="12"/>
      <c r="C5" s="12" t="s">
        <v>1319</v>
      </c>
      <c r="D5" s="11" t="s">
        <v>416</v>
      </c>
      <c r="E5" s="11" t="s">
        <v>694</v>
      </c>
      <c r="F5" s="35" t="s">
        <v>1323</v>
      </c>
      <c r="G5" s="35">
        <v>45054</v>
      </c>
      <c r="H5" s="40" t="s">
        <v>401</v>
      </c>
      <c r="I5" s="244">
        <v>1.2</v>
      </c>
      <c r="J5" s="11" t="s">
        <v>2104</v>
      </c>
      <c r="K5" s="35" t="s">
        <v>1299</v>
      </c>
    </row>
    <row r="6" ht="57" customHeight="1" spans="1:11">
      <c r="A6" s="11">
        <v>5</v>
      </c>
      <c r="B6" s="264" t="s">
        <v>1327</v>
      </c>
      <c r="C6" s="12" t="s">
        <v>272</v>
      </c>
      <c r="D6" s="11" t="s">
        <v>416</v>
      </c>
      <c r="E6" s="11" t="s">
        <v>718</v>
      </c>
      <c r="F6" s="35" t="s">
        <v>1330</v>
      </c>
      <c r="G6" s="35">
        <v>45062</v>
      </c>
      <c r="H6" s="40" t="s">
        <v>401</v>
      </c>
      <c r="I6" s="244">
        <v>1.2</v>
      </c>
      <c r="J6" s="11" t="s">
        <v>2105</v>
      </c>
      <c r="K6" s="35" t="s">
        <v>1299</v>
      </c>
    </row>
    <row r="7" ht="57" customHeight="1" spans="1:11">
      <c r="A7" s="11">
        <v>6</v>
      </c>
      <c r="B7" s="264"/>
      <c r="C7" s="12" t="s">
        <v>1334</v>
      </c>
      <c r="D7" s="11" t="s">
        <v>509</v>
      </c>
      <c r="E7" s="11" t="s">
        <v>1336</v>
      </c>
      <c r="F7" s="35" t="s">
        <v>1339</v>
      </c>
      <c r="G7" s="35">
        <v>45062</v>
      </c>
      <c r="H7" s="40" t="s">
        <v>401</v>
      </c>
      <c r="I7" s="244">
        <v>0.2</v>
      </c>
      <c r="J7" s="11" t="s">
        <v>2105</v>
      </c>
      <c r="K7" s="35" t="s">
        <v>1299</v>
      </c>
    </row>
    <row r="8" ht="57" customHeight="1" spans="1:11">
      <c r="A8" s="11">
        <v>7</v>
      </c>
      <c r="B8" s="263"/>
      <c r="C8" s="12" t="s">
        <v>1343</v>
      </c>
      <c r="D8" s="11" t="s">
        <v>516</v>
      </c>
      <c r="E8" s="11" t="s">
        <v>1345</v>
      </c>
      <c r="F8" s="35" t="s">
        <v>1348</v>
      </c>
      <c r="G8" s="35">
        <v>45062</v>
      </c>
      <c r="H8" s="40" t="s">
        <v>401</v>
      </c>
      <c r="I8" s="244">
        <v>0.2</v>
      </c>
      <c r="J8" s="11" t="s">
        <v>2105</v>
      </c>
      <c r="K8" s="35" t="s">
        <v>1299</v>
      </c>
    </row>
    <row r="9" ht="57" customHeight="1" spans="1:11">
      <c r="A9" s="11">
        <v>8</v>
      </c>
      <c r="B9" s="264" t="s">
        <v>2106</v>
      </c>
      <c r="C9" s="12" t="s">
        <v>282</v>
      </c>
      <c r="D9" s="11" t="s">
        <v>416</v>
      </c>
      <c r="E9" s="11" t="s">
        <v>1226</v>
      </c>
      <c r="F9" s="35" t="s">
        <v>1362</v>
      </c>
      <c r="G9" s="35">
        <v>45092</v>
      </c>
      <c r="H9" s="40" t="s">
        <v>401</v>
      </c>
      <c r="I9" s="244">
        <v>10</v>
      </c>
      <c r="J9" s="11" t="s">
        <v>2104</v>
      </c>
      <c r="K9" s="35" t="s">
        <v>1299</v>
      </c>
    </row>
    <row r="10" ht="57" customHeight="1" spans="1:11">
      <c r="A10" s="11">
        <v>9</v>
      </c>
      <c r="B10" s="12" t="s">
        <v>1374</v>
      </c>
      <c r="C10" s="12" t="s">
        <v>1375</v>
      </c>
      <c r="D10" s="11" t="s">
        <v>408</v>
      </c>
      <c r="E10" s="11" t="s">
        <v>1151</v>
      </c>
      <c r="F10" s="35" t="s">
        <v>1379</v>
      </c>
      <c r="G10" s="35">
        <v>45077</v>
      </c>
      <c r="H10" s="40" t="s">
        <v>401</v>
      </c>
      <c r="I10" s="244">
        <v>5</v>
      </c>
      <c r="J10" s="11" t="s">
        <v>450</v>
      </c>
      <c r="K10" s="35" t="s">
        <v>1299</v>
      </c>
    </row>
  </sheetData>
  <mergeCells count="2">
    <mergeCell ref="B3:B5"/>
    <mergeCell ref="B6:B8"/>
  </mergeCells>
  <pageMargins left="0.75" right="0.75" top="1" bottom="1" header="0.5" footer="0.5"/>
  <pageSetup paperSize="9" scale="7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pageSetUpPr fitToPage="1"/>
  </sheetPr>
  <dimension ref="A1:AN56"/>
  <sheetViews>
    <sheetView view="pageBreakPreview" zoomScaleNormal="85" workbookViewId="0">
      <pane xSplit="5" ySplit="2" topLeftCell="F3" activePane="bottomRight" state="frozen"/>
      <selection/>
      <selection pane="topRight"/>
      <selection pane="bottomLeft"/>
      <selection pane="bottomRight" activeCell="E66" sqref="E66"/>
    </sheetView>
  </sheetViews>
  <sheetFormatPr defaultColWidth="8.66666666666667" defaultRowHeight="15.75"/>
  <cols>
    <col min="1" max="1" width="6.91666666666667" style="202" customWidth="1"/>
    <col min="2" max="2" width="6.90833333333333" style="203" hidden="1" customWidth="1"/>
    <col min="3" max="3" width="25.625" style="204" hidden="1" customWidth="1"/>
    <col min="4" max="4" width="12.625" style="204" customWidth="1"/>
    <col min="5" max="6" width="9.99166666666667" style="202" customWidth="1"/>
    <col min="7" max="7" width="9.99166666666667" style="202" hidden="1" customWidth="1"/>
    <col min="8" max="8" width="15.25" style="202" customWidth="1"/>
    <col min="9" max="9" width="69.25" style="205" hidden="1" customWidth="1"/>
    <col min="10" max="10" width="9.99166666666667" style="202" hidden="1" customWidth="1"/>
    <col min="11" max="11" width="9.99166666666667" style="201" customWidth="1"/>
    <col min="12" max="12" width="13.6666666666667" style="206" hidden="1" customWidth="1"/>
    <col min="13" max="13" width="13.6666666666667" style="207" customWidth="1"/>
    <col min="14" max="14" width="13.6666666666667" style="208" hidden="1" customWidth="1"/>
    <col min="15" max="15" width="13.6666666666667" style="209" hidden="1" customWidth="1"/>
    <col min="16" max="16" width="13.6666666666667" style="206" customWidth="1"/>
    <col min="17" max="17" width="9.99166666666667" style="206" hidden="1" customWidth="1"/>
    <col min="18" max="18" width="9" style="202" customWidth="1"/>
    <col min="19" max="19" width="13.6666666666667" style="210" hidden="1" customWidth="1"/>
    <col min="20" max="23" width="13.6666666666667" style="202" hidden="1" customWidth="1"/>
    <col min="24" max="24" width="13.6666666666667" style="206" customWidth="1"/>
    <col min="25" max="25" width="9" style="202" hidden="1" customWidth="1"/>
    <col min="26" max="28" width="8.66666666666667" style="202" customWidth="1"/>
    <col min="29" max="40" width="8.66666666666667" style="202" hidden="1" customWidth="1"/>
    <col min="41" max="16384" width="8.66666666666667" style="202"/>
  </cols>
  <sheetData>
    <row r="1" s="1" customFormat="1" ht="40" hidden="1" customHeight="1" spans="1:19">
      <c r="A1" s="211" t="s">
        <v>356</v>
      </c>
      <c r="B1" s="212"/>
      <c r="C1" s="211"/>
      <c r="D1" s="211"/>
      <c r="E1" s="211"/>
      <c r="F1" s="211"/>
      <c r="G1" s="211"/>
      <c r="H1" s="211"/>
      <c r="I1" s="227"/>
      <c r="J1" s="211"/>
      <c r="K1" s="228"/>
      <c r="L1" s="211"/>
      <c r="M1" s="238"/>
      <c r="N1" s="239"/>
      <c r="O1" s="211"/>
      <c r="P1" s="211"/>
      <c r="Q1" s="211"/>
      <c r="S1" s="56"/>
    </row>
    <row r="2" s="2" customFormat="1" ht="39.65" customHeight="1" spans="1:40">
      <c r="A2" s="9" t="s">
        <v>1</v>
      </c>
      <c r="B2" s="10" t="s">
        <v>357</v>
      </c>
      <c r="C2" s="9" t="s">
        <v>358</v>
      </c>
      <c r="D2" s="9" t="s">
        <v>4</v>
      </c>
      <c r="E2" s="9" t="s">
        <v>359</v>
      </c>
      <c r="F2" s="9" t="s">
        <v>360</v>
      </c>
      <c r="G2" s="9" t="s">
        <v>361</v>
      </c>
      <c r="H2" s="9" t="s">
        <v>364</v>
      </c>
      <c r="I2" s="9" t="s">
        <v>365</v>
      </c>
      <c r="J2" s="27" t="s">
        <v>366</v>
      </c>
      <c r="K2" s="27" t="s">
        <v>367</v>
      </c>
      <c r="L2" s="49" t="s">
        <v>368</v>
      </c>
      <c r="M2" s="49" t="s">
        <v>369</v>
      </c>
      <c r="N2" s="34" t="s">
        <v>17</v>
      </c>
      <c r="O2" s="240" t="s">
        <v>370</v>
      </c>
      <c r="P2" s="49" t="s">
        <v>371</v>
      </c>
      <c r="Q2" s="49" t="s">
        <v>372</v>
      </c>
      <c r="R2" s="9" t="s">
        <v>373</v>
      </c>
      <c r="S2" s="58" t="s">
        <v>2107</v>
      </c>
      <c r="T2" s="9" t="s">
        <v>375</v>
      </c>
      <c r="U2" s="9" t="s">
        <v>2108</v>
      </c>
      <c r="V2" s="58" t="s">
        <v>2109</v>
      </c>
      <c r="W2" s="58" t="s">
        <v>378</v>
      </c>
      <c r="X2" s="49" t="s">
        <v>27</v>
      </c>
      <c r="Z2" s="9" t="s">
        <v>379</v>
      </c>
      <c r="AA2" s="9" t="s">
        <v>2110</v>
      </c>
      <c r="AB2" s="9" t="s">
        <v>2111</v>
      </c>
      <c r="AC2" s="2" t="s">
        <v>381</v>
      </c>
      <c r="AD2" s="2" t="s">
        <v>382</v>
      </c>
      <c r="AE2" s="2" t="s">
        <v>383</v>
      </c>
      <c r="AG2" s="2" t="s">
        <v>384</v>
      </c>
      <c r="AH2" s="2" t="s">
        <v>385</v>
      </c>
      <c r="AI2" s="2" t="s">
        <v>386</v>
      </c>
      <c r="AJ2" s="2" t="s">
        <v>387</v>
      </c>
      <c r="AK2" s="2" t="s">
        <v>388</v>
      </c>
      <c r="AL2" s="2" t="s">
        <v>389</v>
      </c>
      <c r="AM2" s="2" t="s">
        <v>2112</v>
      </c>
      <c r="AN2" s="2" t="s">
        <v>391</v>
      </c>
    </row>
    <row r="3" ht="82.5" hidden="1" customHeight="1" spans="1:40">
      <c r="A3" s="213">
        <v>16</v>
      </c>
      <c r="B3" s="214" t="s">
        <v>1079</v>
      </c>
      <c r="C3" s="213" t="s">
        <v>1080</v>
      </c>
      <c r="D3" s="215" t="s">
        <v>1081</v>
      </c>
      <c r="E3" s="12" t="s">
        <v>1082</v>
      </c>
      <c r="F3" s="11" t="s">
        <v>408</v>
      </c>
      <c r="G3" s="323" t="s">
        <v>1083</v>
      </c>
      <c r="H3" s="11" t="s">
        <v>1080</v>
      </c>
      <c r="I3" s="229" t="s">
        <v>1084</v>
      </c>
      <c r="J3" s="229" t="s">
        <v>1085</v>
      </c>
      <c r="K3" s="35" t="s">
        <v>1086</v>
      </c>
      <c r="L3" s="60">
        <v>44543</v>
      </c>
      <c r="M3" s="35">
        <v>44574</v>
      </c>
      <c r="N3" s="241" t="s">
        <v>401</v>
      </c>
      <c r="O3" s="242">
        <v>1.2</v>
      </c>
      <c r="P3" s="35">
        <v>44585</v>
      </c>
      <c r="Q3" s="35"/>
      <c r="R3" s="11" t="s">
        <v>529</v>
      </c>
      <c r="S3" s="52">
        <v>44575</v>
      </c>
      <c r="T3" s="52">
        <v>44575</v>
      </c>
      <c r="U3" s="251" t="s">
        <v>44</v>
      </c>
      <c r="V3" s="251">
        <v>44575</v>
      </c>
      <c r="W3" s="251">
        <v>44575</v>
      </c>
      <c r="X3" s="35" t="s">
        <v>1067</v>
      </c>
      <c r="Z3" s="213" t="s">
        <v>2113</v>
      </c>
      <c r="AA3" s="253"/>
      <c r="AB3" s="213"/>
      <c r="AC3" s="224" t="s">
        <v>1077</v>
      </c>
      <c r="AD3" s="224" t="s">
        <v>1077</v>
      </c>
      <c r="AE3" s="224"/>
      <c r="AN3" s="328" t="s">
        <v>1087</v>
      </c>
    </row>
    <row r="4" ht="82.5" hidden="1" spans="1:40">
      <c r="A4" s="213">
        <v>17</v>
      </c>
      <c r="B4" s="214" t="s">
        <v>1088</v>
      </c>
      <c r="C4" s="213" t="s">
        <v>1080</v>
      </c>
      <c r="D4" s="216"/>
      <c r="E4" s="12" t="s">
        <v>1089</v>
      </c>
      <c r="F4" s="11" t="s">
        <v>751</v>
      </c>
      <c r="G4" s="323" t="s">
        <v>1090</v>
      </c>
      <c r="H4" s="11" t="s">
        <v>1080</v>
      </c>
      <c r="I4" s="229" t="s">
        <v>1091</v>
      </c>
      <c r="J4" s="229" t="s">
        <v>1092</v>
      </c>
      <c r="K4" s="35" t="s">
        <v>1093</v>
      </c>
      <c r="L4" s="60">
        <v>44543</v>
      </c>
      <c r="M4" s="35">
        <v>44574</v>
      </c>
      <c r="N4" s="241" t="s">
        <v>401</v>
      </c>
      <c r="O4" s="242">
        <v>0.2</v>
      </c>
      <c r="P4" s="35">
        <v>44585</v>
      </c>
      <c r="Q4" s="35"/>
      <c r="R4" s="11" t="s">
        <v>529</v>
      </c>
      <c r="S4" s="52">
        <v>44575</v>
      </c>
      <c r="T4" s="52">
        <v>44575</v>
      </c>
      <c r="U4" s="251" t="s">
        <v>44</v>
      </c>
      <c r="V4" s="251">
        <v>44575</v>
      </c>
      <c r="W4" s="251">
        <v>44575</v>
      </c>
      <c r="X4" s="35" t="s">
        <v>1067</v>
      </c>
      <c r="Z4" s="213" t="s">
        <v>2113</v>
      </c>
      <c r="AA4" s="253"/>
      <c r="AB4" s="213"/>
      <c r="AC4" s="224" t="s">
        <v>1077</v>
      </c>
      <c r="AD4" s="224" t="s">
        <v>1077</v>
      </c>
      <c r="AE4" s="224"/>
      <c r="AN4" s="328" t="s">
        <v>1094</v>
      </c>
    </row>
    <row r="5" s="200" customFormat="1" ht="99" spans="1:40">
      <c r="A5" s="217">
        <v>18</v>
      </c>
      <c r="B5" s="218" t="s">
        <v>1095</v>
      </c>
      <c r="C5" s="217" t="s">
        <v>1096</v>
      </c>
      <c r="D5" s="219" t="s">
        <v>1097</v>
      </c>
      <c r="E5" s="218" t="s">
        <v>1098</v>
      </c>
      <c r="F5" s="217" t="s">
        <v>416</v>
      </c>
      <c r="G5" s="326" t="s">
        <v>1099</v>
      </c>
      <c r="H5" s="217" t="s">
        <v>684</v>
      </c>
      <c r="I5" s="230" t="s">
        <v>1100</v>
      </c>
      <c r="J5" s="230" t="s">
        <v>1101</v>
      </c>
      <c r="K5" s="231" t="s">
        <v>1102</v>
      </c>
      <c r="L5" s="231">
        <v>44543</v>
      </c>
      <c r="M5" s="51">
        <v>44579</v>
      </c>
      <c r="N5" s="37" t="s">
        <v>401</v>
      </c>
      <c r="O5" s="243">
        <v>9.25</v>
      </c>
      <c r="P5" s="51">
        <v>44586</v>
      </c>
      <c r="Q5" s="51"/>
      <c r="R5" s="217" t="s">
        <v>960</v>
      </c>
      <c r="S5" s="250">
        <v>44580</v>
      </c>
      <c r="T5" s="250">
        <v>44580</v>
      </c>
      <c r="U5" s="250" t="s">
        <v>44</v>
      </c>
      <c r="V5" s="250">
        <v>44579</v>
      </c>
      <c r="W5" s="250">
        <v>44579</v>
      </c>
      <c r="X5" s="51" t="s">
        <v>1067</v>
      </c>
      <c r="Z5" s="217" t="s">
        <v>1103</v>
      </c>
      <c r="AA5" s="217" t="s">
        <v>294</v>
      </c>
      <c r="AB5" s="254" t="s">
        <v>46</v>
      </c>
      <c r="AC5" s="257"/>
      <c r="AD5" s="258"/>
      <c r="AE5" s="258"/>
      <c r="AM5" s="335" t="s">
        <v>1104</v>
      </c>
      <c r="AN5" s="331" t="s">
        <v>1105</v>
      </c>
    </row>
    <row r="6" ht="66" hidden="1" spans="1:40">
      <c r="A6" s="213">
        <v>1</v>
      </c>
      <c r="B6" s="214" t="s">
        <v>1106</v>
      </c>
      <c r="C6" s="213" t="s">
        <v>1107</v>
      </c>
      <c r="D6" s="215" t="s">
        <v>1108</v>
      </c>
      <c r="E6" s="12" t="s">
        <v>210</v>
      </c>
      <c r="F6" s="11" t="s">
        <v>416</v>
      </c>
      <c r="G6" s="323" t="s">
        <v>211</v>
      </c>
      <c r="H6" s="11" t="s">
        <v>694</v>
      </c>
      <c r="I6" s="229" t="s">
        <v>1109</v>
      </c>
      <c r="J6" s="229" t="s">
        <v>1110</v>
      </c>
      <c r="K6" s="35" t="s">
        <v>1111</v>
      </c>
      <c r="L6" s="60">
        <v>44578</v>
      </c>
      <c r="M6" s="35">
        <v>44631</v>
      </c>
      <c r="N6" s="241" t="s">
        <v>401</v>
      </c>
      <c r="O6" s="242">
        <v>1.2</v>
      </c>
      <c r="P6" s="35">
        <v>44642</v>
      </c>
      <c r="Q6" s="35"/>
      <c r="R6" s="11" t="s">
        <v>960</v>
      </c>
      <c r="S6" s="52">
        <v>44634</v>
      </c>
      <c r="T6" s="52">
        <v>44637</v>
      </c>
      <c r="U6" s="251" t="s">
        <v>44</v>
      </c>
      <c r="V6" s="251">
        <v>44637</v>
      </c>
      <c r="W6" s="251">
        <v>44637</v>
      </c>
      <c r="X6" s="35" t="s">
        <v>1112</v>
      </c>
      <c r="Z6" s="213" t="s">
        <v>2113</v>
      </c>
      <c r="AA6" s="253"/>
      <c r="AB6" s="213"/>
      <c r="AC6" s="224" t="s">
        <v>1077</v>
      </c>
      <c r="AD6" s="224" t="s">
        <v>1077</v>
      </c>
      <c r="AE6" s="224"/>
      <c r="AN6" s="328" t="s">
        <v>1113</v>
      </c>
    </row>
    <row r="7" ht="82.5" hidden="1" spans="1:40">
      <c r="A7" s="213">
        <v>2</v>
      </c>
      <c r="B7" s="214" t="s">
        <v>1114</v>
      </c>
      <c r="C7" s="213" t="s">
        <v>1107</v>
      </c>
      <c r="D7" s="220"/>
      <c r="E7" s="12" t="s">
        <v>1115</v>
      </c>
      <c r="F7" s="11" t="s">
        <v>509</v>
      </c>
      <c r="G7" s="323" t="s">
        <v>1116</v>
      </c>
      <c r="H7" s="11" t="s">
        <v>694</v>
      </c>
      <c r="I7" s="229" t="s">
        <v>1117</v>
      </c>
      <c r="J7" s="229" t="s">
        <v>1118</v>
      </c>
      <c r="K7" s="35" t="s">
        <v>1119</v>
      </c>
      <c r="L7" s="60">
        <v>44578</v>
      </c>
      <c r="M7" s="35">
        <v>44631</v>
      </c>
      <c r="N7" s="241" t="s">
        <v>401</v>
      </c>
      <c r="O7" s="242">
        <v>0.2</v>
      </c>
      <c r="P7" s="35">
        <v>44642</v>
      </c>
      <c r="Q7" s="35"/>
      <c r="R7" s="11" t="s">
        <v>960</v>
      </c>
      <c r="S7" s="52">
        <v>44634</v>
      </c>
      <c r="T7" s="52">
        <v>44637</v>
      </c>
      <c r="U7" s="251" t="s">
        <v>44</v>
      </c>
      <c r="V7" s="251">
        <v>44637</v>
      </c>
      <c r="W7" s="251">
        <v>44637</v>
      </c>
      <c r="X7" s="35" t="s">
        <v>1112</v>
      </c>
      <c r="Z7" s="213" t="s">
        <v>2113</v>
      </c>
      <c r="AA7" s="253"/>
      <c r="AB7" s="213"/>
      <c r="AC7" s="224" t="s">
        <v>1077</v>
      </c>
      <c r="AD7" s="224" t="s">
        <v>1077</v>
      </c>
      <c r="AE7" s="224"/>
      <c r="AN7" s="328" t="s">
        <v>1120</v>
      </c>
    </row>
    <row r="8" ht="99" hidden="1" spans="1:40">
      <c r="A8" s="213">
        <v>3</v>
      </c>
      <c r="B8" s="214" t="s">
        <v>1121</v>
      </c>
      <c r="C8" s="213" t="s">
        <v>1107</v>
      </c>
      <c r="D8" s="216"/>
      <c r="E8" s="12" t="s">
        <v>1122</v>
      </c>
      <c r="F8" s="11" t="s">
        <v>516</v>
      </c>
      <c r="G8" s="323" t="s">
        <v>1123</v>
      </c>
      <c r="H8" s="11" t="s">
        <v>694</v>
      </c>
      <c r="I8" s="229" t="s">
        <v>1124</v>
      </c>
      <c r="J8" s="229" t="s">
        <v>1125</v>
      </c>
      <c r="K8" s="35" t="s">
        <v>1126</v>
      </c>
      <c r="L8" s="60">
        <v>44578</v>
      </c>
      <c r="M8" s="35">
        <v>44631</v>
      </c>
      <c r="N8" s="241" t="s">
        <v>401</v>
      </c>
      <c r="O8" s="242">
        <v>0.2</v>
      </c>
      <c r="P8" s="35">
        <v>44642</v>
      </c>
      <c r="Q8" s="35"/>
      <c r="R8" s="11" t="s">
        <v>960</v>
      </c>
      <c r="S8" s="52">
        <v>44634</v>
      </c>
      <c r="T8" s="52">
        <v>44637</v>
      </c>
      <c r="U8" s="251" t="s">
        <v>44</v>
      </c>
      <c r="V8" s="251">
        <v>44637</v>
      </c>
      <c r="W8" s="251">
        <v>44637</v>
      </c>
      <c r="X8" s="35" t="s">
        <v>1127</v>
      </c>
      <c r="Z8" s="213" t="s">
        <v>2113</v>
      </c>
      <c r="AA8" s="253"/>
      <c r="AB8" s="213"/>
      <c r="AC8" s="224" t="s">
        <v>1077</v>
      </c>
      <c r="AD8" s="224" t="s">
        <v>1077</v>
      </c>
      <c r="AE8" s="224"/>
      <c r="AN8" s="328" t="s">
        <v>1128</v>
      </c>
    </row>
    <row r="9" s="201" customFormat="1" ht="82.5" hidden="1" spans="1:40">
      <c r="A9" s="11">
        <v>4</v>
      </c>
      <c r="B9" s="12" t="s">
        <v>1129</v>
      </c>
      <c r="C9" s="11" t="s">
        <v>1130</v>
      </c>
      <c r="D9" s="13" t="s">
        <v>1131</v>
      </c>
      <c r="E9" s="12" t="s">
        <v>298</v>
      </c>
      <c r="F9" s="11" t="s">
        <v>416</v>
      </c>
      <c r="G9" s="323" t="s">
        <v>299</v>
      </c>
      <c r="H9" s="11" t="s">
        <v>1132</v>
      </c>
      <c r="I9" s="229" t="s">
        <v>1133</v>
      </c>
      <c r="J9" s="229" t="s">
        <v>1134</v>
      </c>
      <c r="K9" s="35" t="s">
        <v>1135</v>
      </c>
      <c r="L9" s="60">
        <v>44578</v>
      </c>
      <c r="M9" s="35">
        <v>44648</v>
      </c>
      <c r="N9" s="40" t="s">
        <v>634</v>
      </c>
      <c r="O9" s="244">
        <v>1</v>
      </c>
      <c r="P9" s="35">
        <v>44654</v>
      </c>
      <c r="Q9" s="35"/>
      <c r="R9" s="11" t="s">
        <v>476</v>
      </c>
      <c r="S9" s="52">
        <v>44650</v>
      </c>
      <c r="T9" s="52">
        <v>44650</v>
      </c>
      <c r="U9" s="52" t="s">
        <v>44</v>
      </c>
      <c r="V9" s="52">
        <v>44651</v>
      </c>
      <c r="W9" s="52">
        <v>44651</v>
      </c>
      <c r="X9" s="35" t="s">
        <v>1136</v>
      </c>
      <c r="Z9" s="213" t="s">
        <v>2113</v>
      </c>
      <c r="AA9" s="253"/>
      <c r="AB9" s="213"/>
      <c r="AC9" s="224" t="s">
        <v>1077</v>
      </c>
      <c r="AD9" s="224" t="s">
        <v>1077</v>
      </c>
      <c r="AE9" s="234"/>
      <c r="AN9" s="328" t="s">
        <v>1137</v>
      </c>
    </row>
    <row r="10" ht="66" hidden="1" spans="1:40">
      <c r="A10" s="213">
        <v>5</v>
      </c>
      <c r="B10" s="214" t="s">
        <v>1138</v>
      </c>
      <c r="C10" s="213" t="s">
        <v>1139</v>
      </c>
      <c r="D10" s="13" t="s">
        <v>1140</v>
      </c>
      <c r="E10" s="12" t="s">
        <v>1141</v>
      </c>
      <c r="F10" s="11" t="s">
        <v>416</v>
      </c>
      <c r="G10" s="323" t="s">
        <v>1142</v>
      </c>
      <c r="H10" s="11" t="s">
        <v>1143</v>
      </c>
      <c r="I10" s="229" t="s">
        <v>1144</v>
      </c>
      <c r="J10" s="229" t="s">
        <v>1145</v>
      </c>
      <c r="K10" s="35" t="s">
        <v>1146</v>
      </c>
      <c r="L10" s="60">
        <v>44719</v>
      </c>
      <c r="M10" s="35">
        <v>44767</v>
      </c>
      <c r="N10" s="241" t="s">
        <v>401</v>
      </c>
      <c r="O10" s="242">
        <v>5</v>
      </c>
      <c r="P10" s="35">
        <v>44852</v>
      </c>
      <c r="Q10" s="35"/>
      <c r="R10" s="11" t="s">
        <v>476</v>
      </c>
      <c r="S10" s="52">
        <v>44768</v>
      </c>
      <c r="T10" s="52">
        <v>44768</v>
      </c>
      <c r="U10" s="251" t="s">
        <v>44</v>
      </c>
      <c r="V10" s="251">
        <v>44768</v>
      </c>
      <c r="W10" s="251">
        <v>44768</v>
      </c>
      <c r="X10" s="35" t="s">
        <v>1147</v>
      </c>
      <c r="Z10" s="11" t="s">
        <v>1103</v>
      </c>
      <c r="AA10" s="213" t="s">
        <v>294</v>
      </c>
      <c r="AB10" s="213" t="s">
        <v>294</v>
      </c>
      <c r="AC10" s="224"/>
      <c r="AD10" s="224"/>
      <c r="AE10" s="224"/>
      <c r="AN10" s="328" t="s">
        <v>1149</v>
      </c>
    </row>
    <row r="11" ht="82.5" hidden="1" spans="1:40">
      <c r="A11" s="213">
        <v>6</v>
      </c>
      <c r="B11" s="214" t="s">
        <v>1150</v>
      </c>
      <c r="C11" s="213" t="s">
        <v>1151</v>
      </c>
      <c r="D11" s="215" t="s">
        <v>1152</v>
      </c>
      <c r="E11" s="12" t="s">
        <v>298</v>
      </c>
      <c r="F11" s="11" t="s">
        <v>416</v>
      </c>
      <c r="G11" s="323" t="s">
        <v>299</v>
      </c>
      <c r="H11" s="11" t="s">
        <v>1151</v>
      </c>
      <c r="I11" s="229" t="s">
        <v>1153</v>
      </c>
      <c r="J11" s="229" t="s">
        <v>1154</v>
      </c>
      <c r="K11" s="35" t="s">
        <v>1155</v>
      </c>
      <c r="L11" s="60">
        <v>44728</v>
      </c>
      <c r="M11" s="35">
        <v>44757</v>
      </c>
      <c r="N11" s="241" t="s">
        <v>401</v>
      </c>
      <c r="O11" s="242">
        <v>5</v>
      </c>
      <c r="P11" s="35">
        <v>44845</v>
      </c>
      <c r="Q11" s="35"/>
      <c r="R11" s="11" t="s">
        <v>529</v>
      </c>
      <c r="S11" s="251">
        <v>44760</v>
      </c>
      <c r="T11" s="251">
        <v>44760</v>
      </c>
      <c r="U11" s="251" t="s">
        <v>44</v>
      </c>
      <c r="V11" s="251">
        <v>44760</v>
      </c>
      <c r="W11" s="251">
        <v>44760</v>
      </c>
      <c r="X11" s="35" t="s">
        <v>1147</v>
      </c>
      <c r="Z11" s="11" t="s">
        <v>1103</v>
      </c>
      <c r="AA11" s="213" t="s">
        <v>294</v>
      </c>
      <c r="AB11" s="213" t="s">
        <v>294</v>
      </c>
      <c r="AC11" s="224"/>
      <c r="AD11" s="224" t="s">
        <v>294</v>
      </c>
      <c r="AE11" s="224"/>
      <c r="AN11" s="328" t="s">
        <v>1156</v>
      </c>
    </row>
    <row r="12" ht="82.5" hidden="1" spans="1:40">
      <c r="A12" s="213">
        <v>7</v>
      </c>
      <c r="B12" s="214" t="s">
        <v>1157</v>
      </c>
      <c r="C12" s="213" t="s">
        <v>1158</v>
      </c>
      <c r="D12" s="216"/>
      <c r="E12" s="12" t="s">
        <v>1159</v>
      </c>
      <c r="F12" s="11" t="s">
        <v>408</v>
      </c>
      <c r="G12" s="323" t="s">
        <v>1160</v>
      </c>
      <c r="H12" s="11" t="s">
        <v>1158</v>
      </c>
      <c r="I12" s="229" t="s">
        <v>1161</v>
      </c>
      <c r="J12" s="229" t="s">
        <v>1162</v>
      </c>
      <c r="K12" s="35" t="s">
        <v>1163</v>
      </c>
      <c r="L12" s="60">
        <v>44728</v>
      </c>
      <c r="M12" s="35">
        <v>44757</v>
      </c>
      <c r="N12" s="241" t="s">
        <v>401</v>
      </c>
      <c r="O12" s="242">
        <v>5</v>
      </c>
      <c r="P12" s="35">
        <v>44845</v>
      </c>
      <c r="Q12" s="35"/>
      <c r="R12" s="11" t="s">
        <v>529</v>
      </c>
      <c r="S12" s="251">
        <v>44760</v>
      </c>
      <c r="T12" s="251">
        <v>44760</v>
      </c>
      <c r="U12" s="251" t="s">
        <v>44</v>
      </c>
      <c r="V12" s="251">
        <v>44760</v>
      </c>
      <c r="W12" s="251">
        <v>44760</v>
      </c>
      <c r="X12" s="35" t="s">
        <v>1147</v>
      </c>
      <c r="Z12" s="11" t="s">
        <v>1103</v>
      </c>
      <c r="AA12" s="213" t="s">
        <v>294</v>
      </c>
      <c r="AB12" s="213" t="s">
        <v>294</v>
      </c>
      <c r="AC12" s="224"/>
      <c r="AD12" s="224" t="s">
        <v>294</v>
      </c>
      <c r="AE12" s="224"/>
      <c r="AN12" s="328" t="s">
        <v>1164</v>
      </c>
    </row>
    <row r="13" s="200" customFormat="1" ht="115.5" spans="1:40">
      <c r="A13" s="217">
        <v>8</v>
      </c>
      <c r="B13" s="218" t="s">
        <v>1165</v>
      </c>
      <c r="C13" s="217" t="s">
        <v>1166</v>
      </c>
      <c r="D13" s="221" t="s">
        <v>1167</v>
      </c>
      <c r="E13" s="218" t="s">
        <v>1168</v>
      </c>
      <c r="F13" s="217" t="s">
        <v>416</v>
      </c>
      <c r="G13" s="217" t="s">
        <v>1169</v>
      </c>
      <c r="H13" s="217" t="s">
        <v>1170</v>
      </c>
      <c r="I13" s="230" t="s">
        <v>1171</v>
      </c>
      <c r="J13" s="230" t="s">
        <v>1172</v>
      </c>
      <c r="K13" s="231" t="s">
        <v>1173</v>
      </c>
      <c r="L13" s="231">
        <v>44735</v>
      </c>
      <c r="M13" s="51">
        <v>44812</v>
      </c>
      <c r="N13" s="37" t="s">
        <v>401</v>
      </c>
      <c r="O13" s="243">
        <v>2.5</v>
      </c>
      <c r="P13" s="51">
        <v>44852</v>
      </c>
      <c r="Q13" s="51"/>
      <c r="R13" s="217" t="s">
        <v>476</v>
      </c>
      <c r="S13" s="250">
        <v>44813</v>
      </c>
      <c r="T13" s="250">
        <v>44813</v>
      </c>
      <c r="U13" s="250" t="s">
        <v>44</v>
      </c>
      <c r="V13" s="250">
        <v>44813</v>
      </c>
      <c r="W13" s="250">
        <v>44813</v>
      </c>
      <c r="X13" s="51" t="s">
        <v>1174</v>
      </c>
      <c r="Z13" s="217" t="s">
        <v>1103</v>
      </c>
      <c r="AA13" s="217" t="s">
        <v>294</v>
      </c>
      <c r="AB13" s="254" t="s">
        <v>46</v>
      </c>
      <c r="AC13" s="257"/>
      <c r="AD13" s="258"/>
      <c r="AE13" s="258"/>
      <c r="AM13" s="331" t="s">
        <v>1175</v>
      </c>
      <c r="AN13" s="262"/>
    </row>
    <row r="14" s="201" customFormat="1" ht="165" hidden="1" spans="1:40">
      <c r="A14" s="213">
        <v>9</v>
      </c>
      <c r="B14" s="12" t="s">
        <v>1176</v>
      </c>
      <c r="C14" s="11" t="s">
        <v>1177</v>
      </c>
      <c r="D14" s="220"/>
      <c r="E14" s="12" t="s">
        <v>1178</v>
      </c>
      <c r="F14" s="11" t="s">
        <v>509</v>
      </c>
      <c r="G14" s="323" t="s">
        <v>1179</v>
      </c>
      <c r="H14" s="11" t="s">
        <v>1170</v>
      </c>
      <c r="I14" s="229" t="s">
        <v>1180</v>
      </c>
      <c r="J14" s="229" t="s">
        <v>1181</v>
      </c>
      <c r="K14" s="35" t="s">
        <v>1182</v>
      </c>
      <c r="L14" s="60">
        <v>44735</v>
      </c>
      <c r="M14" s="35">
        <v>44812</v>
      </c>
      <c r="N14" s="241" t="s">
        <v>401</v>
      </c>
      <c r="O14" s="244">
        <v>0.5</v>
      </c>
      <c r="P14" s="35">
        <v>44852</v>
      </c>
      <c r="Q14" s="35"/>
      <c r="R14" s="11" t="s">
        <v>476</v>
      </c>
      <c r="S14" s="52">
        <v>44813</v>
      </c>
      <c r="T14" s="52">
        <v>44813</v>
      </c>
      <c r="U14" s="251" t="s">
        <v>44</v>
      </c>
      <c r="V14" s="52">
        <v>44813</v>
      </c>
      <c r="W14" s="52">
        <v>44813</v>
      </c>
      <c r="X14" s="35" t="s">
        <v>152</v>
      </c>
      <c r="Z14" s="11" t="s">
        <v>1103</v>
      </c>
      <c r="AA14" s="213" t="s">
        <v>294</v>
      </c>
      <c r="AB14" s="213" t="s">
        <v>294</v>
      </c>
      <c r="AC14" s="224"/>
      <c r="AD14" s="234"/>
      <c r="AE14" s="234"/>
      <c r="AN14" s="328" t="s">
        <v>1183</v>
      </c>
    </row>
    <row r="15" s="201" customFormat="1" ht="115.5" hidden="1" spans="1:40">
      <c r="A15" s="213">
        <v>10</v>
      </c>
      <c r="B15" s="12" t="s">
        <v>1184</v>
      </c>
      <c r="C15" s="11" t="s">
        <v>1185</v>
      </c>
      <c r="D15" s="220"/>
      <c r="E15" s="12" t="s">
        <v>1186</v>
      </c>
      <c r="F15" s="11" t="s">
        <v>408</v>
      </c>
      <c r="G15" s="11" t="s">
        <v>1187</v>
      </c>
      <c r="H15" s="11" t="s">
        <v>1170</v>
      </c>
      <c r="I15" s="229" t="s">
        <v>1188</v>
      </c>
      <c r="J15" s="229" t="s">
        <v>1189</v>
      </c>
      <c r="K15" s="35" t="s">
        <v>1190</v>
      </c>
      <c r="L15" s="60">
        <v>44735</v>
      </c>
      <c r="M15" s="35">
        <v>44812</v>
      </c>
      <c r="N15" s="241" t="s">
        <v>401</v>
      </c>
      <c r="O15" s="244">
        <v>2.5</v>
      </c>
      <c r="P15" s="35">
        <v>44852</v>
      </c>
      <c r="Q15" s="35"/>
      <c r="R15" s="11" t="s">
        <v>476</v>
      </c>
      <c r="S15" s="52">
        <v>44813</v>
      </c>
      <c r="T15" s="52">
        <v>44813</v>
      </c>
      <c r="U15" s="251" t="s">
        <v>44</v>
      </c>
      <c r="V15" s="52">
        <v>44813</v>
      </c>
      <c r="W15" s="52">
        <v>44813</v>
      </c>
      <c r="X15" s="35" t="s">
        <v>152</v>
      </c>
      <c r="Z15" s="11" t="s">
        <v>1103</v>
      </c>
      <c r="AA15" s="213" t="s">
        <v>294</v>
      </c>
      <c r="AB15" s="213" t="s">
        <v>294</v>
      </c>
      <c r="AC15" s="224"/>
      <c r="AD15" s="234"/>
      <c r="AE15" s="234"/>
      <c r="AN15" s="328" t="s">
        <v>1191</v>
      </c>
    </row>
    <row r="16" s="201" customFormat="1" ht="165" hidden="1" spans="1:40">
      <c r="A16" s="213">
        <v>11</v>
      </c>
      <c r="B16" s="12" t="s">
        <v>1192</v>
      </c>
      <c r="C16" s="11" t="s">
        <v>1193</v>
      </c>
      <c r="D16" s="216"/>
      <c r="E16" s="12" t="s">
        <v>1194</v>
      </c>
      <c r="F16" s="11" t="s">
        <v>1195</v>
      </c>
      <c r="G16" s="323" t="s">
        <v>1196</v>
      </c>
      <c r="H16" s="11" t="s">
        <v>1170</v>
      </c>
      <c r="I16" s="229" t="s">
        <v>1197</v>
      </c>
      <c r="J16" s="229" t="s">
        <v>1198</v>
      </c>
      <c r="K16" s="35" t="s">
        <v>1199</v>
      </c>
      <c r="L16" s="60">
        <v>44735</v>
      </c>
      <c r="M16" s="35">
        <v>44812</v>
      </c>
      <c r="N16" s="241" t="s">
        <v>401</v>
      </c>
      <c r="O16" s="244">
        <v>0.5</v>
      </c>
      <c r="P16" s="35">
        <v>44852</v>
      </c>
      <c r="Q16" s="35"/>
      <c r="R16" s="11" t="s">
        <v>476</v>
      </c>
      <c r="S16" s="52">
        <v>44813</v>
      </c>
      <c r="T16" s="52">
        <v>44813</v>
      </c>
      <c r="U16" s="251" t="s">
        <v>44</v>
      </c>
      <c r="V16" s="52">
        <v>44813</v>
      </c>
      <c r="W16" s="52">
        <v>44813</v>
      </c>
      <c r="X16" s="35"/>
      <c r="Z16" s="11" t="s">
        <v>1103</v>
      </c>
      <c r="AA16" s="213" t="s">
        <v>294</v>
      </c>
      <c r="AB16" s="213" t="s">
        <v>294</v>
      </c>
      <c r="AC16" s="224"/>
      <c r="AD16" s="234"/>
      <c r="AE16" s="234"/>
      <c r="AN16" s="328" t="s">
        <v>1200</v>
      </c>
    </row>
    <row r="17" ht="99" hidden="1" spans="1:40">
      <c r="A17" s="213">
        <v>12</v>
      </c>
      <c r="B17" s="12" t="s">
        <v>1201</v>
      </c>
      <c r="C17" s="213" t="s">
        <v>1043</v>
      </c>
      <c r="D17" s="13" t="s">
        <v>1202</v>
      </c>
      <c r="E17" s="12" t="s">
        <v>1203</v>
      </c>
      <c r="F17" s="11" t="s">
        <v>408</v>
      </c>
      <c r="G17" s="11" t="s">
        <v>1204</v>
      </c>
      <c r="H17" s="11" t="s">
        <v>1043</v>
      </c>
      <c r="I17" s="232" t="s">
        <v>1205</v>
      </c>
      <c r="J17" s="229" t="s">
        <v>1206</v>
      </c>
      <c r="K17" s="35" t="s">
        <v>1207</v>
      </c>
      <c r="L17" s="60">
        <v>44742</v>
      </c>
      <c r="M17" s="35">
        <v>44809</v>
      </c>
      <c r="N17" s="40" t="s">
        <v>401</v>
      </c>
      <c r="O17" s="244">
        <v>5.5</v>
      </c>
      <c r="P17" s="35">
        <v>44939</v>
      </c>
      <c r="Q17" s="35"/>
      <c r="R17" s="11" t="s">
        <v>1208</v>
      </c>
      <c r="S17" s="52">
        <v>44813</v>
      </c>
      <c r="T17" s="52">
        <v>44813</v>
      </c>
      <c r="U17" s="251" t="s">
        <v>44</v>
      </c>
      <c r="V17" s="52">
        <v>44813</v>
      </c>
      <c r="W17" s="52">
        <v>44813</v>
      </c>
      <c r="X17" s="35" t="s">
        <v>1209</v>
      </c>
      <c r="Z17" s="11" t="s">
        <v>1103</v>
      </c>
      <c r="AA17" s="213" t="s">
        <v>294</v>
      </c>
      <c r="AB17" s="213" t="s">
        <v>294</v>
      </c>
      <c r="AC17" s="224"/>
      <c r="AD17" s="224"/>
      <c r="AE17" s="224"/>
      <c r="AN17" s="328" t="s">
        <v>1211</v>
      </c>
    </row>
    <row r="18" ht="115.5" hidden="1" spans="1:40">
      <c r="A18" s="213">
        <v>13</v>
      </c>
      <c r="B18" s="214" t="s">
        <v>1212</v>
      </c>
      <c r="C18" s="213" t="s">
        <v>1151</v>
      </c>
      <c r="D18" s="222" t="s">
        <v>1213</v>
      </c>
      <c r="E18" s="12" t="s">
        <v>1214</v>
      </c>
      <c r="F18" s="11" t="s">
        <v>408</v>
      </c>
      <c r="G18" s="11" t="s">
        <v>1215</v>
      </c>
      <c r="H18" s="11" t="s">
        <v>1151</v>
      </c>
      <c r="I18" s="229" t="s">
        <v>1216</v>
      </c>
      <c r="J18" s="229" t="s">
        <v>1217</v>
      </c>
      <c r="K18" s="35" t="s">
        <v>1218</v>
      </c>
      <c r="L18" s="60">
        <v>44817</v>
      </c>
      <c r="M18" s="35">
        <v>44873</v>
      </c>
      <c r="N18" s="40" t="s">
        <v>401</v>
      </c>
      <c r="O18" s="242">
        <v>5</v>
      </c>
      <c r="P18" s="35">
        <v>44883</v>
      </c>
      <c r="Q18" s="35"/>
      <c r="R18" s="11" t="s">
        <v>529</v>
      </c>
      <c r="S18" s="52">
        <v>44875</v>
      </c>
      <c r="T18" s="52">
        <v>44875</v>
      </c>
      <c r="U18" s="251" t="s">
        <v>44</v>
      </c>
      <c r="V18" s="251">
        <v>44874</v>
      </c>
      <c r="W18" s="251">
        <v>44874</v>
      </c>
      <c r="X18" s="35" t="s">
        <v>1219</v>
      </c>
      <c r="Z18" s="11" t="s">
        <v>1103</v>
      </c>
      <c r="AA18" s="213" t="s">
        <v>294</v>
      </c>
      <c r="AB18" s="213" t="s">
        <v>294</v>
      </c>
      <c r="AC18" s="224"/>
      <c r="AD18" s="224" t="s">
        <v>294</v>
      </c>
      <c r="AE18" s="224"/>
      <c r="AN18" s="328" t="s">
        <v>1220</v>
      </c>
    </row>
    <row r="19" ht="115.5" hidden="1" spans="1:40">
      <c r="A19" s="213">
        <v>14</v>
      </c>
      <c r="B19" s="214" t="s">
        <v>1221</v>
      </c>
      <c r="C19" s="213" t="s">
        <v>1222</v>
      </c>
      <c r="D19" s="13" t="s">
        <v>1223</v>
      </c>
      <c r="E19" s="12" t="s">
        <v>1224</v>
      </c>
      <c r="F19" s="11" t="s">
        <v>408</v>
      </c>
      <c r="G19" s="11" t="s">
        <v>1225</v>
      </c>
      <c r="H19" s="11" t="s">
        <v>1226</v>
      </c>
      <c r="I19" s="229" t="s">
        <v>1227</v>
      </c>
      <c r="J19" s="229" t="s">
        <v>1228</v>
      </c>
      <c r="K19" s="35" t="s">
        <v>1229</v>
      </c>
      <c r="L19" s="60">
        <v>44817</v>
      </c>
      <c r="M19" s="35">
        <v>44893</v>
      </c>
      <c r="N19" s="40" t="s">
        <v>401</v>
      </c>
      <c r="O19" s="244">
        <v>10</v>
      </c>
      <c r="P19" s="35">
        <v>44942</v>
      </c>
      <c r="Q19" s="35"/>
      <c r="R19" s="11" t="s">
        <v>1208</v>
      </c>
      <c r="S19" s="52">
        <v>44897</v>
      </c>
      <c r="T19" s="52">
        <v>44897</v>
      </c>
      <c r="U19" s="52" t="s">
        <v>44</v>
      </c>
      <c r="V19" s="52">
        <v>44896</v>
      </c>
      <c r="W19" s="52">
        <v>44895</v>
      </c>
      <c r="X19" s="35" t="s">
        <v>1230</v>
      </c>
      <c r="Z19" s="11" t="s">
        <v>2113</v>
      </c>
      <c r="AA19" s="213"/>
      <c r="AB19" s="213"/>
      <c r="AC19" s="258" t="s">
        <v>1077</v>
      </c>
      <c r="AD19" s="258" t="s">
        <v>1077</v>
      </c>
      <c r="AE19" s="224"/>
      <c r="AM19" s="328" t="s">
        <v>1231</v>
      </c>
      <c r="AN19" s="262"/>
    </row>
    <row r="20" ht="82.5" hidden="1" spans="1:40">
      <c r="A20" s="213">
        <v>15</v>
      </c>
      <c r="B20" s="214" t="s">
        <v>1232</v>
      </c>
      <c r="C20" s="213" t="s">
        <v>1233</v>
      </c>
      <c r="D20" s="13" t="s">
        <v>1234</v>
      </c>
      <c r="E20" s="12" t="s">
        <v>100</v>
      </c>
      <c r="F20" s="11" t="s">
        <v>416</v>
      </c>
      <c r="G20" s="11" t="s">
        <v>101</v>
      </c>
      <c r="H20" s="11" t="s">
        <v>1235</v>
      </c>
      <c r="I20" s="229" t="s">
        <v>1236</v>
      </c>
      <c r="J20" s="229" t="s">
        <v>1237</v>
      </c>
      <c r="K20" s="35" t="s">
        <v>1238</v>
      </c>
      <c r="L20" s="60">
        <v>44826</v>
      </c>
      <c r="M20" s="35">
        <v>44888</v>
      </c>
      <c r="N20" s="40" t="s">
        <v>401</v>
      </c>
      <c r="O20" s="242">
        <v>5</v>
      </c>
      <c r="P20" s="35">
        <v>44922</v>
      </c>
      <c r="Q20" s="35"/>
      <c r="R20" s="11" t="s">
        <v>476</v>
      </c>
      <c r="S20" s="52">
        <v>44890</v>
      </c>
      <c r="T20" s="52">
        <v>44890</v>
      </c>
      <c r="U20" s="52" t="s">
        <v>44</v>
      </c>
      <c r="V20" s="52">
        <v>44890</v>
      </c>
      <c r="W20" s="251">
        <v>44890</v>
      </c>
      <c r="X20" s="35" t="s">
        <v>1239</v>
      </c>
      <c r="Z20" s="11" t="s">
        <v>1103</v>
      </c>
      <c r="AA20" s="213" t="s">
        <v>294</v>
      </c>
      <c r="AB20" s="213" t="s">
        <v>294</v>
      </c>
      <c r="AC20" s="224"/>
      <c r="AD20" s="224" t="s">
        <v>294</v>
      </c>
      <c r="AE20" s="224"/>
      <c r="AN20" s="328" t="s">
        <v>1240</v>
      </c>
    </row>
    <row r="21" ht="99" hidden="1" spans="1:40">
      <c r="A21" s="213">
        <v>16</v>
      </c>
      <c r="B21" s="214" t="s">
        <v>1241</v>
      </c>
      <c r="C21" s="213" t="s">
        <v>1242</v>
      </c>
      <c r="D21" s="13" t="s">
        <v>1243</v>
      </c>
      <c r="E21" s="12" t="s">
        <v>1244</v>
      </c>
      <c r="F21" s="11" t="s">
        <v>408</v>
      </c>
      <c r="G21" s="11" t="s">
        <v>1245</v>
      </c>
      <c r="H21" s="11" t="s">
        <v>1226</v>
      </c>
      <c r="I21" s="229" t="s">
        <v>1246</v>
      </c>
      <c r="J21" s="229" t="s">
        <v>1247</v>
      </c>
      <c r="K21" s="35" t="s">
        <v>1248</v>
      </c>
      <c r="L21" s="60">
        <v>44823</v>
      </c>
      <c r="M21" s="35">
        <v>44893</v>
      </c>
      <c r="N21" s="40" t="s">
        <v>401</v>
      </c>
      <c r="O21" s="244">
        <v>10</v>
      </c>
      <c r="P21" s="35">
        <v>44942</v>
      </c>
      <c r="Q21" s="35"/>
      <c r="R21" s="11" t="s">
        <v>529</v>
      </c>
      <c r="S21" s="52">
        <v>44897</v>
      </c>
      <c r="T21" s="52">
        <v>44897</v>
      </c>
      <c r="U21" s="52" t="s">
        <v>44</v>
      </c>
      <c r="V21" s="52">
        <v>44896</v>
      </c>
      <c r="W21" s="52">
        <v>44895</v>
      </c>
      <c r="X21" s="35" t="s">
        <v>1230</v>
      </c>
      <c r="Z21" s="11" t="s">
        <v>1103</v>
      </c>
      <c r="AA21" s="213" t="s">
        <v>294</v>
      </c>
      <c r="AB21" s="213" t="s">
        <v>294</v>
      </c>
      <c r="AC21" s="257"/>
      <c r="AD21" s="258"/>
      <c r="AE21" s="224"/>
      <c r="AN21" s="328" t="s">
        <v>1249</v>
      </c>
    </row>
    <row r="22" ht="82.5" hidden="1" spans="1:40">
      <c r="A22" s="213">
        <v>17</v>
      </c>
      <c r="B22" s="214" t="s">
        <v>1250</v>
      </c>
      <c r="C22" s="213" t="s">
        <v>1251</v>
      </c>
      <c r="D22" s="13" t="s">
        <v>1252</v>
      </c>
      <c r="E22" s="12" t="s">
        <v>1253</v>
      </c>
      <c r="F22" s="11" t="s">
        <v>408</v>
      </c>
      <c r="G22" s="323" t="s">
        <v>1254</v>
      </c>
      <c r="H22" s="11" t="s">
        <v>1235</v>
      </c>
      <c r="I22" s="229" t="s">
        <v>1255</v>
      </c>
      <c r="J22" s="229" t="s">
        <v>1256</v>
      </c>
      <c r="K22" s="35" t="s">
        <v>1257</v>
      </c>
      <c r="L22" s="60">
        <v>44813</v>
      </c>
      <c r="M22" s="35">
        <v>44883</v>
      </c>
      <c r="N22" s="40" t="s">
        <v>401</v>
      </c>
      <c r="O22" s="242">
        <v>5</v>
      </c>
      <c r="P22" s="35">
        <v>44904</v>
      </c>
      <c r="Q22" s="35"/>
      <c r="R22" s="11" t="s">
        <v>1258</v>
      </c>
      <c r="S22" s="52">
        <v>44886</v>
      </c>
      <c r="T22" s="52">
        <v>44886</v>
      </c>
      <c r="U22" s="251" t="s">
        <v>44</v>
      </c>
      <c r="V22" s="251">
        <v>44886</v>
      </c>
      <c r="W22" s="251">
        <v>44886</v>
      </c>
      <c r="X22" s="35" t="s">
        <v>1239</v>
      </c>
      <c r="Z22" s="11" t="s">
        <v>1103</v>
      </c>
      <c r="AA22" s="213" t="s">
        <v>294</v>
      </c>
      <c r="AB22" s="213" t="s">
        <v>294</v>
      </c>
      <c r="AC22" s="224"/>
      <c r="AD22" s="224" t="s">
        <v>294</v>
      </c>
      <c r="AE22" s="224"/>
      <c r="AM22" s="328" t="s">
        <v>1259</v>
      </c>
      <c r="AN22" s="331" t="s">
        <v>1260</v>
      </c>
    </row>
    <row r="23" ht="82.5" hidden="1" spans="1:40">
      <c r="A23" s="213">
        <v>18</v>
      </c>
      <c r="B23" s="214" t="s">
        <v>1261</v>
      </c>
      <c r="C23" s="213" t="s">
        <v>1262</v>
      </c>
      <c r="D23" s="13" t="s">
        <v>1263</v>
      </c>
      <c r="E23" s="12" t="s">
        <v>1264</v>
      </c>
      <c r="F23" s="11" t="s">
        <v>416</v>
      </c>
      <c r="G23" s="11" t="s">
        <v>1265</v>
      </c>
      <c r="H23" s="11" t="s">
        <v>1266</v>
      </c>
      <c r="I23" s="229" t="s">
        <v>1267</v>
      </c>
      <c r="J23" s="229" t="s">
        <v>1268</v>
      </c>
      <c r="K23" s="35" t="s">
        <v>1269</v>
      </c>
      <c r="L23" s="60">
        <v>44843</v>
      </c>
      <c r="M23" s="35">
        <v>44901</v>
      </c>
      <c r="N23" s="40" t="s">
        <v>401</v>
      </c>
      <c r="O23" s="244">
        <v>5</v>
      </c>
      <c r="P23" s="35">
        <v>44922</v>
      </c>
      <c r="Q23" s="35"/>
      <c r="R23" s="11" t="s">
        <v>476</v>
      </c>
      <c r="S23" s="52">
        <v>44901</v>
      </c>
      <c r="T23" s="52">
        <v>44901</v>
      </c>
      <c r="U23" s="52" t="s">
        <v>44</v>
      </c>
      <c r="V23" s="52">
        <v>44902</v>
      </c>
      <c r="W23" s="52">
        <v>44902</v>
      </c>
      <c r="X23" s="35" t="s">
        <v>152</v>
      </c>
      <c r="Z23" s="11" t="s">
        <v>1103</v>
      </c>
      <c r="AA23" s="213" t="s">
        <v>294</v>
      </c>
      <c r="AB23" s="213" t="s">
        <v>294</v>
      </c>
      <c r="AC23" s="224"/>
      <c r="AD23" s="224"/>
      <c r="AE23" s="224"/>
      <c r="AN23" s="328" t="s">
        <v>1270</v>
      </c>
    </row>
    <row r="24" ht="90" hidden="1" customHeight="1" spans="1:40">
      <c r="A24" s="213">
        <v>19</v>
      </c>
      <c r="B24" s="214" t="s">
        <v>1271</v>
      </c>
      <c r="C24" s="213" t="s">
        <v>1272</v>
      </c>
      <c r="D24" s="221" t="s">
        <v>1273</v>
      </c>
      <c r="E24" s="12" t="s">
        <v>1274</v>
      </c>
      <c r="F24" s="11" t="s">
        <v>408</v>
      </c>
      <c r="G24" s="11" t="s">
        <v>1275</v>
      </c>
      <c r="H24" s="11" t="s">
        <v>1276</v>
      </c>
      <c r="I24" s="229" t="s">
        <v>1277</v>
      </c>
      <c r="J24" s="229" t="s">
        <v>1278</v>
      </c>
      <c r="K24" s="35" t="s">
        <v>1279</v>
      </c>
      <c r="L24" s="60">
        <v>44831</v>
      </c>
      <c r="M24" s="35">
        <v>44893</v>
      </c>
      <c r="N24" s="40" t="s">
        <v>401</v>
      </c>
      <c r="O24" s="244">
        <v>1.2</v>
      </c>
      <c r="P24" s="35">
        <v>44939</v>
      </c>
      <c r="Q24" s="35"/>
      <c r="R24" s="11" t="s">
        <v>529</v>
      </c>
      <c r="S24" s="52">
        <v>44897</v>
      </c>
      <c r="T24" s="52">
        <v>44897</v>
      </c>
      <c r="U24" s="52" t="s">
        <v>44</v>
      </c>
      <c r="V24" s="52">
        <v>44896</v>
      </c>
      <c r="W24" s="52">
        <v>44896</v>
      </c>
      <c r="X24" s="35" t="s">
        <v>1280</v>
      </c>
      <c r="Z24" s="11" t="s">
        <v>2113</v>
      </c>
      <c r="AA24" s="213"/>
      <c r="AB24" s="213"/>
      <c r="AC24" s="258" t="s">
        <v>1077</v>
      </c>
      <c r="AD24" s="258" t="s">
        <v>1077</v>
      </c>
      <c r="AE24" s="224"/>
      <c r="AN24" s="328" t="s">
        <v>1281</v>
      </c>
    </row>
    <row r="25" s="200" customFormat="1" ht="90" customHeight="1" spans="1:40">
      <c r="A25" s="217">
        <v>20</v>
      </c>
      <c r="B25" s="218" t="s">
        <v>1282</v>
      </c>
      <c r="C25" s="217" t="s">
        <v>1283</v>
      </c>
      <c r="D25" s="223"/>
      <c r="E25" s="218" t="s">
        <v>1284</v>
      </c>
      <c r="F25" s="217" t="s">
        <v>1285</v>
      </c>
      <c r="G25" s="326" t="s">
        <v>1286</v>
      </c>
      <c r="H25" s="217" t="s">
        <v>1287</v>
      </c>
      <c r="I25" s="230" t="s">
        <v>1288</v>
      </c>
      <c r="J25" s="230" t="s">
        <v>1289</v>
      </c>
      <c r="K25" s="231" t="s">
        <v>1290</v>
      </c>
      <c r="L25" s="231">
        <v>44831</v>
      </c>
      <c r="M25" s="51">
        <v>44893</v>
      </c>
      <c r="N25" s="37" t="s">
        <v>401</v>
      </c>
      <c r="O25" s="243">
        <v>0.2</v>
      </c>
      <c r="P25" s="51">
        <v>44939</v>
      </c>
      <c r="Q25" s="51"/>
      <c r="R25" s="217" t="s">
        <v>529</v>
      </c>
      <c r="S25" s="250">
        <v>44897</v>
      </c>
      <c r="T25" s="250">
        <v>44897</v>
      </c>
      <c r="U25" s="250" t="s">
        <v>44</v>
      </c>
      <c r="V25" s="250">
        <v>44896</v>
      </c>
      <c r="W25" s="250">
        <v>44896</v>
      </c>
      <c r="X25" s="51" t="s">
        <v>1280</v>
      </c>
      <c r="Z25" s="217" t="s">
        <v>1103</v>
      </c>
      <c r="AA25" s="217" t="s">
        <v>294</v>
      </c>
      <c r="AB25" s="254" t="s">
        <v>46</v>
      </c>
      <c r="AC25" s="257"/>
      <c r="AD25" s="258"/>
      <c r="AE25" s="258"/>
      <c r="AN25" s="331" t="s">
        <v>1291</v>
      </c>
    </row>
    <row r="26" ht="90" hidden="1" customHeight="1" spans="1:40">
      <c r="A26" s="213">
        <v>1</v>
      </c>
      <c r="B26" s="214" t="s">
        <v>1292</v>
      </c>
      <c r="C26" s="213" t="s">
        <v>1151</v>
      </c>
      <c r="D26" s="216" t="s">
        <v>1293</v>
      </c>
      <c r="E26" s="12" t="s">
        <v>1294</v>
      </c>
      <c r="F26" s="11" t="s">
        <v>416</v>
      </c>
      <c r="G26" s="323" t="s">
        <v>1295</v>
      </c>
      <c r="H26" s="213" t="s">
        <v>1151</v>
      </c>
      <c r="I26" s="229" t="s">
        <v>1296</v>
      </c>
      <c r="J26" s="11" t="s">
        <v>1297</v>
      </c>
      <c r="K26" s="35" t="s">
        <v>1298</v>
      </c>
      <c r="L26" s="60">
        <v>44981</v>
      </c>
      <c r="M26" s="35">
        <v>45030</v>
      </c>
      <c r="N26" s="40" t="s">
        <v>401</v>
      </c>
      <c r="O26" s="244">
        <v>5</v>
      </c>
      <c r="P26" s="35">
        <v>45054</v>
      </c>
      <c r="Q26" s="35"/>
      <c r="R26" s="11" t="s">
        <v>529</v>
      </c>
      <c r="S26" s="52">
        <v>45034</v>
      </c>
      <c r="T26" s="52">
        <v>45034</v>
      </c>
      <c r="U26" s="52" t="s">
        <v>44</v>
      </c>
      <c r="V26" s="52">
        <v>45034</v>
      </c>
      <c r="W26" s="52">
        <v>45034</v>
      </c>
      <c r="X26" s="35" t="s">
        <v>1299</v>
      </c>
      <c r="Z26" s="213" t="s">
        <v>1300</v>
      </c>
      <c r="AA26" s="213" t="s">
        <v>294</v>
      </c>
      <c r="AB26" s="213" t="s">
        <v>294</v>
      </c>
      <c r="AC26" s="224"/>
      <c r="AD26" s="224"/>
      <c r="AE26" s="224"/>
      <c r="AN26" s="328" t="s">
        <v>1301</v>
      </c>
    </row>
    <row r="27" ht="90" hidden="1" customHeight="1" spans="1:40">
      <c r="A27" s="213">
        <v>2</v>
      </c>
      <c r="B27" s="214" t="s">
        <v>1302</v>
      </c>
      <c r="C27" s="213" t="s">
        <v>1303</v>
      </c>
      <c r="D27" s="13" t="s">
        <v>1304</v>
      </c>
      <c r="E27" s="12" t="s">
        <v>1305</v>
      </c>
      <c r="F27" s="11" t="s">
        <v>509</v>
      </c>
      <c r="G27" s="323" t="s">
        <v>1306</v>
      </c>
      <c r="H27" s="11" t="s">
        <v>694</v>
      </c>
      <c r="I27" s="229" t="s">
        <v>1307</v>
      </c>
      <c r="J27" s="11" t="s">
        <v>1308</v>
      </c>
      <c r="K27" s="35" t="s">
        <v>1309</v>
      </c>
      <c r="L27" s="60">
        <v>44994</v>
      </c>
      <c r="M27" s="35">
        <v>45054</v>
      </c>
      <c r="N27" s="40" t="s">
        <v>401</v>
      </c>
      <c r="O27" s="244">
        <v>0.2</v>
      </c>
      <c r="P27" s="35">
        <v>45070</v>
      </c>
      <c r="Q27" s="35"/>
      <c r="R27" s="11" t="s">
        <v>960</v>
      </c>
      <c r="S27" s="52">
        <v>45056</v>
      </c>
      <c r="T27" s="52">
        <v>45056</v>
      </c>
      <c r="U27" s="52" t="s">
        <v>44</v>
      </c>
      <c r="V27" s="52">
        <v>45055</v>
      </c>
      <c r="W27" s="52">
        <v>45055</v>
      </c>
      <c r="X27" s="35" t="s">
        <v>1299</v>
      </c>
      <c r="Z27" s="213" t="s">
        <v>1300</v>
      </c>
      <c r="AA27" s="213" t="s">
        <v>294</v>
      </c>
      <c r="AB27" s="213" t="s">
        <v>294</v>
      </c>
      <c r="AC27" s="224"/>
      <c r="AD27" s="224"/>
      <c r="AE27" s="224"/>
      <c r="AN27" s="328" t="s">
        <v>1310</v>
      </c>
    </row>
    <row r="28" ht="90" hidden="1" customHeight="1" spans="1:40">
      <c r="A28" s="213">
        <v>3</v>
      </c>
      <c r="B28" s="214" t="s">
        <v>1311</v>
      </c>
      <c r="C28" s="213" t="s">
        <v>1303</v>
      </c>
      <c r="D28" s="13"/>
      <c r="E28" s="12" t="s">
        <v>1312</v>
      </c>
      <c r="F28" s="11" t="s">
        <v>516</v>
      </c>
      <c r="G28" s="323" t="s">
        <v>1313</v>
      </c>
      <c r="H28" s="11" t="s">
        <v>694</v>
      </c>
      <c r="I28" s="229" t="s">
        <v>1314</v>
      </c>
      <c r="J28" s="11" t="s">
        <v>1315</v>
      </c>
      <c r="K28" s="35" t="s">
        <v>1316</v>
      </c>
      <c r="L28" s="60">
        <v>44994</v>
      </c>
      <c r="M28" s="35">
        <v>45054</v>
      </c>
      <c r="N28" s="40" t="s">
        <v>401</v>
      </c>
      <c r="O28" s="244">
        <v>0.2</v>
      </c>
      <c r="P28" s="35">
        <v>45070</v>
      </c>
      <c r="Q28" s="35"/>
      <c r="R28" s="11" t="s">
        <v>960</v>
      </c>
      <c r="S28" s="52">
        <v>45056</v>
      </c>
      <c r="T28" s="52">
        <v>45056</v>
      </c>
      <c r="U28" s="52" t="s">
        <v>44</v>
      </c>
      <c r="V28" s="52">
        <v>45055</v>
      </c>
      <c r="W28" s="52">
        <v>45055</v>
      </c>
      <c r="X28" s="35" t="s">
        <v>1299</v>
      </c>
      <c r="Z28" s="213" t="s">
        <v>1300</v>
      </c>
      <c r="AA28" s="213" t="s">
        <v>294</v>
      </c>
      <c r="AB28" s="213" t="s">
        <v>294</v>
      </c>
      <c r="AC28" s="224"/>
      <c r="AD28" s="224"/>
      <c r="AE28" s="224"/>
      <c r="AN28" s="328" t="s">
        <v>1317</v>
      </c>
    </row>
    <row r="29" ht="90" hidden="1" customHeight="1" spans="1:40">
      <c r="A29" s="213">
        <v>4</v>
      </c>
      <c r="B29" s="214" t="s">
        <v>1318</v>
      </c>
      <c r="C29" s="213" t="s">
        <v>1303</v>
      </c>
      <c r="D29" s="13"/>
      <c r="E29" s="12" t="s">
        <v>1319</v>
      </c>
      <c r="F29" s="11" t="s">
        <v>416</v>
      </c>
      <c r="G29" s="323" t="s">
        <v>1320</v>
      </c>
      <c r="H29" s="11" t="s">
        <v>694</v>
      </c>
      <c r="I29" s="229" t="s">
        <v>1321</v>
      </c>
      <c r="J29" s="11" t="s">
        <v>1322</v>
      </c>
      <c r="K29" s="35" t="s">
        <v>1323</v>
      </c>
      <c r="L29" s="60">
        <v>44994</v>
      </c>
      <c r="M29" s="35">
        <v>45054</v>
      </c>
      <c r="N29" s="40" t="s">
        <v>401</v>
      </c>
      <c r="O29" s="244">
        <v>1.2</v>
      </c>
      <c r="P29" s="35">
        <v>45076</v>
      </c>
      <c r="Q29" s="35"/>
      <c r="R29" s="11" t="s">
        <v>960</v>
      </c>
      <c r="S29" s="52">
        <v>45056</v>
      </c>
      <c r="T29" s="52">
        <v>45056</v>
      </c>
      <c r="U29" s="52" t="s">
        <v>44</v>
      </c>
      <c r="V29" s="52">
        <v>45055</v>
      </c>
      <c r="W29" s="52">
        <v>45055</v>
      </c>
      <c r="X29" s="35" t="s">
        <v>1299</v>
      </c>
      <c r="Z29" s="213" t="s">
        <v>1300</v>
      </c>
      <c r="AA29" s="213" t="s">
        <v>294</v>
      </c>
      <c r="AB29" s="213" t="s">
        <v>294</v>
      </c>
      <c r="AC29" s="224"/>
      <c r="AD29" s="224"/>
      <c r="AE29" s="224"/>
      <c r="AN29" s="328" t="s">
        <v>1324</v>
      </c>
    </row>
    <row r="30" ht="90" hidden="1" customHeight="1" spans="1:40">
      <c r="A30" s="213">
        <v>5</v>
      </c>
      <c r="B30" s="214" t="s">
        <v>1325</v>
      </c>
      <c r="C30" s="213" t="s">
        <v>1326</v>
      </c>
      <c r="D30" s="220" t="s">
        <v>1327</v>
      </c>
      <c r="E30" s="12" t="s">
        <v>272</v>
      </c>
      <c r="F30" s="11" t="s">
        <v>416</v>
      </c>
      <c r="G30" s="323" t="s">
        <v>273</v>
      </c>
      <c r="H30" s="11" t="s">
        <v>718</v>
      </c>
      <c r="I30" s="229" t="s">
        <v>1328</v>
      </c>
      <c r="J30" s="11" t="s">
        <v>1329</v>
      </c>
      <c r="K30" s="35" t="s">
        <v>1330</v>
      </c>
      <c r="L30" s="60">
        <v>45001</v>
      </c>
      <c r="M30" s="35">
        <v>45062</v>
      </c>
      <c r="N30" s="40" t="s">
        <v>401</v>
      </c>
      <c r="O30" s="244">
        <v>1.2</v>
      </c>
      <c r="P30" s="35">
        <v>45076</v>
      </c>
      <c r="Q30" s="35"/>
      <c r="R30" s="11" t="s">
        <v>476</v>
      </c>
      <c r="S30" s="52">
        <v>45064</v>
      </c>
      <c r="T30" s="52">
        <v>45064</v>
      </c>
      <c r="U30" s="52" t="s">
        <v>44</v>
      </c>
      <c r="V30" s="52">
        <v>45064</v>
      </c>
      <c r="W30" s="52">
        <v>45064</v>
      </c>
      <c r="X30" s="35" t="s">
        <v>1299</v>
      </c>
      <c r="Z30" s="213" t="s">
        <v>1300</v>
      </c>
      <c r="AA30" s="213" t="s">
        <v>294</v>
      </c>
      <c r="AB30" s="213" t="s">
        <v>294</v>
      </c>
      <c r="AC30" s="224"/>
      <c r="AD30" s="224"/>
      <c r="AE30" s="224"/>
      <c r="AN30" s="328" t="s">
        <v>1331</v>
      </c>
    </row>
    <row r="31" ht="90" hidden="1" customHeight="1" spans="1:40">
      <c r="A31" s="213">
        <v>6</v>
      </c>
      <c r="B31" s="214" t="s">
        <v>1332</v>
      </c>
      <c r="C31" s="213" t="s">
        <v>1333</v>
      </c>
      <c r="D31" s="220"/>
      <c r="E31" s="12" t="s">
        <v>1334</v>
      </c>
      <c r="F31" s="11" t="s">
        <v>509</v>
      </c>
      <c r="G31" s="323" t="s">
        <v>1335</v>
      </c>
      <c r="H31" s="11" t="s">
        <v>1336</v>
      </c>
      <c r="I31" s="229" t="s">
        <v>1337</v>
      </c>
      <c r="J31" s="11" t="s">
        <v>1338</v>
      </c>
      <c r="K31" s="35" t="s">
        <v>1339</v>
      </c>
      <c r="L31" s="60">
        <v>45001</v>
      </c>
      <c r="M31" s="35">
        <v>45062</v>
      </c>
      <c r="N31" s="40" t="s">
        <v>401</v>
      </c>
      <c r="O31" s="244">
        <v>0.2</v>
      </c>
      <c r="P31" s="35">
        <v>45076</v>
      </c>
      <c r="Q31" s="35"/>
      <c r="R31" s="11" t="s">
        <v>476</v>
      </c>
      <c r="S31" s="52">
        <v>45064</v>
      </c>
      <c r="T31" s="52">
        <v>45064</v>
      </c>
      <c r="U31" s="52" t="s">
        <v>44</v>
      </c>
      <c r="V31" s="52">
        <v>45064</v>
      </c>
      <c r="W31" s="52">
        <v>45064</v>
      </c>
      <c r="X31" s="35" t="s">
        <v>1299</v>
      </c>
      <c r="Z31" s="213" t="s">
        <v>1300</v>
      </c>
      <c r="AA31" s="213" t="s">
        <v>294</v>
      </c>
      <c r="AB31" s="213" t="s">
        <v>294</v>
      </c>
      <c r="AC31" s="224"/>
      <c r="AD31" s="224"/>
      <c r="AE31" s="224"/>
      <c r="AN31" s="328" t="s">
        <v>1340</v>
      </c>
    </row>
    <row r="32" ht="90" hidden="1" customHeight="1" spans="1:40">
      <c r="A32" s="213">
        <v>7</v>
      </c>
      <c r="B32" s="214" t="s">
        <v>1341</v>
      </c>
      <c r="C32" s="213" t="s">
        <v>1342</v>
      </c>
      <c r="D32" s="216"/>
      <c r="E32" s="12" t="s">
        <v>1343</v>
      </c>
      <c r="F32" s="11" t="s">
        <v>516</v>
      </c>
      <c r="G32" s="323" t="s">
        <v>1344</v>
      </c>
      <c r="H32" s="11" t="s">
        <v>1345</v>
      </c>
      <c r="I32" s="229" t="s">
        <v>1346</v>
      </c>
      <c r="J32" s="11" t="s">
        <v>1347</v>
      </c>
      <c r="K32" s="35" t="s">
        <v>1348</v>
      </c>
      <c r="L32" s="60">
        <v>45001</v>
      </c>
      <c r="M32" s="35">
        <v>45062</v>
      </c>
      <c r="N32" s="40" t="s">
        <v>401</v>
      </c>
      <c r="O32" s="244">
        <v>0.2</v>
      </c>
      <c r="P32" s="35">
        <v>45076</v>
      </c>
      <c r="Q32" s="35"/>
      <c r="R32" s="11" t="s">
        <v>476</v>
      </c>
      <c r="S32" s="52">
        <v>45064</v>
      </c>
      <c r="T32" s="52">
        <v>45064</v>
      </c>
      <c r="U32" s="52" t="s">
        <v>44</v>
      </c>
      <c r="V32" s="52">
        <v>45064</v>
      </c>
      <c r="W32" s="52">
        <v>45064</v>
      </c>
      <c r="X32" s="35" t="s">
        <v>1299</v>
      </c>
      <c r="Z32" s="213" t="s">
        <v>1300</v>
      </c>
      <c r="AA32" s="213" t="s">
        <v>294</v>
      </c>
      <c r="AB32" s="213" t="s">
        <v>294</v>
      </c>
      <c r="AC32" s="224"/>
      <c r="AD32" s="224"/>
      <c r="AE32" s="224"/>
      <c r="AN32" s="328" t="s">
        <v>1349</v>
      </c>
    </row>
    <row r="33" ht="90" hidden="1" customHeight="1" spans="1:40">
      <c r="A33" s="213">
        <v>8</v>
      </c>
      <c r="B33" s="214" t="s">
        <v>1350</v>
      </c>
      <c r="C33" s="213" t="s">
        <v>1351</v>
      </c>
      <c r="D33" s="216" t="s">
        <v>1352</v>
      </c>
      <c r="E33" s="12" t="s">
        <v>298</v>
      </c>
      <c r="F33" s="11" t="s">
        <v>416</v>
      </c>
      <c r="G33" s="323" t="s">
        <v>299</v>
      </c>
      <c r="H33" s="11" t="s">
        <v>1226</v>
      </c>
      <c r="I33" s="229" t="s">
        <v>1353</v>
      </c>
      <c r="J33" s="11" t="s">
        <v>1354</v>
      </c>
      <c r="K33" s="35" t="s">
        <v>1355</v>
      </c>
      <c r="L33" s="60">
        <v>45009</v>
      </c>
      <c r="M33" s="35">
        <v>45092</v>
      </c>
      <c r="N33" s="40" t="s">
        <v>401</v>
      </c>
      <c r="O33" s="244">
        <v>10</v>
      </c>
      <c r="P33" s="35">
        <v>45111</v>
      </c>
      <c r="Q33" s="35"/>
      <c r="R33" s="11" t="s">
        <v>960</v>
      </c>
      <c r="S33" s="52">
        <v>45093</v>
      </c>
      <c r="T33" s="52">
        <v>45093</v>
      </c>
      <c r="U33" s="52" t="s">
        <v>44</v>
      </c>
      <c r="V33" s="52">
        <v>45093</v>
      </c>
      <c r="W33" s="52">
        <v>45093</v>
      </c>
      <c r="X33" s="35" t="s">
        <v>198</v>
      </c>
      <c r="Z33" s="213" t="s">
        <v>1356</v>
      </c>
      <c r="AA33" s="253" t="s">
        <v>294</v>
      </c>
      <c r="AB33" s="253" t="s">
        <v>294</v>
      </c>
      <c r="AC33" s="259"/>
      <c r="AD33" s="224"/>
      <c r="AE33" s="224"/>
      <c r="AN33" s="328" t="s">
        <v>1357</v>
      </c>
    </row>
    <row r="34" ht="90" hidden="1" customHeight="1" spans="1:40">
      <c r="A34" s="213">
        <v>9</v>
      </c>
      <c r="B34" s="214" t="s">
        <v>1358</v>
      </c>
      <c r="C34" s="213" t="s">
        <v>1359</v>
      </c>
      <c r="D34" s="220" t="s">
        <v>1202</v>
      </c>
      <c r="E34" s="12" t="s">
        <v>282</v>
      </c>
      <c r="F34" s="11" t="s">
        <v>416</v>
      </c>
      <c r="G34" s="323" t="s">
        <v>283</v>
      </c>
      <c r="H34" s="11" t="s">
        <v>1226</v>
      </c>
      <c r="I34" s="229" t="s">
        <v>1360</v>
      </c>
      <c r="J34" s="11" t="s">
        <v>1361</v>
      </c>
      <c r="K34" s="35" t="s">
        <v>1362</v>
      </c>
      <c r="L34" s="60">
        <v>45013</v>
      </c>
      <c r="M34" s="35">
        <v>45092</v>
      </c>
      <c r="N34" s="40" t="s">
        <v>401</v>
      </c>
      <c r="O34" s="244">
        <v>10</v>
      </c>
      <c r="P34" s="35">
        <v>45103</v>
      </c>
      <c r="Q34" s="35"/>
      <c r="R34" s="11" t="s">
        <v>960</v>
      </c>
      <c r="S34" s="52">
        <v>45093</v>
      </c>
      <c r="T34" s="52">
        <v>45093</v>
      </c>
      <c r="U34" s="52" t="s">
        <v>44</v>
      </c>
      <c r="V34" s="52">
        <v>45093</v>
      </c>
      <c r="W34" s="52">
        <v>45093</v>
      </c>
      <c r="X34" s="35" t="s">
        <v>1299</v>
      </c>
      <c r="Z34" s="213" t="s">
        <v>1300</v>
      </c>
      <c r="AA34" s="213" t="s">
        <v>294</v>
      </c>
      <c r="AB34" s="213" t="s">
        <v>294</v>
      </c>
      <c r="AC34" s="224"/>
      <c r="AD34" s="224"/>
      <c r="AE34" s="224"/>
      <c r="AN34" s="328" t="s">
        <v>1363</v>
      </c>
    </row>
    <row r="35" ht="90" hidden="1" customHeight="1" spans="1:40">
      <c r="A35" s="213">
        <v>10</v>
      </c>
      <c r="B35" s="214" t="s">
        <v>1364</v>
      </c>
      <c r="C35" s="213" t="s">
        <v>1365</v>
      </c>
      <c r="D35" s="216"/>
      <c r="E35" s="12" t="s">
        <v>1366</v>
      </c>
      <c r="F35" s="11" t="s">
        <v>408</v>
      </c>
      <c r="G35" s="323" t="s">
        <v>1367</v>
      </c>
      <c r="H35" s="11" t="s">
        <v>1226</v>
      </c>
      <c r="I35" s="229" t="s">
        <v>1368</v>
      </c>
      <c r="J35" s="11" t="s">
        <v>1369</v>
      </c>
      <c r="K35" s="35" t="s">
        <v>1370</v>
      </c>
      <c r="L35" s="60">
        <v>45013</v>
      </c>
      <c r="M35" s="35">
        <v>45092</v>
      </c>
      <c r="N35" s="40" t="s">
        <v>401</v>
      </c>
      <c r="O35" s="244">
        <v>10</v>
      </c>
      <c r="P35" s="35">
        <v>45111</v>
      </c>
      <c r="Q35" s="35"/>
      <c r="R35" s="11" t="s">
        <v>960</v>
      </c>
      <c r="S35" s="52">
        <v>45093</v>
      </c>
      <c r="T35" s="52">
        <v>45093</v>
      </c>
      <c r="U35" s="52" t="s">
        <v>44</v>
      </c>
      <c r="V35" s="52">
        <v>45093</v>
      </c>
      <c r="W35" s="52">
        <v>45093</v>
      </c>
      <c r="X35" s="35" t="s">
        <v>198</v>
      </c>
      <c r="Z35" s="213" t="s">
        <v>2114</v>
      </c>
      <c r="AA35" s="213" t="s">
        <v>294</v>
      </c>
      <c r="AB35" s="213" t="s">
        <v>294</v>
      </c>
      <c r="AC35" s="259"/>
      <c r="AD35" s="224"/>
      <c r="AE35" s="224"/>
      <c r="AN35" s="328" t="s">
        <v>1371</v>
      </c>
    </row>
    <row r="36" ht="90" hidden="1" customHeight="1" spans="1:40">
      <c r="A36" s="213">
        <v>11</v>
      </c>
      <c r="B36" s="214" t="s">
        <v>1372</v>
      </c>
      <c r="C36" s="213" t="s">
        <v>1373</v>
      </c>
      <c r="D36" s="13" t="s">
        <v>1374</v>
      </c>
      <c r="E36" s="12" t="s">
        <v>1375</v>
      </c>
      <c r="F36" s="11" t="s">
        <v>408</v>
      </c>
      <c r="G36" s="323" t="s">
        <v>1376</v>
      </c>
      <c r="H36" s="11" t="s">
        <v>1151</v>
      </c>
      <c r="I36" s="229" t="s">
        <v>1377</v>
      </c>
      <c r="J36" s="11" t="s">
        <v>1378</v>
      </c>
      <c r="K36" s="35" t="s">
        <v>1379</v>
      </c>
      <c r="L36" s="60">
        <v>45014</v>
      </c>
      <c r="M36" s="35">
        <v>45077</v>
      </c>
      <c r="N36" s="40" t="s">
        <v>401</v>
      </c>
      <c r="O36" s="244">
        <v>5</v>
      </c>
      <c r="P36" s="35">
        <v>45086</v>
      </c>
      <c r="Q36" s="35"/>
      <c r="R36" s="11" t="s">
        <v>529</v>
      </c>
      <c r="S36" s="52">
        <v>45079</v>
      </c>
      <c r="T36" s="52">
        <v>45079</v>
      </c>
      <c r="U36" s="52" t="s">
        <v>44</v>
      </c>
      <c r="V36" s="52">
        <v>45078</v>
      </c>
      <c r="W36" s="52">
        <v>45077</v>
      </c>
      <c r="X36" s="35" t="s">
        <v>1299</v>
      </c>
      <c r="Z36" s="213" t="s">
        <v>1300</v>
      </c>
      <c r="AA36" s="213" t="s">
        <v>294</v>
      </c>
      <c r="AB36" s="213" t="s">
        <v>294</v>
      </c>
      <c r="AC36" s="224"/>
      <c r="AD36" s="224"/>
      <c r="AE36" s="224"/>
      <c r="AN36" s="328" t="s">
        <v>1380</v>
      </c>
    </row>
    <row r="37" ht="90" hidden="1" customHeight="1" spans="1:40">
      <c r="A37" s="213">
        <v>12</v>
      </c>
      <c r="B37" s="214" t="s">
        <v>1381</v>
      </c>
      <c r="C37" s="213" t="s">
        <v>1382</v>
      </c>
      <c r="D37" s="221" t="s">
        <v>1383</v>
      </c>
      <c r="E37" s="12" t="s">
        <v>1384</v>
      </c>
      <c r="F37" s="11" t="s">
        <v>408</v>
      </c>
      <c r="G37" s="323" t="s">
        <v>1385</v>
      </c>
      <c r="H37" s="11" t="s">
        <v>1386</v>
      </c>
      <c r="I37" s="229" t="s">
        <v>1387</v>
      </c>
      <c r="J37" s="11" t="s">
        <v>1388</v>
      </c>
      <c r="K37" s="35" t="s">
        <v>1389</v>
      </c>
      <c r="L37" s="60">
        <v>45033</v>
      </c>
      <c r="M37" s="35">
        <v>45112</v>
      </c>
      <c r="N37" s="241" t="s">
        <v>401</v>
      </c>
      <c r="O37" s="244">
        <v>1.2</v>
      </c>
      <c r="P37" s="35">
        <v>45138</v>
      </c>
      <c r="Q37" s="35"/>
      <c r="R37" s="11" t="s">
        <v>529</v>
      </c>
      <c r="S37" s="52">
        <v>45114</v>
      </c>
      <c r="T37" s="52">
        <v>45114</v>
      </c>
      <c r="U37" s="52" t="s">
        <v>44</v>
      </c>
      <c r="V37" s="52">
        <v>45117</v>
      </c>
      <c r="W37" s="52">
        <v>45113</v>
      </c>
      <c r="X37" s="35" t="s">
        <v>198</v>
      </c>
      <c r="Z37" s="213" t="s">
        <v>1356</v>
      </c>
      <c r="AA37" s="253" t="s">
        <v>294</v>
      </c>
      <c r="AB37" s="253" t="s">
        <v>294</v>
      </c>
      <c r="AC37" s="259"/>
      <c r="AD37" s="224"/>
      <c r="AE37" s="224"/>
      <c r="AN37" s="328" t="s">
        <v>1390</v>
      </c>
    </row>
    <row r="38" s="200" customFormat="1" ht="90" customHeight="1" spans="1:40">
      <c r="A38" s="217">
        <v>13</v>
      </c>
      <c r="B38" s="218" t="s">
        <v>1391</v>
      </c>
      <c r="C38" s="217" t="s">
        <v>1392</v>
      </c>
      <c r="D38" s="223"/>
      <c r="E38" s="218" t="s">
        <v>1393</v>
      </c>
      <c r="F38" s="217" t="s">
        <v>1394</v>
      </c>
      <c r="G38" s="326" t="s">
        <v>1395</v>
      </c>
      <c r="H38" s="217" t="s">
        <v>1396</v>
      </c>
      <c r="I38" s="230" t="s">
        <v>1397</v>
      </c>
      <c r="J38" s="217" t="s">
        <v>1398</v>
      </c>
      <c r="K38" s="231" t="s">
        <v>1399</v>
      </c>
      <c r="L38" s="231">
        <v>45033</v>
      </c>
      <c r="M38" s="51">
        <v>45112</v>
      </c>
      <c r="N38" s="37" t="s">
        <v>401</v>
      </c>
      <c r="O38" s="243">
        <v>0.2</v>
      </c>
      <c r="P38" s="51">
        <v>45138</v>
      </c>
      <c r="Q38" s="51"/>
      <c r="R38" s="217" t="s">
        <v>529</v>
      </c>
      <c r="S38" s="250">
        <v>45114</v>
      </c>
      <c r="T38" s="250">
        <v>45114</v>
      </c>
      <c r="U38" s="250" t="s">
        <v>44</v>
      </c>
      <c r="V38" s="250">
        <v>45117</v>
      </c>
      <c r="W38" s="250">
        <v>45113</v>
      </c>
      <c r="X38" s="51" t="s">
        <v>198</v>
      </c>
      <c r="Z38" s="255"/>
      <c r="AA38" s="254" t="s">
        <v>46</v>
      </c>
      <c r="AB38" s="256" t="s">
        <v>294</v>
      </c>
      <c r="AC38" s="260"/>
      <c r="AD38" s="258"/>
      <c r="AE38" s="258"/>
      <c r="AN38" s="331" t="s">
        <v>1401</v>
      </c>
    </row>
    <row r="39" ht="90" hidden="1" customHeight="1" spans="1:40">
      <c r="A39" s="213">
        <v>14</v>
      </c>
      <c r="B39" s="214" t="s">
        <v>1402</v>
      </c>
      <c r="C39" s="213" t="s">
        <v>1403</v>
      </c>
      <c r="D39" s="13" t="s">
        <v>1404</v>
      </c>
      <c r="E39" s="12" t="s">
        <v>1405</v>
      </c>
      <c r="F39" s="11" t="s">
        <v>408</v>
      </c>
      <c r="G39" s="323" t="s">
        <v>1406</v>
      </c>
      <c r="H39" s="11" t="s">
        <v>718</v>
      </c>
      <c r="I39" s="229" t="s">
        <v>1407</v>
      </c>
      <c r="J39" s="11" t="s">
        <v>1408</v>
      </c>
      <c r="K39" s="35" t="s">
        <v>1409</v>
      </c>
      <c r="L39" s="60">
        <v>45039</v>
      </c>
      <c r="M39" s="35">
        <v>45105</v>
      </c>
      <c r="N39" s="40" t="s">
        <v>401</v>
      </c>
      <c r="O39" s="244">
        <v>1.2</v>
      </c>
      <c r="P39" s="35">
        <v>45124</v>
      </c>
      <c r="Q39" s="35"/>
      <c r="R39" s="11" t="s">
        <v>476</v>
      </c>
      <c r="S39" s="52">
        <v>45107</v>
      </c>
      <c r="T39" s="52">
        <v>45113</v>
      </c>
      <c r="U39" s="52" t="s">
        <v>44</v>
      </c>
      <c r="V39" s="52">
        <v>45106</v>
      </c>
      <c r="W39" s="52">
        <v>45106</v>
      </c>
      <c r="X39" s="35" t="s">
        <v>198</v>
      </c>
      <c r="Z39" s="213" t="s">
        <v>1356</v>
      </c>
      <c r="AA39" s="253" t="s">
        <v>294</v>
      </c>
      <c r="AB39" s="253" t="s">
        <v>294</v>
      </c>
      <c r="AC39" s="259"/>
      <c r="AD39" s="224"/>
      <c r="AE39" s="224"/>
      <c r="AN39" s="328" t="s">
        <v>1410</v>
      </c>
    </row>
    <row r="40" ht="90" hidden="1" customHeight="1" spans="1:40">
      <c r="A40" s="213">
        <v>15</v>
      </c>
      <c r="B40" s="214" t="s">
        <v>1411</v>
      </c>
      <c r="C40" s="213" t="s">
        <v>1412</v>
      </c>
      <c r="D40" s="13"/>
      <c r="E40" s="12" t="s">
        <v>1413</v>
      </c>
      <c r="F40" s="11" t="s">
        <v>751</v>
      </c>
      <c r="G40" s="323" t="s">
        <v>1414</v>
      </c>
      <c r="H40" s="11" t="s">
        <v>1336</v>
      </c>
      <c r="I40" s="229" t="s">
        <v>1415</v>
      </c>
      <c r="J40" s="11" t="s">
        <v>1416</v>
      </c>
      <c r="K40" s="35" t="s">
        <v>1417</v>
      </c>
      <c r="L40" s="60">
        <v>45039</v>
      </c>
      <c r="M40" s="35">
        <v>45105</v>
      </c>
      <c r="N40" s="40" t="s">
        <v>401</v>
      </c>
      <c r="O40" s="244">
        <v>0.2</v>
      </c>
      <c r="P40" s="35">
        <v>45124</v>
      </c>
      <c r="Q40" s="35"/>
      <c r="R40" s="11" t="s">
        <v>476</v>
      </c>
      <c r="S40" s="52">
        <v>45107</v>
      </c>
      <c r="T40" s="52">
        <v>45113</v>
      </c>
      <c r="U40" s="52" t="s">
        <v>44</v>
      </c>
      <c r="V40" s="52">
        <v>45106</v>
      </c>
      <c r="W40" s="52">
        <v>45106</v>
      </c>
      <c r="X40" s="35" t="s">
        <v>198</v>
      </c>
      <c r="Z40" s="213" t="s">
        <v>1356</v>
      </c>
      <c r="AA40" s="253" t="s">
        <v>294</v>
      </c>
      <c r="AB40" s="253" t="s">
        <v>294</v>
      </c>
      <c r="AC40" s="259"/>
      <c r="AD40" s="224"/>
      <c r="AE40" s="224"/>
      <c r="AN40" s="328" t="s">
        <v>1418</v>
      </c>
    </row>
    <row r="41" ht="90" hidden="1" customHeight="1" spans="1:40">
      <c r="A41" s="213">
        <v>16</v>
      </c>
      <c r="B41" s="214" t="s">
        <v>1419</v>
      </c>
      <c r="C41" s="213" t="s">
        <v>1420</v>
      </c>
      <c r="D41" s="13"/>
      <c r="E41" s="12" t="s">
        <v>1421</v>
      </c>
      <c r="F41" s="11" t="s">
        <v>759</v>
      </c>
      <c r="G41" s="323" t="s">
        <v>1422</v>
      </c>
      <c r="H41" s="11" t="s">
        <v>1345</v>
      </c>
      <c r="I41" s="229" t="s">
        <v>1423</v>
      </c>
      <c r="J41" s="11" t="s">
        <v>1424</v>
      </c>
      <c r="K41" s="35" t="s">
        <v>1425</v>
      </c>
      <c r="L41" s="60">
        <v>45039</v>
      </c>
      <c r="M41" s="35">
        <v>45105</v>
      </c>
      <c r="N41" s="40" t="s">
        <v>401</v>
      </c>
      <c r="O41" s="244">
        <v>0.2</v>
      </c>
      <c r="P41" s="35">
        <v>45124</v>
      </c>
      <c r="Q41" s="35"/>
      <c r="R41" s="11" t="s">
        <v>476</v>
      </c>
      <c r="S41" s="52">
        <v>45107</v>
      </c>
      <c r="T41" s="52">
        <v>45113</v>
      </c>
      <c r="U41" s="52" t="s">
        <v>44</v>
      </c>
      <c r="V41" s="52">
        <v>45106</v>
      </c>
      <c r="W41" s="52">
        <v>45106</v>
      </c>
      <c r="X41" s="35" t="s">
        <v>198</v>
      </c>
      <c r="Z41" s="213" t="s">
        <v>2114</v>
      </c>
      <c r="AA41" s="253" t="s">
        <v>294</v>
      </c>
      <c r="AB41" s="253" t="s">
        <v>294</v>
      </c>
      <c r="AC41" s="259"/>
      <c r="AD41" s="224"/>
      <c r="AE41" s="224"/>
      <c r="AN41" s="328" t="s">
        <v>1426</v>
      </c>
    </row>
    <row r="42" ht="90" hidden="1" customHeight="1" spans="1:40">
      <c r="A42" s="213">
        <v>17</v>
      </c>
      <c r="B42" s="214" t="s">
        <v>1427</v>
      </c>
      <c r="C42" s="213" t="s">
        <v>1428</v>
      </c>
      <c r="D42" s="13" t="s">
        <v>1429</v>
      </c>
      <c r="E42" s="12" t="s">
        <v>415</v>
      </c>
      <c r="F42" s="11" t="s">
        <v>416</v>
      </c>
      <c r="G42" s="323" t="s">
        <v>1430</v>
      </c>
      <c r="H42" s="11" t="s">
        <v>1235</v>
      </c>
      <c r="I42" s="229" t="s">
        <v>1431</v>
      </c>
      <c r="J42" s="11" t="s">
        <v>1432</v>
      </c>
      <c r="K42" s="35" t="s">
        <v>1433</v>
      </c>
      <c r="L42" s="60">
        <v>45054</v>
      </c>
      <c r="M42" s="35">
        <v>45105</v>
      </c>
      <c r="N42" s="40" t="s">
        <v>401</v>
      </c>
      <c r="O42" s="244">
        <v>5</v>
      </c>
      <c r="P42" s="35">
        <v>45124</v>
      </c>
      <c r="Q42" s="35"/>
      <c r="R42" s="11" t="s">
        <v>476</v>
      </c>
      <c r="S42" s="52">
        <v>45107</v>
      </c>
      <c r="T42" s="52">
        <v>45113</v>
      </c>
      <c r="U42" s="52" t="s">
        <v>44</v>
      </c>
      <c r="V42" s="52">
        <v>45106</v>
      </c>
      <c r="W42" s="52">
        <v>45106</v>
      </c>
      <c r="X42" s="35" t="s">
        <v>198</v>
      </c>
      <c r="Z42" s="213" t="s">
        <v>2114</v>
      </c>
      <c r="AA42" s="253" t="s">
        <v>294</v>
      </c>
      <c r="AB42" s="253" t="s">
        <v>294</v>
      </c>
      <c r="AC42" s="259"/>
      <c r="AD42" s="224"/>
      <c r="AE42" s="224"/>
      <c r="AN42" s="328" t="s">
        <v>1434</v>
      </c>
    </row>
    <row r="43" ht="90" hidden="1" customHeight="1" spans="1:40">
      <c r="A43" s="213">
        <v>18</v>
      </c>
      <c r="B43" s="214" t="s">
        <v>1435</v>
      </c>
      <c r="C43" s="11" t="s">
        <v>1436</v>
      </c>
      <c r="D43" s="13" t="s">
        <v>1437</v>
      </c>
      <c r="E43" s="12" t="s">
        <v>1438</v>
      </c>
      <c r="F43" s="11" t="s">
        <v>416</v>
      </c>
      <c r="G43" s="323" t="s">
        <v>1439</v>
      </c>
      <c r="H43" s="11" t="s">
        <v>1440</v>
      </c>
      <c r="I43" s="229" t="s">
        <v>1441</v>
      </c>
      <c r="J43" s="11" t="s">
        <v>1442</v>
      </c>
      <c r="K43" s="35" t="s">
        <v>1443</v>
      </c>
      <c r="L43" s="60">
        <v>45077</v>
      </c>
      <c r="M43" s="35">
        <v>45153</v>
      </c>
      <c r="N43" s="40" t="s">
        <v>401</v>
      </c>
      <c r="O43" s="244">
        <v>10</v>
      </c>
      <c r="P43" s="35">
        <v>45159</v>
      </c>
      <c r="Q43" s="35"/>
      <c r="R43" s="11" t="s">
        <v>529</v>
      </c>
      <c r="S43" s="52">
        <v>45159</v>
      </c>
      <c r="T43" s="52">
        <v>45159</v>
      </c>
      <c r="U43" s="52" t="s">
        <v>44</v>
      </c>
      <c r="V43" s="52">
        <v>45154</v>
      </c>
      <c r="W43" s="52">
        <v>45154</v>
      </c>
      <c r="X43" s="35" t="s">
        <v>198</v>
      </c>
      <c r="Z43" s="213" t="s">
        <v>2114</v>
      </c>
      <c r="AA43" s="253" t="s">
        <v>294</v>
      </c>
      <c r="AB43" s="253" t="s">
        <v>294</v>
      </c>
      <c r="AC43" s="259"/>
      <c r="AD43" s="224"/>
      <c r="AE43" s="224"/>
      <c r="AN43" s="328" t="s">
        <v>1444</v>
      </c>
    </row>
    <row r="44" ht="90" hidden="1" customHeight="1" spans="1:40">
      <c r="A44" s="213">
        <v>19</v>
      </c>
      <c r="B44" s="214" t="s">
        <v>1445</v>
      </c>
      <c r="C44" s="213" t="s">
        <v>1446</v>
      </c>
      <c r="D44" s="13" t="s">
        <v>1447</v>
      </c>
      <c r="E44" s="12" t="s">
        <v>1448</v>
      </c>
      <c r="F44" s="11" t="s">
        <v>416</v>
      </c>
      <c r="G44" s="323" t="s">
        <v>1449</v>
      </c>
      <c r="H44" s="11" t="s">
        <v>1450</v>
      </c>
      <c r="I44" s="229" t="s">
        <v>1451</v>
      </c>
      <c r="J44" s="11" t="s">
        <v>1452</v>
      </c>
      <c r="K44" s="35" t="s">
        <v>1453</v>
      </c>
      <c r="L44" s="60">
        <v>45085</v>
      </c>
      <c r="M44" s="35">
        <v>45154</v>
      </c>
      <c r="N44" s="40" t="s">
        <v>401</v>
      </c>
      <c r="O44" s="244">
        <v>5</v>
      </c>
      <c r="P44" s="35">
        <v>45163</v>
      </c>
      <c r="Q44" s="35"/>
      <c r="R44" s="11" t="s">
        <v>476</v>
      </c>
      <c r="S44" s="52">
        <v>45156</v>
      </c>
      <c r="T44" s="52">
        <v>45159</v>
      </c>
      <c r="U44" s="52" t="s">
        <v>44</v>
      </c>
      <c r="V44" s="52">
        <v>45156</v>
      </c>
      <c r="W44" s="52">
        <v>45156</v>
      </c>
      <c r="X44" s="35" t="s">
        <v>198</v>
      </c>
      <c r="Z44" s="213" t="s">
        <v>1356</v>
      </c>
      <c r="AA44" s="253" t="s">
        <v>294</v>
      </c>
      <c r="AB44" s="253" t="s">
        <v>294</v>
      </c>
      <c r="AC44" s="259"/>
      <c r="AD44" s="224"/>
      <c r="AE44" s="224"/>
      <c r="AN44" s="328" t="s">
        <v>1455</v>
      </c>
    </row>
    <row r="45" ht="90" hidden="1" customHeight="1" spans="1:40">
      <c r="A45" s="213">
        <v>20</v>
      </c>
      <c r="B45" s="214" t="s">
        <v>1456</v>
      </c>
      <c r="C45" s="213" t="s">
        <v>1386</v>
      </c>
      <c r="D45" s="215" t="s">
        <v>1457</v>
      </c>
      <c r="E45" s="12" t="s">
        <v>1458</v>
      </c>
      <c r="F45" s="11" t="s">
        <v>408</v>
      </c>
      <c r="G45" s="323" t="s">
        <v>1459</v>
      </c>
      <c r="H45" s="11" t="s">
        <v>1386</v>
      </c>
      <c r="I45" s="229" t="s">
        <v>1460</v>
      </c>
      <c r="J45" s="11" t="s">
        <v>1461</v>
      </c>
      <c r="K45" s="35" t="s">
        <v>1462</v>
      </c>
      <c r="L45" s="60">
        <v>45092</v>
      </c>
      <c r="M45" s="35">
        <v>45180</v>
      </c>
      <c r="N45" s="241" t="s">
        <v>401</v>
      </c>
      <c r="O45" s="244">
        <v>1.2</v>
      </c>
      <c r="P45" s="35">
        <v>45189</v>
      </c>
      <c r="Q45" s="35"/>
      <c r="R45" s="11" t="s">
        <v>529</v>
      </c>
      <c r="S45" s="52">
        <v>45180</v>
      </c>
      <c r="T45" s="52">
        <v>45181</v>
      </c>
      <c r="U45" s="52" t="s">
        <v>44</v>
      </c>
      <c r="V45" s="52">
        <v>45180</v>
      </c>
      <c r="W45" s="52">
        <v>45180</v>
      </c>
      <c r="X45" s="35" t="s">
        <v>198</v>
      </c>
      <c r="Z45" s="213" t="s">
        <v>1356</v>
      </c>
      <c r="AA45" s="253" t="s">
        <v>294</v>
      </c>
      <c r="AB45" s="253" t="s">
        <v>294</v>
      </c>
      <c r="AC45" s="259"/>
      <c r="AD45" s="224"/>
      <c r="AE45" s="224"/>
      <c r="AN45" s="328" t="s">
        <v>1463</v>
      </c>
    </row>
    <row r="46" ht="90" hidden="1" customHeight="1" spans="1:40">
      <c r="A46" s="213">
        <v>21</v>
      </c>
      <c r="B46" s="214" t="s">
        <v>1464</v>
      </c>
      <c r="C46" s="213" t="s">
        <v>1386</v>
      </c>
      <c r="D46" s="216"/>
      <c r="E46" s="12" t="s">
        <v>1465</v>
      </c>
      <c r="F46" s="11" t="s">
        <v>751</v>
      </c>
      <c r="G46" s="323" t="s">
        <v>1466</v>
      </c>
      <c r="H46" s="11" t="s">
        <v>1386</v>
      </c>
      <c r="I46" s="229" t="s">
        <v>1467</v>
      </c>
      <c r="J46" s="11" t="s">
        <v>1468</v>
      </c>
      <c r="K46" s="35" t="s">
        <v>1469</v>
      </c>
      <c r="L46" s="60">
        <v>45092</v>
      </c>
      <c r="M46" s="35">
        <v>45180</v>
      </c>
      <c r="N46" s="241" t="s">
        <v>401</v>
      </c>
      <c r="O46" s="244">
        <v>0.2</v>
      </c>
      <c r="P46" s="35">
        <v>45189</v>
      </c>
      <c r="Q46" s="35"/>
      <c r="R46" s="11" t="s">
        <v>529</v>
      </c>
      <c r="S46" s="52">
        <v>45180</v>
      </c>
      <c r="T46" s="52">
        <v>45181</v>
      </c>
      <c r="U46" s="52" t="s">
        <v>44</v>
      </c>
      <c r="V46" s="52">
        <v>45180</v>
      </c>
      <c r="W46" s="52">
        <v>45180</v>
      </c>
      <c r="X46" s="35" t="s">
        <v>198</v>
      </c>
      <c r="Z46" s="213" t="s">
        <v>1356</v>
      </c>
      <c r="AA46" s="253" t="s">
        <v>294</v>
      </c>
      <c r="AB46" s="253" t="s">
        <v>294</v>
      </c>
      <c r="AC46" s="259"/>
      <c r="AD46" s="224"/>
      <c r="AE46" s="224"/>
      <c r="AN46" s="328" t="s">
        <v>1470</v>
      </c>
    </row>
    <row r="47" s="201" customFormat="1" ht="90" hidden="1" customHeight="1" spans="1:40">
      <c r="A47" s="11">
        <v>22</v>
      </c>
      <c r="B47" s="12" t="s">
        <v>1471</v>
      </c>
      <c r="C47" s="11" t="s">
        <v>1472</v>
      </c>
      <c r="D47" s="216" t="s">
        <v>1473</v>
      </c>
      <c r="E47" s="12" t="s">
        <v>1458</v>
      </c>
      <c r="F47" s="11" t="s">
        <v>408</v>
      </c>
      <c r="G47" s="323" t="s">
        <v>1459</v>
      </c>
      <c r="H47" s="11" t="s">
        <v>1373</v>
      </c>
      <c r="I47" s="229" t="s">
        <v>1474</v>
      </c>
      <c r="J47" s="11" t="s">
        <v>1475</v>
      </c>
      <c r="K47" s="35" t="s">
        <v>1476</v>
      </c>
      <c r="L47" s="60">
        <v>45126</v>
      </c>
      <c r="M47" s="35">
        <v>45208</v>
      </c>
      <c r="N47" s="40" t="s">
        <v>401</v>
      </c>
      <c r="O47" s="244">
        <v>5</v>
      </c>
      <c r="P47" s="35">
        <v>45222</v>
      </c>
      <c r="Q47" s="35"/>
      <c r="R47" s="11" t="s">
        <v>476</v>
      </c>
      <c r="S47" s="52">
        <v>45208</v>
      </c>
      <c r="T47" s="52">
        <v>45208</v>
      </c>
      <c r="U47" s="52" t="s">
        <v>44</v>
      </c>
      <c r="V47" s="52">
        <v>45209</v>
      </c>
      <c r="W47" s="52">
        <v>45208</v>
      </c>
      <c r="X47" s="35"/>
      <c r="Z47" s="11"/>
      <c r="AA47" s="253" t="s">
        <v>294</v>
      </c>
      <c r="AB47" s="253" t="s">
        <v>294</v>
      </c>
      <c r="AC47" s="234"/>
      <c r="AD47" s="234"/>
      <c r="AE47" s="234"/>
      <c r="AN47" s="328" t="s">
        <v>1478</v>
      </c>
    </row>
    <row r="48" s="201" customFormat="1" ht="90" hidden="1" customHeight="1" spans="1:40">
      <c r="A48" s="11">
        <v>23</v>
      </c>
      <c r="B48" s="12" t="s">
        <v>1479</v>
      </c>
      <c r="C48" s="11" t="s">
        <v>1480</v>
      </c>
      <c r="D48" s="216" t="s">
        <v>1481</v>
      </c>
      <c r="E48" s="12" t="s">
        <v>1482</v>
      </c>
      <c r="F48" s="11" t="s">
        <v>416</v>
      </c>
      <c r="G48" s="323" t="s">
        <v>1483</v>
      </c>
      <c r="H48" s="11" t="s">
        <v>1226</v>
      </c>
      <c r="I48" s="229" t="s">
        <v>1484</v>
      </c>
      <c r="J48" s="11" t="s">
        <v>1485</v>
      </c>
      <c r="K48" s="35" t="s">
        <v>1486</v>
      </c>
      <c r="L48" s="60">
        <v>45131</v>
      </c>
      <c r="M48" s="35">
        <v>45219</v>
      </c>
      <c r="N48" s="40" t="s">
        <v>401</v>
      </c>
      <c r="O48" s="244">
        <v>10</v>
      </c>
      <c r="P48" s="35">
        <v>45237</v>
      </c>
      <c r="Q48" s="35"/>
      <c r="R48" s="11" t="s">
        <v>529</v>
      </c>
      <c r="S48" s="52">
        <v>45222</v>
      </c>
      <c r="T48" s="52">
        <v>45222</v>
      </c>
      <c r="U48" s="52" t="s">
        <v>44</v>
      </c>
      <c r="V48" s="52">
        <v>45223</v>
      </c>
      <c r="W48" s="52">
        <v>45222</v>
      </c>
      <c r="X48" s="35"/>
      <c r="Z48" s="11"/>
      <c r="AA48" s="217"/>
      <c r="AB48" s="217"/>
      <c r="AC48" s="234"/>
      <c r="AD48" s="234"/>
      <c r="AE48" s="234"/>
      <c r="AN48" s="328" t="s">
        <v>1487</v>
      </c>
    </row>
    <row r="49" s="201" customFormat="1" ht="90" hidden="1" customHeight="1" spans="1:40">
      <c r="A49" s="11">
        <v>24</v>
      </c>
      <c r="B49" s="12" t="s">
        <v>1488</v>
      </c>
      <c r="C49" s="11" t="s">
        <v>660</v>
      </c>
      <c r="D49" s="220" t="s">
        <v>1489</v>
      </c>
      <c r="E49" s="12" t="s">
        <v>1490</v>
      </c>
      <c r="F49" s="11" t="s">
        <v>416</v>
      </c>
      <c r="G49" s="323" t="s">
        <v>1491</v>
      </c>
      <c r="H49" s="11" t="s">
        <v>660</v>
      </c>
      <c r="I49" s="229" t="s">
        <v>1492</v>
      </c>
      <c r="J49" s="11" t="s">
        <v>1493</v>
      </c>
      <c r="K49" s="35" t="s">
        <v>1494</v>
      </c>
      <c r="L49" s="60">
        <v>45135</v>
      </c>
      <c r="M49" s="35">
        <v>45219</v>
      </c>
      <c r="N49" s="40" t="s">
        <v>401</v>
      </c>
      <c r="O49" s="244">
        <v>1.2</v>
      </c>
      <c r="P49" s="35">
        <v>45236</v>
      </c>
      <c r="Q49" s="35"/>
      <c r="R49" s="11" t="s">
        <v>529</v>
      </c>
      <c r="S49" s="52">
        <v>45222</v>
      </c>
      <c r="T49" s="52">
        <v>45222</v>
      </c>
      <c r="U49" s="52" t="s">
        <v>44</v>
      </c>
      <c r="V49" s="52">
        <v>45223</v>
      </c>
      <c r="W49" s="52">
        <v>45222</v>
      </c>
      <c r="X49" s="35"/>
      <c r="Z49" s="11"/>
      <c r="AA49" s="253" t="s">
        <v>294</v>
      </c>
      <c r="AB49" s="253" t="s">
        <v>294</v>
      </c>
      <c r="AC49" s="234"/>
      <c r="AD49" s="234"/>
      <c r="AE49" s="234"/>
      <c r="AN49" s="328" t="s">
        <v>1495</v>
      </c>
    </row>
    <row r="50" s="201" customFormat="1" ht="90" hidden="1" customHeight="1" spans="1:40">
      <c r="A50" s="11">
        <v>25</v>
      </c>
      <c r="B50" s="12" t="s">
        <v>1496</v>
      </c>
      <c r="C50" s="11" t="s">
        <v>1497</v>
      </c>
      <c r="D50" s="220"/>
      <c r="E50" s="12" t="s">
        <v>1498</v>
      </c>
      <c r="F50" s="11" t="s">
        <v>509</v>
      </c>
      <c r="G50" s="323" t="s">
        <v>1499</v>
      </c>
      <c r="H50" s="11" t="s">
        <v>1497</v>
      </c>
      <c r="I50" s="229" t="s">
        <v>1500</v>
      </c>
      <c r="J50" s="11" t="s">
        <v>1501</v>
      </c>
      <c r="K50" s="35" t="s">
        <v>1502</v>
      </c>
      <c r="L50" s="60">
        <v>45135</v>
      </c>
      <c r="M50" s="35">
        <v>45219</v>
      </c>
      <c r="N50" s="40" t="s">
        <v>401</v>
      </c>
      <c r="O50" s="244">
        <v>0.2</v>
      </c>
      <c r="P50" s="35">
        <v>45236</v>
      </c>
      <c r="Q50" s="35"/>
      <c r="R50" s="11" t="s">
        <v>529</v>
      </c>
      <c r="S50" s="52">
        <v>45222</v>
      </c>
      <c r="T50" s="52">
        <v>45222</v>
      </c>
      <c r="U50" s="52" t="s">
        <v>44</v>
      </c>
      <c r="V50" s="52">
        <v>45223</v>
      </c>
      <c r="W50" s="52">
        <v>45222</v>
      </c>
      <c r="X50" s="35"/>
      <c r="Z50" s="11"/>
      <c r="AA50" s="253" t="s">
        <v>294</v>
      </c>
      <c r="AB50" s="253" t="s">
        <v>294</v>
      </c>
      <c r="AC50" s="234"/>
      <c r="AD50" s="234"/>
      <c r="AE50" s="234"/>
      <c r="AN50" s="328" t="s">
        <v>1503</v>
      </c>
    </row>
    <row r="51" s="201" customFormat="1" ht="90" hidden="1" customHeight="1" spans="1:40">
      <c r="A51" s="11">
        <v>26</v>
      </c>
      <c r="B51" s="12" t="s">
        <v>1504</v>
      </c>
      <c r="C51" s="11" t="s">
        <v>1505</v>
      </c>
      <c r="D51" s="216"/>
      <c r="E51" s="12" t="s">
        <v>1506</v>
      </c>
      <c r="F51" s="11" t="s">
        <v>516</v>
      </c>
      <c r="G51" s="323" t="s">
        <v>1507</v>
      </c>
      <c r="H51" s="11" t="s">
        <v>1505</v>
      </c>
      <c r="I51" s="229" t="s">
        <v>1508</v>
      </c>
      <c r="J51" s="11" t="s">
        <v>1509</v>
      </c>
      <c r="K51" s="35" t="s">
        <v>1510</v>
      </c>
      <c r="L51" s="60">
        <v>45135</v>
      </c>
      <c r="M51" s="35">
        <v>45219</v>
      </c>
      <c r="N51" s="40" t="s">
        <v>401</v>
      </c>
      <c r="O51" s="244">
        <v>0.2</v>
      </c>
      <c r="P51" s="35">
        <v>45236</v>
      </c>
      <c r="Q51" s="35"/>
      <c r="R51" s="11" t="s">
        <v>529</v>
      </c>
      <c r="S51" s="52">
        <v>45222</v>
      </c>
      <c r="T51" s="52">
        <v>45222</v>
      </c>
      <c r="U51" s="52" t="s">
        <v>44</v>
      </c>
      <c r="V51" s="52">
        <v>45223</v>
      </c>
      <c r="W51" s="52">
        <v>45222</v>
      </c>
      <c r="X51" s="35"/>
      <c r="Z51" s="11"/>
      <c r="AA51" s="253" t="s">
        <v>294</v>
      </c>
      <c r="AB51" s="253" t="s">
        <v>294</v>
      </c>
      <c r="AC51" s="234"/>
      <c r="AD51" s="234"/>
      <c r="AE51" s="234"/>
      <c r="AN51" s="328" t="s">
        <v>1511</v>
      </c>
    </row>
    <row r="52" ht="16.5" hidden="1" spans="1:31">
      <c r="A52" s="213"/>
      <c r="B52" s="214"/>
      <c r="C52" s="213" t="str">
        <f>_xlfn.CONCAT(E52,H52,"行政处罚案")</f>
        <v>行政处罚案</v>
      </c>
      <c r="D52" s="13"/>
      <c r="E52" s="12"/>
      <c r="F52" s="11"/>
      <c r="G52" s="11"/>
      <c r="H52" s="11"/>
      <c r="I52" s="229"/>
      <c r="J52" s="11"/>
      <c r="K52" s="35"/>
      <c r="L52" s="60"/>
      <c r="M52" s="35"/>
      <c r="N52" s="40"/>
      <c r="O52" s="242"/>
      <c r="P52" s="35"/>
      <c r="Q52" s="35"/>
      <c r="R52" s="11"/>
      <c r="S52" s="52"/>
      <c r="T52" s="11"/>
      <c r="U52" s="11"/>
      <c r="V52" s="11"/>
      <c r="W52" s="251"/>
      <c r="X52" s="35"/>
      <c r="Z52" s="213"/>
      <c r="AA52" s="213"/>
      <c r="AB52" s="213"/>
      <c r="AC52" s="224"/>
      <c r="AD52" s="224"/>
      <c r="AE52" s="224"/>
    </row>
    <row r="53" ht="30" hidden="1" customHeight="1" spans="1:24">
      <c r="A53" s="224"/>
      <c r="B53" s="225"/>
      <c r="C53" s="226"/>
      <c r="D53" s="226"/>
      <c r="E53" s="224"/>
      <c r="F53" s="224"/>
      <c r="G53" s="224"/>
      <c r="H53" s="224"/>
      <c r="I53" s="233"/>
      <c r="J53" s="233"/>
      <c r="K53" s="234"/>
      <c r="L53" s="235" t="s">
        <v>2095</v>
      </c>
      <c r="M53" s="245" t="s">
        <v>2115</v>
      </c>
      <c r="N53" s="246"/>
      <c r="O53" s="247" t="s">
        <v>2116</v>
      </c>
      <c r="P53" s="235" t="s">
        <v>2117</v>
      </c>
      <c r="Q53" s="235"/>
      <c r="R53" s="224"/>
      <c r="S53" s="252"/>
      <c r="T53" s="224"/>
      <c r="U53" s="224"/>
      <c r="V53" s="224"/>
      <c r="W53" s="224"/>
      <c r="X53" s="235"/>
    </row>
    <row r="54" ht="30" hidden="1" customHeight="1" spans="1:24">
      <c r="A54" s="224"/>
      <c r="B54" s="225"/>
      <c r="C54" s="226"/>
      <c r="D54" s="226"/>
      <c r="E54" s="224"/>
      <c r="F54" s="224"/>
      <c r="G54" s="224"/>
      <c r="H54" s="224"/>
      <c r="I54" s="233"/>
      <c r="J54" s="233"/>
      <c r="K54" s="236" t="s">
        <v>2118</v>
      </c>
      <c r="L54" s="237">
        <v>0</v>
      </c>
      <c r="M54" s="248">
        <v>0</v>
      </c>
      <c r="N54" s="248"/>
      <c r="O54" s="249">
        <v>0</v>
      </c>
      <c r="P54" s="237">
        <v>0</v>
      </c>
      <c r="Q54" s="235"/>
      <c r="R54" s="224"/>
      <c r="S54" s="252"/>
      <c r="T54" s="224"/>
      <c r="U54" s="224"/>
      <c r="V54" s="224"/>
      <c r="W54" s="224"/>
      <c r="X54" s="235"/>
    </row>
    <row r="55" ht="30" hidden="1" customHeight="1" spans="1:24">
      <c r="A55" s="224"/>
      <c r="B55" s="225"/>
      <c r="C55" s="226"/>
      <c r="D55" s="226"/>
      <c r="E55" s="224"/>
      <c r="F55" s="224"/>
      <c r="G55" s="224"/>
      <c r="H55" s="224"/>
      <c r="I55" s="233"/>
      <c r="J55" s="233"/>
      <c r="K55" s="236" t="s">
        <v>2119</v>
      </c>
      <c r="L55" s="237">
        <f>COUNTA(L26:L52)</f>
        <v>26</v>
      </c>
      <c r="M55" s="248">
        <f>COUNTA(M26:M52)</f>
        <v>26</v>
      </c>
      <c r="N55" s="248"/>
      <c r="O55" s="249">
        <f>SUM(O26:O52)</f>
        <v>84.2</v>
      </c>
      <c r="P55" s="237">
        <f>COUNTA(P26:P52)</f>
        <v>26</v>
      </c>
      <c r="Q55" s="235"/>
      <c r="R55" s="224"/>
      <c r="S55" s="252"/>
      <c r="T55" s="224"/>
      <c r="U55" s="224"/>
      <c r="V55" s="224"/>
      <c r="W55" s="224"/>
      <c r="X55" s="235"/>
    </row>
    <row r="56" ht="30" hidden="1" customHeight="1" spans="1:24">
      <c r="A56" s="224"/>
      <c r="B56" s="225"/>
      <c r="C56" s="226"/>
      <c r="D56" s="226"/>
      <c r="E56" s="224"/>
      <c r="F56" s="224"/>
      <c r="G56" s="224"/>
      <c r="H56" s="224"/>
      <c r="I56" s="233"/>
      <c r="J56" s="233"/>
      <c r="K56" s="236" t="s">
        <v>355</v>
      </c>
      <c r="L56" s="237">
        <f t="shared" ref="L56:P56" si="0">SUM(L54:L55)</f>
        <v>26</v>
      </c>
      <c r="M56" s="248">
        <f t="shared" si="0"/>
        <v>26</v>
      </c>
      <c r="N56" s="248"/>
      <c r="O56" s="249">
        <f t="shared" si="0"/>
        <v>84.2</v>
      </c>
      <c r="P56" s="237">
        <f t="shared" si="0"/>
        <v>26</v>
      </c>
      <c r="Q56" s="235"/>
      <c r="R56" s="224"/>
      <c r="S56" s="252"/>
      <c r="T56" s="224"/>
      <c r="U56" s="224"/>
      <c r="V56" s="224"/>
      <c r="W56" s="224"/>
      <c r="X56" s="235"/>
    </row>
  </sheetData>
  <autoFilter ref="A2:AN56">
    <filterColumn colId="4">
      <colorFilter dxfId="1"/>
    </filterColumn>
    <extLst/>
  </autoFilter>
  <mergeCells count="13">
    <mergeCell ref="A1:P1"/>
    <mergeCell ref="D3:D4"/>
    <mergeCell ref="D6:D8"/>
    <mergeCell ref="D11:D12"/>
    <mergeCell ref="D13:D16"/>
    <mergeCell ref="D24:D25"/>
    <mergeCell ref="D27:D29"/>
    <mergeCell ref="D30:D32"/>
    <mergeCell ref="D34:D35"/>
    <mergeCell ref="D37:D38"/>
    <mergeCell ref="D39:D41"/>
    <mergeCell ref="D45:D46"/>
    <mergeCell ref="D49:D51"/>
  </mergeCells>
  <conditionalFormatting sqref="V10">
    <cfRule type="timePeriod" dxfId="0" priority="41" timePeriod="tomorrow">
      <formula>FLOOR(V10,1)=TODAY()+1</formula>
    </cfRule>
  </conditionalFormatting>
  <conditionalFormatting sqref="S18">
    <cfRule type="timePeriod" dxfId="0" priority="38" timePeriod="tomorrow">
      <formula>FLOOR(S18,1)=TODAY()+1</formula>
    </cfRule>
  </conditionalFormatting>
  <conditionalFormatting sqref="T18">
    <cfRule type="timePeriod" dxfId="0" priority="37" timePeriod="tomorrow">
      <formula>FLOOR(T18,1)=TODAY()+1</formula>
    </cfRule>
  </conditionalFormatting>
  <conditionalFormatting sqref="T19">
    <cfRule type="timePeriod" dxfId="0" priority="30" timePeriod="tomorrow">
      <formula>FLOOR(T19,1)=TODAY()+1</formula>
    </cfRule>
  </conditionalFormatting>
  <conditionalFormatting sqref="S21">
    <cfRule type="timePeriod" dxfId="0" priority="31" timePeriod="tomorrow">
      <formula>FLOOR(S21,1)=TODAY()+1</formula>
    </cfRule>
  </conditionalFormatting>
  <conditionalFormatting sqref="T21">
    <cfRule type="timePeriod" dxfId="0" priority="29" timePeriod="tomorrow">
      <formula>FLOOR(T21,1)=TODAY()+1</formula>
    </cfRule>
  </conditionalFormatting>
  <conditionalFormatting sqref="V21">
    <cfRule type="timePeriod" dxfId="0" priority="39" timePeriod="tomorrow">
      <formula>FLOOR(V21,1)=TODAY()+1</formula>
    </cfRule>
  </conditionalFormatting>
  <conditionalFormatting sqref="W21">
    <cfRule type="timePeriod" dxfId="0" priority="40" timePeriod="tomorrow">
      <formula>FLOOR(W21,1)=TODAY()+1</formula>
    </cfRule>
  </conditionalFormatting>
  <conditionalFormatting sqref="S23">
    <cfRule type="timePeriod" dxfId="0" priority="36" timePeriod="tomorrow">
      <formula>FLOOR(S23,1)=TODAY()+1</formula>
    </cfRule>
  </conditionalFormatting>
  <conditionalFormatting sqref="T23">
    <cfRule type="timePeriod" dxfId="0" priority="26" timePeriod="tomorrow">
      <formula>FLOOR(T23,1)=TODAY()+1</formula>
    </cfRule>
  </conditionalFormatting>
  <conditionalFormatting sqref="U23">
    <cfRule type="timePeriod" dxfId="0" priority="33" timePeriod="tomorrow">
      <formula>FLOOR(U23,1)=TODAY()+1</formula>
    </cfRule>
    <cfRule type="timePeriod" dxfId="0" priority="34" timePeriod="tomorrow">
      <formula>FLOOR(U23,1)=TODAY()+1</formula>
    </cfRule>
  </conditionalFormatting>
  <conditionalFormatting sqref="V23">
    <cfRule type="timePeriod" dxfId="0" priority="25" timePeriod="tomorrow">
      <formula>FLOOR(V23,1)=TODAY()+1</formula>
    </cfRule>
  </conditionalFormatting>
  <conditionalFormatting sqref="W23">
    <cfRule type="timePeriod" dxfId="0" priority="35" timePeriod="tomorrow">
      <formula>FLOOR(W23,1)=TODAY()+1</formula>
    </cfRule>
  </conditionalFormatting>
  <conditionalFormatting sqref="T24">
    <cfRule type="timePeriod" dxfId="0" priority="28" timePeriod="tomorrow">
      <formula>FLOOR(T24,1)=TODAY()+1</formula>
    </cfRule>
  </conditionalFormatting>
  <conditionalFormatting sqref="T33">
    <cfRule type="timePeriod" dxfId="0" priority="18" timePeriod="tomorrow">
      <formula>FLOOR(T33,1)=TODAY()+1</formula>
    </cfRule>
  </conditionalFormatting>
  <conditionalFormatting sqref="V33">
    <cfRule type="timePeriod" dxfId="0" priority="16" timePeriod="tomorrow">
      <formula>FLOOR(V33,1)=TODAY()+1</formula>
    </cfRule>
  </conditionalFormatting>
  <conditionalFormatting sqref="T37">
    <cfRule type="timePeriod" dxfId="0" priority="7" timePeriod="tomorrow">
      <formula>FLOOR(T37,1)=TODAY()+1</formula>
    </cfRule>
  </conditionalFormatting>
  <conditionalFormatting sqref="S38:T38">
    <cfRule type="timePeriod" dxfId="0" priority="6" timePeriod="tomorrow">
      <formula>FLOOR(S38,1)=TODAY()+1</formula>
    </cfRule>
  </conditionalFormatting>
  <conditionalFormatting sqref="S40">
    <cfRule type="timePeriod" dxfId="0" priority="13" timePeriod="tomorrow">
      <formula>FLOOR(S40,1)=TODAY()+1</formula>
    </cfRule>
  </conditionalFormatting>
  <conditionalFormatting sqref="T40">
    <cfRule type="timePeriod" dxfId="0" priority="10" timePeriod="tomorrow">
      <formula>FLOOR(T40,1)=TODAY()+1</formula>
    </cfRule>
  </conditionalFormatting>
  <conditionalFormatting sqref="S41">
    <cfRule type="timePeriod" dxfId="0" priority="12" timePeriod="tomorrow">
      <formula>FLOOR(S41,1)=TODAY()+1</formula>
    </cfRule>
  </conditionalFormatting>
  <conditionalFormatting sqref="T41">
    <cfRule type="timePeriod" dxfId="0" priority="9" timePeriod="tomorrow">
      <formula>FLOOR(T41,1)=TODAY()+1</formula>
    </cfRule>
  </conditionalFormatting>
  <conditionalFormatting sqref="S42">
    <cfRule type="timePeriod" dxfId="0" priority="11" timePeriod="tomorrow">
      <formula>FLOOR(S42,1)=TODAY()+1</formula>
    </cfRule>
  </conditionalFormatting>
  <conditionalFormatting sqref="T42">
    <cfRule type="timePeriod" dxfId="0" priority="8" timePeriod="tomorrow">
      <formula>FLOOR(T42,1)=TODAY()+1</formula>
    </cfRule>
  </conditionalFormatting>
  <conditionalFormatting sqref="S34:S35">
    <cfRule type="timePeriod" dxfId="0" priority="19" timePeriod="tomorrow">
      <formula>FLOOR(S34,1)=TODAY()+1</formula>
    </cfRule>
  </conditionalFormatting>
  <conditionalFormatting sqref="S45:S46">
    <cfRule type="timePeriod" dxfId="0" priority="4" timePeriod="tomorrow">
      <formula>FLOOR(S45,1)=TODAY()+1</formula>
    </cfRule>
  </conditionalFormatting>
  <conditionalFormatting sqref="T27:T29">
    <cfRule type="timePeriod" dxfId="0" priority="23" timePeriod="tomorrow">
      <formula>FLOOR(T27,1)=TODAY()+1</formula>
    </cfRule>
  </conditionalFormatting>
  <conditionalFormatting sqref="T30:T32">
    <cfRule type="timePeriod" dxfId="0" priority="22" timePeriod="tomorrow">
      <formula>FLOOR(T30,1)=TODAY()+1</formula>
    </cfRule>
  </conditionalFormatting>
  <conditionalFormatting sqref="T34:T35">
    <cfRule type="timePeriod" dxfId="0" priority="17" timePeriod="tomorrow">
      <formula>FLOOR(T34,1)=TODAY()+1</formula>
    </cfRule>
  </conditionalFormatting>
  <conditionalFormatting sqref="T48:T51">
    <cfRule type="timePeriod" dxfId="0" priority="3" timePeriod="tomorrow">
      <formula>FLOOR(T48,1)=TODAY()+1</formula>
    </cfRule>
  </conditionalFormatting>
  <conditionalFormatting sqref="V6:V8">
    <cfRule type="timePeriod" dxfId="0" priority="44" timePeriod="tomorrow">
      <formula>FLOOR(V6,1)=TODAY()+1</formula>
    </cfRule>
  </conditionalFormatting>
  <conditionalFormatting sqref="V11:V12">
    <cfRule type="timePeriod" dxfId="0" priority="43" timePeriod="tomorrow">
      <formula>FLOOR(V11,1)=TODAY()+1</formula>
    </cfRule>
  </conditionalFormatting>
  <conditionalFormatting sqref="V27:V29">
    <cfRule type="timePeriod" dxfId="0" priority="24" timePeriod="tomorrow">
      <formula>FLOOR(V27,1)=TODAY()+1</formula>
    </cfRule>
  </conditionalFormatting>
  <conditionalFormatting sqref="V30:V32">
    <cfRule type="timePeriod" dxfId="0" priority="20" timePeriod="tomorrow">
      <formula>FLOOR(V30,1)=TODAY()+1</formula>
    </cfRule>
  </conditionalFormatting>
  <conditionalFormatting sqref="V34:V35">
    <cfRule type="timePeriod" dxfId="0" priority="15" timePeriod="tomorrow">
      <formula>FLOOR(V34,1)=TODAY()+1</formula>
    </cfRule>
  </conditionalFormatting>
  <conditionalFormatting sqref="V39:V42">
    <cfRule type="timePeriod" dxfId="0" priority="14" timePeriod="tomorrow">
      <formula>FLOOR(V39,1)=TODAY()+1</formula>
    </cfRule>
  </conditionalFormatting>
  <conditionalFormatting sqref="V45:V46">
    <cfRule type="timePeriod" dxfId="0" priority="5" timePeriod="tomorrow">
      <formula>FLOOR(V45,1)=TODAY()+1</formula>
    </cfRule>
  </conditionalFormatting>
  <conditionalFormatting sqref="V48:V51">
    <cfRule type="timePeriod" dxfId="0" priority="2" timePeriod="tomorrow">
      <formula>FLOOR(V48,1)=TODAY()+1</formula>
    </cfRule>
  </conditionalFormatting>
  <conditionalFormatting sqref="W30:W32">
    <cfRule type="timePeriod" dxfId="0" priority="21" timePeriod="tomorrow">
      <formula>FLOOR(W30,1)=TODAY()+1</formula>
    </cfRule>
  </conditionalFormatting>
  <conditionalFormatting sqref="W48:W51">
    <cfRule type="timePeriod" dxfId="0" priority="1" timePeriod="tomorrow">
      <formula>FLOOR(W48,1)=TODAY()+1</formula>
    </cfRule>
  </conditionalFormatting>
  <conditionalFormatting sqref="S1:V2 S3:S10 S43:S44 S47:S51 S13:S17 S39 S36:S37 S24:S33 S22 S19:S20 S52:V1048576">
    <cfRule type="timePeriod" dxfId="0" priority="67" timePeriod="tomorrow">
      <formula>FLOOR(S1,1)=TODAY()+1</formula>
    </cfRule>
  </conditionalFormatting>
  <conditionalFormatting sqref="T22 T20 T13:T17 T3:T10">
    <cfRule type="timePeriod" dxfId="0" priority="45" timePeriod="tomorrow">
      <formula>FLOOR(T3,1)=TODAY()+1</formula>
    </cfRule>
  </conditionalFormatting>
  <conditionalFormatting sqref="U24:U51 U3:U22">
    <cfRule type="timePeriod" dxfId="0" priority="63" timePeriod="tomorrow">
      <formula>FLOOR(U3,1)=TODAY()+1</formula>
    </cfRule>
    <cfRule type="timePeriod" dxfId="0" priority="64" timePeriod="tomorrow">
      <formula>FLOOR(U3,1)=TODAY()+1</formula>
    </cfRule>
  </conditionalFormatting>
  <conditionalFormatting sqref="V22 V13:V20 V9 V3:V5">
    <cfRule type="timePeriod" dxfId="0" priority="61" timePeriod="tomorrow">
      <formula>FLOOR(V3,1)=TODAY()+1</formula>
    </cfRule>
  </conditionalFormatting>
  <conditionalFormatting sqref="W3:W20 W33:W47 W24:W29 W22 W52">
    <cfRule type="timePeriod" dxfId="0" priority="66" timePeriod="tomorrow">
      <formula>FLOOR(W3,1)=TODAY()+1</formula>
    </cfRule>
  </conditionalFormatting>
  <conditionalFormatting sqref="S11:T12">
    <cfRule type="timePeriod" dxfId="0" priority="42" timePeriod="tomorrow">
      <formula>FLOOR(S11,1)=TODAY()+1</formula>
    </cfRule>
  </conditionalFormatting>
  <conditionalFormatting sqref="V24:V26 V43:V44 V47 V36:V38">
    <cfRule type="timePeriod" dxfId="0" priority="32" timePeriod="tomorrow">
      <formula>FLOOR(V24,1)=TODAY()+1</formula>
    </cfRule>
  </conditionalFormatting>
  <conditionalFormatting sqref="T25:T26 T43:T47 T39 T36">
    <cfRule type="timePeriod" dxfId="0" priority="27" timePeriod="tomorrow">
      <formula>FLOOR(T25,1)=TODAY()+1</formula>
    </cfRule>
  </conditionalFormatting>
  <printOptions horizontalCentered="1"/>
  <pageMargins left="0.751388888888889" right="0.751388888888889" top="0.802777777777778" bottom="0.802777777777778" header="0.511805555555556" footer="0.511805555555556"/>
  <pageSetup paperSize="9" scale="57" fitToHeight="0" orientation="portrait" horizont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58"/>
  <sheetViews>
    <sheetView tabSelected="1" zoomScale="70" zoomScaleNormal="70" workbookViewId="0">
      <pane ySplit="2" topLeftCell="A149" activePane="bottomLeft" state="frozen"/>
      <selection/>
      <selection pane="bottomLeft" activeCell="N95" sqref="N95"/>
    </sheetView>
  </sheetViews>
  <sheetFormatPr defaultColWidth="11.25" defaultRowHeight="69" customHeight="1"/>
  <cols>
    <col min="1" max="1" width="6" style="4" customWidth="1"/>
    <col min="2" max="2" width="13.5666666666667" style="5" customWidth="1"/>
    <col min="3" max="3" width="34.1" style="4" customWidth="1"/>
    <col min="4" max="4" width="17.3166666666667" style="4" customWidth="1"/>
    <col min="5" max="5" width="16.6" style="5" customWidth="1"/>
    <col min="6" max="6" width="13.5" style="5" customWidth="1"/>
    <col min="7" max="7" width="22.5" style="4" customWidth="1"/>
    <col min="8" max="9" width="11.25" style="4" customWidth="1"/>
    <col min="10" max="10" width="21.0666666666667" style="4" customWidth="1"/>
    <col min="11" max="11" width="41.2416666666667" style="4" customWidth="1"/>
    <col min="12" max="12" width="13.625" style="4" customWidth="1"/>
    <col min="13" max="13" width="15.8333333333333" style="4" customWidth="1"/>
    <col min="14" max="14" width="20.7166666666667" style="6" customWidth="1"/>
    <col min="15" max="15" width="19.4666666666667" style="6" customWidth="1"/>
    <col min="16" max="17" width="11.25" style="5" customWidth="1"/>
    <col min="18" max="19" width="11.25" style="4" customWidth="1"/>
    <col min="20" max="20" width="13.3916666666667" style="4" customWidth="1"/>
    <col min="21" max="26" width="11.25" style="4" customWidth="1"/>
    <col min="27" max="27" width="10.3583333333333" style="4" customWidth="1"/>
    <col min="28" max="16384" width="11.25" style="4" customWidth="1"/>
  </cols>
  <sheetData>
    <row r="1" s="1" customFormat="1" customHeight="1" spans="1:21">
      <c r="A1" s="7" t="s">
        <v>356</v>
      </c>
      <c r="B1" s="8"/>
      <c r="C1" s="7"/>
      <c r="D1" s="7"/>
      <c r="E1" s="7"/>
      <c r="F1" s="7"/>
      <c r="G1" s="7"/>
      <c r="H1" s="7"/>
      <c r="I1" s="7"/>
      <c r="J1" s="7"/>
      <c r="K1" s="26"/>
      <c r="L1" s="7"/>
      <c r="M1" s="30"/>
      <c r="N1" s="31"/>
      <c r="O1" s="31"/>
      <c r="P1" s="32"/>
      <c r="Q1" s="30"/>
      <c r="R1" s="7"/>
      <c r="S1" s="7"/>
      <c r="T1" s="47"/>
      <c r="U1" s="56"/>
    </row>
    <row r="2" s="2" customFormat="1" customHeight="1" spans="1:47">
      <c r="A2" s="9" t="s">
        <v>1</v>
      </c>
      <c r="B2" s="10" t="s">
        <v>357</v>
      </c>
      <c r="C2" s="9" t="s">
        <v>358</v>
      </c>
      <c r="D2" s="9" t="s">
        <v>4</v>
      </c>
      <c r="E2" s="9" t="s">
        <v>359</v>
      </c>
      <c r="F2" s="9" t="s">
        <v>360</v>
      </c>
      <c r="G2" s="9" t="s">
        <v>361</v>
      </c>
      <c r="H2" s="9" t="s">
        <v>362</v>
      </c>
      <c r="I2" s="9" t="s">
        <v>363</v>
      </c>
      <c r="J2" s="9" t="s">
        <v>2120</v>
      </c>
      <c r="K2" s="9" t="s">
        <v>365</v>
      </c>
      <c r="L2" s="27" t="s">
        <v>366</v>
      </c>
      <c r="M2" s="27" t="s">
        <v>367</v>
      </c>
      <c r="N2" s="33" t="s">
        <v>368</v>
      </c>
      <c r="O2" s="33" t="s">
        <v>369</v>
      </c>
      <c r="P2" s="34" t="s">
        <v>17</v>
      </c>
      <c r="Q2" s="48" t="s">
        <v>370</v>
      </c>
      <c r="R2" s="49" t="s">
        <v>371</v>
      </c>
      <c r="S2" s="49" t="s">
        <v>372</v>
      </c>
      <c r="T2" s="9" t="s">
        <v>373</v>
      </c>
      <c r="U2" s="57" t="s">
        <v>374</v>
      </c>
      <c r="V2" s="9" t="s">
        <v>375</v>
      </c>
      <c r="W2" s="9" t="s">
        <v>376</v>
      </c>
      <c r="X2" s="58" t="s">
        <v>377</v>
      </c>
      <c r="Y2" s="58" t="s">
        <v>378</v>
      </c>
      <c r="Z2" s="49" t="s">
        <v>27</v>
      </c>
      <c r="AA2" s="9"/>
      <c r="AB2" s="9" t="s">
        <v>379</v>
      </c>
      <c r="AC2" s="9" t="s">
        <v>380</v>
      </c>
      <c r="AD2" s="9" t="s">
        <v>29</v>
      </c>
      <c r="AE2" s="9" t="s">
        <v>381</v>
      </c>
      <c r="AF2" s="9" t="s">
        <v>382</v>
      </c>
      <c r="AG2" s="9" t="s">
        <v>383</v>
      </c>
      <c r="AH2" s="9"/>
      <c r="AI2" s="9" t="s">
        <v>384</v>
      </c>
      <c r="AJ2" s="9" t="s">
        <v>385</v>
      </c>
      <c r="AK2" s="9" t="s">
        <v>386</v>
      </c>
      <c r="AL2" s="9" t="s">
        <v>387</v>
      </c>
      <c r="AM2" s="9" t="s">
        <v>388</v>
      </c>
      <c r="AN2" s="9" t="s">
        <v>389</v>
      </c>
      <c r="AO2" s="9" t="s">
        <v>390</v>
      </c>
      <c r="AP2" s="9" t="s">
        <v>391</v>
      </c>
      <c r="AQ2" s="9" t="s">
        <v>392</v>
      </c>
      <c r="AR2" s="9" t="s">
        <v>393</v>
      </c>
      <c r="AS2" s="9" t="s">
        <v>394</v>
      </c>
      <c r="AT2" s="9" t="s">
        <v>395</v>
      </c>
      <c r="AU2" s="9" t="s">
        <v>396</v>
      </c>
    </row>
    <row r="3" s="3" customFormat="1" customHeight="1" spans="1:16384">
      <c r="A3" s="11">
        <v>1</v>
      </c>
      <c r="B3" s="12" t="s">
        <v>2088</v>
      </c>
      <c r="C3" s="11" t="s">
        <v>1990</v>
      </c>
      <c r="D3" s="13" t="s">
        <v>2089</v>
      </c>
      <c r="E3" s="12" t="s">
        <v>2090</v>
      </c>
      <c r="F3" s="11" t="s">
        <v>854</v>
      </c>
      <c r="G3" s="323" t="s">
        <v>2091</v>
      </c>
      <c r="H3" s="11" t="s">
        <v>42</v>
      </c>
      <c r="I3" s="11" t="s">
        <v>42</v>
      </c>
      <c r="J3" s="17" t="s">
        <v>1990</v>
      </c>
      <c r="K3" s="17" t="s">
        <v>2092</v>
      </c>
      <c r="L3" s="11" t="s">
        <v>2093</v>
      </c>
      <c r="M3" s="35" t="s">
        <v>2094</v>
      </c>
      <c r="N3" s="36">
        <v>45660</v>
      </c>
      <c r="O3" s="36">
        <v>45730</v>
      </c>
      <c r="P3" s="37" t="s">
        <v>401</v>
      </c>
      <c r="Q3" s="50">
        <v>1.5</v>
      </c>
      <c r="R3" s="51">
        <v>45733</v>
      </c>
      <c r="S3" s="11" t="s">
        <v>1573</v>
      </c>
      <c r="T3" s="52" t="s">
        <v>2121</v>
      </c>
      <c r="U3" s="59">
        <v>45730</v>
      </c>
      <c r="V3" s="52" t="s">
        <v>44</v>
      </c>
      <c r="W3" s="60">
        <v>45730</v>
      </c>
      <c r="X3" s="52"/>
      <c r="Y3" s="35"/>
      <c r="Z3" s="19"/>
      <c r="AA3" s="11"/>
      <c r="AB3" s="64"/>
      <c r="AC3" s="64"/>
      <c r="AD3" s="11"/>
      <c r="AE3" s="11"/>
      <c r="AF3" s="11"/>
      <c r="AG3" s="19"/>
      <c r="AH3" s="19"/>
      <c r="AI3" s="19"/>
      <c r="AJ3" s="19"/>
      <c r="AK3" s="19"/>
      <c r="AL3" s="19"/>
      <c r="AM3" s="19"/>
      <c r="AN3" s="19"/>
      <c r="AO3" s="65">
        <v>9002001743</v>
      </c>
      <c r="XFD3" s="66"/>
    </row>
    <row r="4" customHeight="1" spans="1:47">
      <c r="A4" s="11">
        <v>2</v>
      </c>
      <c r="B4" s="14">
        <v>20253000057</v>
      </c>
      <c r="C4" s="15" t="s">
        <v>2122</v>
      </c>
      <c r="D4" s="15" t="s">
        <v>2123</v>
      </c>
      <c r="E4" s="14" t="s">
        <v>2124</v>
      </c>
      <c r="F4" s="14" t="s">
        <v>2125</v>
      </c>
      <c r="G4" s="336" t="s">
        <v>2126</v>
      </c>
      <c r="H4" s="15" t="s">
        <v>2127</v>
      </c>
      <c r="I4" s="336" t="s">
        <v>2128</v>
      </c>
      <c r="J4" s="15" t="s">
        <v>2129</v>
      </c>
      <c r="K4" s="15" t="s">
        <v>2130</v>
      </c>
      <c r="L4" s="15" t="s">
        <v>2131</v>
      </c>
      <c r="M4" s="17" t="s">
        <v>2132</v>
      </c>
      <c r="N4" s="38">
        <v>45729</v>
      </c>
      <c r="O4" s="39">
        <v>45799</v>
      </c>
      <c r="P4" s="40" t="s">
        <v>401</v>
      </c>
      <c r="Q4" s="50">
        <v>1.5</v>
      </c>
      <c r="R4" s="53">
        <v>45816</v>
      </c>
      <c r="S4" s="15"/>
      <c r="T4" s="28" t="s">
        <v>2133</v>
      </c>
      <c r="U4" s="61"/>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row>
    <row r="5" customHeight="1" spans="1:47">
      <c r="A5" s="11">
        <v>3</v>
      </c>
      <c r="B5" s="14">
        <v>20253000058</v>
      </c>
      <c r="C5" s="15" t="s">
        <v>2134</v>
      </c>
      <c r="D5" s="15" t="s">
        <v>2135</v>
      </c>
      <c r="E5" s="14" t="s">
        <v>2136</v>
      </c>
      <c r="F5" s="14" t="s">
        <v>2125</v>
      </c>
      <c r="G5" s="336" t="s">
        <v>2137</v>
      </c>
      <c r="H5" s="15"/>
      <c r="I5" s="15"/>
      <c r="J5" s="15" t="s">
        <v>2129</v>
      </c>
      <c r="K5" s="15" t="s">
        <v>2138</v>
      </c>
      <c r="L5" s="15" t="s">
        <v>2139</v>
      </c>
      <c r="M5" s="17" t="s">
        <v>2140</v>
      </c>
      <c r="N5" s="38">
        <v>45735</v>
      </c>
      <c r="O5" s="39">
        <v>45799</v>
      </c>
      <c r="P5" s="40" t="s">
        <v>401</v>
      </c>
      <c r="Q5" s="50">
        <v>1.5</v>
      </c>
      <c r="R5" s="53">
        <v>45816</v>
      </c>
      <c r="S5" s="15"/>
      <c r="T5" s="28" t="s">
        <v>2133</v>
      </c>
      <c r="U5" s="61"/>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row>
    <row r="6" customHeight="1" spans="1:47">
      <c r="A6" s="11">
        <v>4</v>
      </c>
      <c r="B6" s="16">
        <v>20253000044</v>
      </c>
      <c r="C6" s="17" t="s">
        <v>718</v>
      </c>
      <c r="D6" s="18" t="s">
        <v>2141</v>
      </c>
      <c r="E6" s="16" t="s">
        <v>2142</v>
      </c>
      <c r="F6" s="16" t="s">
        <v>416</v>
      </c>
      <c r="G6" s="17" t="s">
        <v>2143</v>
      </c>
      <c r="H6" s="17" t="s">
        <v>2144</v>
      </c>
      <c r="I6" s="17"/>
      <c r="J6" s="17" t="s">
        <v>718</v>
      </c>
      <c r="K6" s="17" t="s">
        <v>2145</v>
      </c>
      <c r="L6" s="17" t="s">
        <v>2146</v>
      </c>
      <c r="M6" s="17" t="s">
        <v>2147</v>
      </c>
      <c r="N6" s="38">
        <v>45734</v>
      </c>
      <c r="O6" s="39">
        <v>45804</v>
      </c>
      <c r="P6" s="16" t="s">
        <v>401</v>
      </c>
      <c r="Q6" s="50">
        <v>1.2</v>
      </c>
      <c r="R6" s="53">
        <v>45820</v>
      </c>
      <c r="S6" s="17"/>
      <c r="T6" s="28" t="s">
        <v>2148</v>
      </c>
      <c r="U6" s="61"/>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row>
    <row r="7" customHeight="1" spans="1:47">
      <c r="A7" s="11">
        <v>5</v>
      </c>
      <c r="B7" s="16">
        <v>20253000045</v>
      </c>
      <c r="C7" s="17" t="s">
        <v>1336</v>
      </c>
      <c r="D7" s="18"/>
      <c r="E7" s="16" t="s">
        <v>2149</v>
      </c>
      <c r="F7" s="16" t="s">
        <v>2150</v>
      </c>
      <c r="G7" s="337" t="s">
        <v>2151</v>
      </c>
      <c r="H7" s="17"/>
      <c r="I7" s="17"/>
      <c r="J7" s="17" t="s">
        <v>1336</v>
      </c>
      <c r="K7" s="17" t="s">
        <v>2152</v>
      </c>
      <c r="L7" s="17" t="s">
        <v>2153</v>
      </c>
      <c r="M7" s="17" t="s">
        <v>2154</v>
      </c>
      <c r="N7" s="38">
        <v>45734</v>
      </c>
      <c r="O7" s="39">
        <v>45804</v>
      </c>
      <c r="P7" s="16" t="s">
        <v>401</v>
      </c>
      <c r="Q7" s="50">
        <v>0.2</v>
      </c>
      <c r="R7" s="53">
        <v>45820</v>
      </c>
      <c r="S7" s="17"/>
      <c r="T7" s="28" t="s">
        <v>2148</v>
      </c>
      <c r="U7" s="61"/>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row>
    <row r="8" customHeight="1" spans="1:47">
      <c r="A8" s="11">
        <v>6</v>
      </c>
      <c r="B8" s="16">
        <v>20253000046</v>
      </c>
      <c r="C8" s="17" t="s">
        <v>1345</v>
      </c>
      <c r="D8" s="18"/>
      <c r="E8" s="16" t="s">
        <v>2155</v>
      </c>
      <c r="F8" s="16" t="s">
        <v>2156</v>
      </c>
      <c r="G8" s="337" t="s">
        <v>2157</v>
      </c>
      <c r="H8" s="17"/>
      <c r="I8" s="17"/>
      <c r="J8" s="17" t="s">
        <v>1345</v>
      </c>
      <c r="K8" s="17" t="s">
        <v>2158</v>
      </c>
      <c r="L8" s="17" t="s">
        <v>2159</v>
      </c>
      <c r="M8" s="17" t="s">
        <v>2160</v>
      </c>
      <c r="N8" s="38">
        <v>45734</v>
      </c>
      <c r="O8" s="39">
        <v>45804</v>
      </c>
      <c r="P8" s="16" t="s">
        <v>401</v>
      </c>
      <c r="Q8" s="50">
        <v>0.2</v>
      </c>
      <c r="R8" s="53">
        <v>45820</v>
      </c>
      <c r="S8" s="17"/>
      <c r="T8" s="28" t="s">
        <v>2148</v>
      </c>
      <c r="U8" s="61"/>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row>
    <row r="9" customHeight="1" spans="1:47">
      <c r="A9" s="11">
        <v>7</v>
      </c>
      <c r="B9" s="16">
        <v>20253000043</v>
      </c>
      <c r="C9" s="17" t="s">
        <v>1373</v>
      </c>
      <c r="D9" s="17" t="s">
        <v>2161</v>
      </c>
      <c r="E9" s="16" t="s">
        <v>2162</v>
      </c>
      <c r="F9" s="16" t="s">
        <v>416</v>
      </c>
      <c r="G9" s="17" t="s">
        <v>2163</v>
      </c>
      <c r="H9" s="17" t="s">
        <v>2164</v>
      </c>
      <c r="I9" s="17"/>
      <c r="J9" s="17" t="s">
        <v>1373</v>
      </c>
      <c r="K9" s="17" t="s">
        <v>2165</v>
      </c>
      <c r="L9" s="17" t="s">
        <v>2166</v>
      </c>
      <c r="M9" s="17" t="s">
        <v>2167</v>
      </c>
      <c r="N9" s="38">
        <v>45734</v>
      </c>
      <c r="O9" s="39">
        <v>45796</v>
      </c>
      <c r="P9" s="16" t="s">
        <v>401</v>
      </c>
      <c r="Q9" s="50">
        <v>5</v>
      </c>
      <c r="R9" s="53">
        <v>45812</v>
      </c>
      <c r="S9" s="17"/>
      <c r="T9" s="28" t="s">
        <v>2148</v>
      </c>
      <c r="U9" s="61"/>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row>
    <row r="10" customHeight="1" spans="1:47">
      <c r="A10" s="11">
        <v>8</v>
      </c>
      <c r="B10" s="14">
        <v>20253000081</v>
      </c>
      <c r="C10" s="15" t="s">
        <v>2168</v>
      </c>
      <c r="D10" s="19" t="s">
        <v>2169</v>
      </c>
      <c r="E10" s="14" t="s">
        <v>2170</v>
      </c>
      <c r="F10" s="14" t="s">
        <v>2150</v>
      </c>
      <c r="G10" s="336" t="s">
        <v>2171</v>
      </c>
      <c r="H10" s="15"/>
      <c r="I10" s="15"/>
      <c r="J10" s="15" t="s">
        <v>2168</v>
      </c>
      <c r="K10" s="15" t="s">
        <v>2172</v>
      </c>
      <c r="L10" s="15" t="s">
        <v>2173</v>
      </c>
      <c r="M10" s="17" t="s">
        <v>2174</v>
      </c>
      <c r="N10" s="39">
        <v>45728</v>
      </c>
      <c r="O10" s="39">
        <v>45804</v>
      </c>
      <c r="P10" s="14" t="s">
        <v>401</v>
      </c>
      <c r="Q10" s="50">
        <v>1.5</v>
      </c>
      <c r="R10" s="53">
        <v>45827</v>
      </c>
      <c r="S10" s="15"/>
      <c r="T10" s="15" t="s">
        <v>2175</v>
      </c>
      <c r="U10" s="61"/>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row>
    <row r="11" customHeight="1" spans="1:47">
      <c r="A11" s="11">
        <v>9</v>
      </c>
      <c r="B11" s="14">
        <v>20253000082</v>
      </c>
      <c r="C11" s="15" t="s">
        <v>2176</v>
      </c>
      <c r="D11" s="19"/>
      <c r="E11" s="14" t="s">
        <v>2177</v>
      </c>
      <c r="F11" s="14" t="s">
        <v>2178</v>
      </c>
      <c r="G11" s="336" t="s">
        <v>2179</v>
      </c>
      <c r="H11" s="15"/>
      <c r="I11" s="15"/>
      <c r="J11" s="15" t="s">
        <v>2176</v>
      </c>
      <c r="K11" s="28" t="s">
        <v>2180</v>
      </c>
      <c r="L11" s="15" t="s">
        <v>2181</v>
      </c>
      <c r="M11" s="17" t="s">
        <v>2182</v>
      </c>
      <c r="N11" s="39">
        <v>45728</v>
      </c>
      <c r="O11" s="39">
        <v>45804</v>
      </c>
      <c r="P11" s="14" t="s">
        <v>401</v>
      </c>
      <c r="Q11" s="50">
        <v>1.5</v>
      </c>
      <c r="R11" s="53">
        <v>45827</v>
      </c>
      <c r="S11" s="15"/>
      <c r="T11" s="15" t="s">
        <v>2175</v>
      </c>
      <c r="U11" s="61"/>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row>
    <row r="12" customHeight="1" spans="1:47">
      <c r="A12" s="11">
        <v>10</v>
      </c>
      <c r="B12" s="14">
        <v>20253000083</v>
      </c>
      <c r="C12" s="15" t="s">
        <v>2024</v>
      </c>
      <c r="D12" s="19"/>
      <c r="E12" s="14" t="s">
        <v>2183</v>
      </c>
      <c r="F12" s="14" t="s">
        <v>2184</v>
      </c>
      <c r="G12" s="336" t="s">
        <v>2185</v>
      </c>
      <c r="H12" s="15"/>
      <c r="I12" s="15"/>
      <c r="J12" s="15" t="s">
        <v>2024</v>
      </c>
      <c r="K12" s="15" t="s">
        <v>2186</v>
      </c>
      <c r="L12" s="15" t="s">
        <v>2187</v>
      </c>
      <c r="M12" s="17" t="s">
        <v>2188</v>
      </c>
      <c r="N12" s="39">
        <v>45728</v>
      </c>
      <c r="O12" s="39">
        <v>45804</v>
      </c>
      <c r="P12" s="14" t="s">
        <v>401</v>
      </c>
      <c r="Q12" s="50">
        <v>4</v>
      </c>
      <c r="R12" s="53">
        <v>45827</v>
      </c>
      <c r="S12" s="15"/>
      <c r="T12" s="15" t="s">
        <v>2175</v>
      </c>
      <c r="U12" s="61"/>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row>
    <row r="13" customHeight="1" spans="1:47">
      <c r="A13" s="11">
        <v>11</v>
      </c>
      <c r="B13" s="16">
        <v>20253000059</v>
      </c>
      <c r="C13" s="17" t="s">
        <v>2189</v>
      </c>
      <c r="D13" s="17" t="s">
        <v>2190</v>
      </c>
      <c r="E13" s="16" t="s">
        <v>2191</v>
      </c>
      <c r="F13" s="16" t="s">
        <v>416</v>
      </c>
      <c r="G13" s="17" t="s">
        <v>2192</v>
      </c>
      <c r="H13" s="17" t="s">
        <v>2193</v>
      </c>
      <c r="I13" s="17"/>
      <c r="J13" s="17" t="s">
        <v>2189</v>
      </c>
      <c r="K13" s="17" t="s">
        <v>2194</v>
      </c>
      <c r="L13" s="17" t="s">
        <v>2195</v>
      </c>
      <c r="M13" s="17" t="s">
        <v>2196</v>
      </c>
      <c r="N13" s="41">
        <v>45735</v>
      </c>
      <c r="O13" s="39">
        <v>45793</v>
      </c>
      <c r="P13" s="16" t="s">
        <v>401</v>
      </c>
      <c r="Q13" s="50">
        <v>5</v>
      </c>
      <c r="R13" s="53">
        <v>45812</v>
      </c>
      <c r="S13" s="17"/>
      <c r="T13" s="17" t="s">
        <v>2197</v>
      </c>
      <c r="U13" s="61"/>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row>
    <row r="14" customHeight="1" spans="1:47">
      <c r="A14" s="20">
        <v>12</v>
      </c>
      <c r="B14" s="21">
        <v>20253000084</v>
      </c>
      <c r="C14" s="22" t="s">
        <v>2198</v>
      </c>
      <c r="D14" s="22" t="s">
        <v>2199</v>
      </c>
      <c r="E14" s="21" t="s">
        <v>2200</v>
      </c>
      <c r="F14" s="21" t="s">
        <v>416</v>
      </c>
      <c r="G14" s="22" t="s">
        <v>2201</v>
      </c>
      <c r="H14" s="22" t="s">
        <v>2202</v>
      </c>
      <c r="I14" s="22"/>
      <c r="J14" s="22" t="s">
        <v>2203</v>
      </c>
      <c r="K14" s="22" t="s">
        <v>2204</v>
      </c>
      <c r="L14" s="22" t="s">
        <v>2205</v>
      </c>
      <c r="M14" s="22" t="s">
        <v>2206</v>
      </c>
      <c r="N14" s="42">
        <v>45743</v>
      </c>
      <c r="O14" s="42">
        <v>45793</v>
      </c>
      <c r="P14" s="21" t="s">
        <v>401</v>
      </c>
      <c r="Q14" s="50">
        <v>5.5</v>
      </c>
      <c r="R14" s="54">
        <v>45812</v>
      </c>
      <c r="S14" s="22"/>
      <c r="T14" s="55" t="s">
        <v>2148</v>
      </c>
      <c r="U14" s="61"/>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row>
    <row r="15" customHeight="1" spans="1:47">
      <c r="A15" s="11">
        <v>13</v>
      </c>
      <c r="B15" s="16">
        <v>20253000085</v>
      </c>
      <c r="C15" s="17" t="s">
        <v>2207</v>
      </c>
      <c r="D15" s="18" t="s">
        <v>2208</v>
      </c>
      <c r="E15" s="16" t="s">
        <v>2209</v>
      </c>
      <c r="F15" s="16" t="s">
        <v>416</v>
      </c>
      <c r="G15" s="17" t="s">
        <v>2210</v>
      </c>
      <c r="H15" s="17" t="s">
        <v>2211</v>
      </c>
      <c r="I15" s="17"/>
      <c r="J15" s="17" t="s">
        <v>2207</v>
      </c>
      <c r="K15" s="17" t="s">
        <v>2212</v>
      </c>
      <c r="L15" s="18" t="s">
        <v>2213</v>
      </c>
      <c r="M15" s="15" t="s">
        <v>2214</v>
      </c>
      <c r="N15" s="41">
        <v>45737</v>
      </c>
      <c r="O15" s="39">
        <v>45804</v>
      </c>
      <c r="P15" s="16" t="s">
        <v>401</v>
      </c>
      <c r="Q15" s="50">
        <v>1.2</v>
      </c>
      <c r="R15" s="53">
        <v>45831</v>
      </c>
      <c r="S15" s="17"/>
      <c r="T15" s="17" t="s">
        <v>2215</v>
      </c>
      <c r="U15" s="61"/>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row>
    <row r="16" customHeight="1" spans="1:47">
      <c r="A16" s="11">
        <v>14</v>
      </c>
      <c r="B16" s="16">
        <v>20253000086</v>
      </c>
      <c r="C16" s="17" t="s">
        <v>2216</v>
      </c>
      <c r="D16" s="18"/>
      <c r="E16" s="16" t="s">
        <v>2217</v>
      </c>
      <c r="F16" s="16" t="s">
        <v>2218</v>
      </c>
      <c r="G16" s="337" t="s">
        <v>2219</v>
      </c>
      <c r="H16" s="17"/>
      <c r="I16" s="17"/>
      <c r="J16" s="17" t="s">
        <v>2216</v>
      </c>
      <c r="K16" s="17" t="s">
        <v>2220</v>
      </c>
      <c r="L16" s="17" t="s">
        <v>2221</v>
      </c>
      <c r="M16" s="15" t="s">
        <v>2222</v>
      </c>
      <c r="N16" s="41">
        <v>45737</v>
      </c>
      <c r="O16" s="39">
        <v>45804</v>
      </c>
      <c r="P16" s="16" t="s">
        <v>401</v>
      </c>
      <c r="Q16" s="50">
        <v>0.2</v>
      </c>
      <c r="R16" s="53">
        <v>45831</v>
      </c>
      <c r="S16" s="17"/>
      <c r="T16" s="17" t="s">
        <v>2215</v>
      </c>
      <c r="U16" s="61"/>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row>
    <row r="17" customHeight="1" spans="1:47">
      <c r="A17" s="11">
        <v>15</v>
      </c>
      <c r="B17" s="16">
        <v>20253000088</v>
      </c>
      <c r="C17" s="17" t="s">
        <v>718</v>
      </c>
      <c r="D17" s="18" t="s">
        <v>2223</v>
      </c>
      <c r="E17" s="16" t="s">
        <v>2224</v>
      </c>
      <c r="F17" s="16" t="s">
        <v>416</v>
      </c>
      <c r="G17" s="337" t="s">
        <v>2225</v>
      </c>
      <c r="H17" s="17"/>
      <c r="I17" s="17"/>
      <c r="J17" s="17" t="s">
        <v>718</v>
      </c>
      <c r="K17" s="17" t="s">
        <v>2226</v>
      </c>
      <c r="L17" s="17" t="s">
        <v>2227</v>
      </c>
      <c r="M17" s="43" t="s">
        <v>2228</v>
      </c>
      <c r="N17" s="41">
        <v>45748</v>
      </c>
      <c r="O17" s="41">
        <v>45824</v>
      </c>
      <c r="P17" s="16" t="s">
        <v>401</v>
      </c>
      <c r="Q17" s="50">
        <v>1.2</v>
      </c>
      <c r="R17" s="53">
        <v>45835</v>
      </c>
      <c r="S17" s="17"/>
      <c r="T17" s="28" t="s">
        <v>2229</v>
      </c>
      <c r="U17" s="61"/>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row>
    <row r="18" customHeight="1" spans="1:47">
      <c r="A18" s="11">
        <v>16</v>
      </c>
      <c r="B18" s="16">
        <v>20253000089</v>
      </c>
      <c r="C18" s="17" t="s">
        <v>1336</v>
      </c>
      <c r="D18" s="18"/>
      <c r="E18" s="16" t="s">
        <v>2230</v>
      </c>
      <c r="F18" s="16" t="s">
        <v>2218</v>
      </c>
      <c r="G18" s="24" t="s">
        <v>2231</v>
      </c>
      <c r="H18" s="17"/>
      <c r="I18" s="17"/>
      <c r="J18" s="17" t="s">
        <v>1336</v>
      </c>
      <c r="K18" s="17" t="s">
        <v>2232</v>
      </c>
      <c r="L18" s="17" t="s">
        <v>2233</v>
      </c>
      <c r="M18" s="43" t="s">
        <v>2234</v>
      </c>
      <c r="N18" s="41">
        <v>45748</v>
      </c>
      <c r="O18" s="41">
        <v>45824</v>
      </c>
      <c r="P18" s="16" t="s">
        <v>401</v>
      </c>
      <c r="Q18" s="50">
        <v>0.2</v>
      </c>
      <c r="R18" s="53">
        <v>45835</v>
      </c>
      <c r="S18" s="17"/>
      <c r="T18" s="28" t="s">
        <v>2229</v>
      </c>
      <c r="U18" s="61"/>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row>
    <row r="19" customHeight="1" spans="1:47">
      <c r="A19" s="11">
        <v>17</v>
      </c>
      <c r="B19" s="16">
        <v>20253000090</v>
      </c>
      <c r="C19" s="17" t="s">
        <v>1345</v>
      </c>
      <c r="D19" s="18"/>
      <c r="E19" s="16" t="s">
        <v>2235</v>
      </c>
      <c r="F19" s="16" t="s">
        <v>1794</v>
      </c>
      <c r="G19" s="25" t="s">
        <v>2236</v>
      </c>
      <c r="H19" s="17"/>
      <c r="I19" s="17"/>
      <c r="J19" s="17" t="s">
        <v>1345</v>
      </c>
      <c r="K19" s="17" t="s">
        <v>2237</v>
      </c>
      <c r="L19" s="17" t="s">
        <v>2238</v>
      </c>
      <c r="M19" s="43" t="s">
        <v>2239</v>
      </c>
      <c r="N19" s="41">
        <v>45748</v>
      </c>
      <c r="O19" s="41">
        <v>45824</v>
      </c>
      <c r="P19" s="16" t="s">
        <v>401</v>
      </c>
      <c r="Q19" s="50">
        <v>0.2</v>
      </c>
      <c r="R19" s="53">
        <v>45835</v>
      </c>
      <c r="S19" s="17"/>
      <c r="T19" s="28" t="s">
        <v>2229</v>
      </c>
      <c r="U19" s="61"/>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row>
    <row r="20" customHeight="1" spans="1:47">
      <c r="A20" s="11">
        <v>18</v>
      </c>
      <c r="B20" s="16">
        <v>20253000092</v>
      </c>
      <c r="C20" s="17" t="s">
        <v>1373</v>
      </c>
      <c r="D20" s="17" t="s">
        <v>2240</v>
      </c>
      <c r="E20" s="16" t="s">
        <v>436</v>
      </c>
      <c r="F20" s="18" t="s">
        <v>416</v>
      </c>
      <c r="G20" s="17" t="s">
        <v>2241</v>
      </c>
      <c r="H20" s="17"/>
      <c r="I20" s="17"/>
      <c r="J20" s="17" t="s">
        <v>1373</v>
      </c>
      <c r="K20" s="17" t="s">
        <v>2242</v>
      </c>
      <c r="L20" s="17" t="s">
        <v>2243</v>
      </c>
      <c r="M20" s="17" t="s">
        <v>2244</v>
      </c>
      <c r="N20" s="41">
        <v>45749</v>
      </c>
      <c r="O20" s="41">
        <v>45796</v>
      </c>
      <c r="P20" s="16" t="s">
        <v>401</v>
      </c>
      <c r="Q20" s="50">
        <v>5</v>
      </c>
      <c r="R20" s="53">
        <v>45816</v>
      </c>
      <c r="S20" s="17"/>
      <c r="T20" s="17" t="s">
        <v>2215</v>
      </c>
      <c r="U20" s="61"/>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row>
    <row r="21" customHeight="1" spans="1:47">
      <c r="A21" s="11">
        <v>19</v>
      </c>
      <c r="B21" s="16">
        <v>20253000097</v>
      </c>
      <c r="C21" s="17" t="s">
        <v>2245</v>
      </c>
      <c r="D21" s="18" t="s">
        <v>2246</v>
      </c>
      <c r="E21" s="16" t="s">
        <v>2247</v>
      </c>
      <c r="F21" s="14" t="s">
        <v>2125</v>
      </c>
      <c r="G21" s="337" t="s">
        <v>2248</v>
      </c>
      <c r="H21" s="17"/>
      <c r="I21" s="17"/>
      <c r="J21" s="17" t="s">
        <v>2245</v>
      </c>
      <c r="K21" s="17" t="s">
        <v>2249</v>
      </c>
      <c r="L21" s="17" t="s">
        <v>2250</v>
      </c>
      <c r="M21" s="17" t="s">
        <v>2251</v>
      </c>
      <c r="N21" s="41">
        <v>45750</v>
      </c>
      <c r="O21" s="41">
        <v>45835</v>
      </c>
      <c r="P21" s="16" t="s">
        <v>401</v>
      </c>
      <c r="Q21" s="50">
        <v>1.5</v>
      </c>
      <c r="R21" s="53">
        <v>45854</v>
      </c>
      <c r="S21" s="17"/>
      <c r="T21" s="17" t="s">
        <v>2215</v>
      </c>
      <c r="U21" s="61"/>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row>
    <row r="22" customHeight="1" spans="1:47">
      <c r="A22" s="11">
        <v>20</v>
      </c>
      <c r="B22" s="16">
        <v>20253000098</v>
      </c>
      <c r="C22" s="17" t="s">
        <v>2252</v>
      </c>
      <c r="D22" s="18"/>
      <c r="E22" s="16" t="s">
        <v>2253</v>
      </c>
      <c r="F22" s="14" t="s">
        <v>2125</v>
      </c>
      <c r="G22" s="337" t="s">
        <v>2254</v>
      </c>
      <c r="H22" s="17"/>
      <c r="I22" s="17"/>
      <c r="J22" s="17" t="s">
        <v>2252</v>
      </c>
      <c r="K22" s="17" t="s">
        <v>2255</v>
      </c>
      <c r="L22" s="17" t="s">
        <v>2256</v>
      </c>
      <c r="M22" s="17" t="s">
        <v>2257</v>
      </c>
      <c r="N22" s="41">
        <v>45750</v>
      </c>
      <c r="O22" s="41">
        <v>45835</v>
      </c>
      <c r="P22" s="16" t="s">
        <v>401</v>
      </c>
      <c r="Q22" s="50">
        <v>1.5</v>
      </c>
      <c r="R22" s="53">
        <v>45854</v>
      </c>
      <c r="S22" s="17"/>
      <c r="T22" s="17" t="s">
        <v>2215</v>
      </c>
      <c r="U22" s="61"/>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row>
    <row r="23" customHeight="1" spans="1:47">
      <c r="A23" s="11">
        <v>21</v>
      </c>
      <c r="B23" s="16">
        <v>20253000099</v>
      </c>
      <c r="C23" s="17" t="s">
        <v>2258</v>
      </c>
      <c r="D23" s="18"/>
      <c r="E23" s="16" t="s">
        <v>2259</v>
      </c>
      <c r="F23" s="14" t="s">
        <v>2125</v>
      </c>
      <c r="G23" s="337" t="s">
        <v>2260</v>
      </c>
      <c r="H23" s="17"/>
      <c r="I23" s="17"/>
      <c r="J23" s="17" t="s">
        <v>2258</v>
      </c>
      <c r="K23" s="17" t="s">
        <v>2261</v>
      </c>
      <c r="L23" s="17" t="s">
        <v>2262</v>
      </c>
      <c r="M23" s="17" t="s">
        <v>2263</v>
      </c>
      <c r="N23" s="41">
        <v>45750</v>
      </c>
      <c r="O23" s="41">
        <v>45835</v>
      </c>
      <c r="P23" s="16" t="s">
        <v>401</v>
      </c>
      <c r="Q23" s="50">
        <v>1.5</v>
      </c>
      <c r="R23" s="53">
        <v>45854</v>
      </c>
      <c r="S23" s="17"/>
      <c r="T23" s="17" t="s">
        <v>2215</v>
      </c>
      <c r="U23" s="61"/>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row>
    <row r="24" customHeight="1" spans="1:47">
      <c r="A24" s="11">
        <v>22</v>
      </c>
      <c r="B24" s="16">
        <v>20253000100</v>
      </c>
      <c r="C24" s="17" t="s">
        <v>1868</v>
      </c>
      <c r="D24" s="18" t="s">
        <v>2264</v>
      </c>
      <c r="E24" s="16" t="s">
        <v>2265</v>
      </c>
      <c r="F24" s="16" t="s">
        <v>2184</v>
      </c>
      <c r="G24" s="337" t="s">
        <v>2266</v>
      </c>
      <c r="H24" s="17"/>
      <c r="I24" s="17"/>
      <c r="J24" s="17" t="s">
        <v>1868</v>
      </c>
      <c r="K24" s="17" t="s">
        <v>2267</v>
      </c>
      <c r="L24" s="17" t="s">
        <v>2268</v>
      </c>
      <c r="M24" s="44" t="s">
        <v>2269</v>
      </c>
      <c r="N24" s="41">
        <v>45742</v>
      </c>
      <c r="O24" s="41">
        <v>45817</v>
      </c>
      <c r="P24" s="16" t="s">
        <v>401</v>
      </c>
      <c r="Q24" s="50">
        <v>4</v>
      </c>
      <c r="R24" s="53">
        <v>45839</v>
      </c>
      <c r="S24" s="17"/>
      <c r="T24" s="28" t="s">
        <v>1809</v>
      </c>
      <c r="U24" s="61"/>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row>
    <row r="25" customHeight="1" spans="1:47">
      <c r="A25" s="11">
        <v>23</v>
      </c>
      <c r="B25" s="16">
        <v>20253000101</v>
      </c>
      <c r="C25" s="17" t="s">
        <v>2270</v>
      </c>
      <c r="D25" s="18"/>
      <c r="E25" s="16" t="s">
        <v>2271</v>
      </c>
      <c r="F25" s="16" t="s">
        <v>416</v>
      </c>
      <c r="G25" s="337" t="s">
        <v>2272</v>
      </c>
      <c r="H25" s="17"/>
      <c r="I25" s="17"/>
      <c r="J25" s="17" t="s">
        <v>2270</v>
      </c>
      <c r="K25" s="17" t="s">
        <v>2273</v>
      </c>
      <c r="L25" s="17" t="s">
        <v>2274</v>
      </c>
      <c r="M25" s="44" t="s">
        <v>2275</v>
      </c>
      <c r="N25" s="41">
        <v>45742</v>
      </c>
      <c r="O25" s="41">
        <v>45817</v>
      </c>
      <c r="P25" s="16" t="s">
        <v>401</v>
      </c>
      <c r="Q25" s="50">
        <v>5</v>
      </c>
      <c r="R25" s="53">
        <v>45839</v>
      </c>
      <c r="S25" s="17"/>
      <c r="T25" s="28" t="s">
        <v>1809</v>
      </c>
      <c r="U25" s="61"/>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row>
    <row r="26" customHeight="1" spans="1:47">
      <c r="A26" s="11">
        <v>24</v>
      </c>
      <c r="B26" s="16">
        <v>20253000102</v>
      </c>
      <c r="C26" s="17" t="s">
        <v>1854</v>
      </c>
      <c r="D26" s="18"/>
      <c r="E26" s="16" t="s">
        <v>2276</v>
      </c>
      <c r="F26" s="16" t="s">
        <v>2150</v>
      </c>
      <c r="G26" s="17" t="s">
        <v>2277</v>
      </c>
      <c r="H26" s="17"/>
      <c r="I26" s="17"/>
      <c r="J26" s="17" t="s">
        <v>1854</v>
      </c>
      <c r="K26" s="17" t="s">
        <v>2278</v>
      </c>
      <c r="L26" s="17" t="s">
        <v>2279</v>
      </c>
      <c r="M26" s="44" t="s">
        <v>2280</v>
      </c>
      <c r="N26" s="41">
        <v>45742</v>
      </c>
      <c r="O26" s="41">
        <v>45817</v>
      </c>
      <c r="P26" s="16" t="s">
        <v>401</v>
      </c>
      <c r="Q26" s="50">
        <v>1.5</v>
      </c>
      <c r="R26" s="53">
        <v>45839</v>
      </c>
      <c r="S26" s="17"/>
      <c r="T26" s="28" t="s">
        <v>1809</v>
      </c>
      <c r="U26" s="61"/>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row>
    <row r="27" customHeight="1" spans="1:47">
      <c r="A27" s="11">
        <v>25</v>
      </c>
      <c r="B27" s="16">
        <v>20253000103</v>
      </c>
      <c r="C27" s="17" t="s">
        <v>1862</v>
      </c>
      <c r="D27" s="18"/>
      <c r="E27" s="16" t="s">
        <v>2281</v>
      </c>
      <c r="F27" s="14" t="s">
        <v>2125</v>
      </c>
      <c r="G27" s="337" t="s">
        <v>2282</v>
      </c>
      <c r="H27" s="17"/>
      <c r="I27" s="17"/>
      <c r="J27" s="17" t="s">
        <v>1862</v>
      </c>
      <c r="K27" s="17" t="s">
        <v>2283</v>
      </c>
      <c r="L27" s="17" t="s">
        <v>2284</v>
      </c>
      <c r="M27" s="44" t="s">
        <v>2285</v>
      </c>
      <c r="N27" s="41">
        <v>45742</v>
      </c>
      <c r="O27" s="41">
        <v>45817</v>
      </c>
      <c r="P27" s="16" t="s">
        <v>401</v>
      </c>
      <c r="Q27" s="50">
        <v>1.5</v>
      </c>
      <c r="R27" s="53">
        <v>45839</v>
      </c>
      <c r="S27" s="17"/>
      <c r="T27" s="28" t="s">
        <v>1809</v>
      </c>
      <c r="U27" s="61"/>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row>
    <row r="28" customHeight="1" spans="1:47">
      <c r="A28" s="11">
        <v>26</v>
      </c>
      <c r="B28" s="16">
        <v>20253000108</v>
      </c>
      <c r="C28" s="17" t="s">
        <v>2286</v>
      </c>
      <c r="D28" s="18" t="s">
        <v>2287</v>
      </c>
      <c r="E28" s="16" t="s">
        <v>2288</v>
      </c>
      <c r="F28" s="14" t="s">
        <v>2125</v>
      </c>
      <c r="G28" s="337" t="s">
        <v>2289</v>
      </c>
      <c r="H28" s="17"/>
      <c r="I28" s="17"/>
      <c r="J28" s="17" t="s">
        <v>2286</v>
      </c>
      <c r="K28" s="17" t="s">
        <v>2290</v>
      </c>
      <c r="L28" s="17" t="s">
        <v>2291</v>
      </c>
      <c r="M28" s="44" t="s">
        <v>2292</v>
      </c>
      <c r="N28" s="41">
        <v>45743</v>
      </c>
      <c r="O28" s="41">
        <v>45847</v>
      </c>
      <c r="P28" s="16" t="s">
        <v>401</v>
      </c>
      <c r="Q28" s="50">
        <v>1.5</v>
      </c>
      <c r="R28" s="53">
        <v>45853</v>
      </c>
      <c r="S28" s="17"/>
      <c r="T28" s="17" t="s">
        <v>2293</v>
      </c>
      <c r="U28" s="61"/>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row>
    <row r="29" customHeight="1" spans="1:47">
      <c r="A29" s="11">
        <v>27</v>
      </c>
      <c r="B29" s="16">
        <v>20253000110</v>
      </c>
      <c r="C29" s="17" t="s">
        <v>2294</v>
      </c>
      <c r="D29" s="18"/>
      <c r="E29" s="16" t="s">
        <v>2295</v>
      </c>
      <c r="F29" s="14" t="s">
        <v>2125</v>
      </c>
      <c r="G29" s="337" t="s">
        <v>2296</v>
      </c>
      <c r="H29" s="17"/>
      <c r="I29" s="17"/>
      <c r="J29" s="17" t="s">
        <v>2294</v>
      </c>
      <c r="K29" s="17" t="s">
        <v>2297</v>
      </c>
      <c r="L29" s="17" t="s">
        <v>2298</v>
      </c>
      <c r="M29" s="44" t="s">
        <v>2299</v>
      </c>
      <c r="N29" s="41">
        <v>45743</v>
      </c>
      <c r="O29" s="41">
        <v>45847</v>
      </c>
      <c r="P29" s="16" t="s">
        <v>401</v>
      </c>
      <c r="Q29" s="50">
        <v>1.5</v>
      </c>
      <c r="R29" s="53">
        <v>45853</v>
      </c>
      <c r="S29" s="17"/>
      <c r="T29" s="17" t="s">
        <v>2293</v>
      </c>
      <c r="U29" s="61"/>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row>
    <row r="30" customHeight="1" spans="1:47">
      <c r="A30" s="11">
        <v>28</v>
      </c>
      <c r="B30" s="16">
        <v>20253000111</v>
      </c>
      <c r="C30" s="17" t="s">
        <v>2300</v>
      </c>
      <c r="D30" s="18" t="s">
        <v>2301</v>
      </c>
      <c r="E30" s="16" t="s">
        <v>2302</v>
      </c>
      <c r="F30" s="14" t="s">
        <v>2125</v>
      </c>
      <c r="G30" s="337" t="s">
        <v>2303</v>
      </c>
      <c r="H30" s="17"/>
      <c r="I30" s="17"/>
      <c r="J30" s="17" t="s">
        <v>2300</v>
      </c>
      <c r="K30" s="17" t="s">
        <v>2304</v>
      </c>
      <c r="L30" s="17" t="s">
        <v>2305</v>
      </c>
      <c r="M30" s="44" t="s">
        <v>2306</v>
      </c>
      <c r="N30" s="41">
        <v>45743</v>
      </c>
      <c r="O30" s="41">
        <v>45847</v>
      </c>
      <c r="P30" s="16" t="s">
        <v>401</v>
      </c>
      <c r="Q30" s="50">
        <v>1.5</v>
      </c>
      <c r="R30" s="53">
        <v>45853</v>
      </c>
      <c r="S30" s="17"/>
      <c r="T30" s="17" t="s">
        <v>2293</v>
      </c>
      <c r="U30" s="61"/>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row>
    <row r="31" customHeight="1" spans="1:47">
      <c r="A31" s="11">
        <v>29</v>
      </c>
      <c r="B31" s="16">
        <v>20253000112</v>
      </c>
      <c r="C31" s="17" t="s">
        <v>2307</v>
      </c>
      <c r="D31" s="18"/>
      <c r="E31" s="16" t="s">
        <v>2308</v>
      </c>
      <c r="F31" s="14" t="s">
        <v>2125</v>
      </c>
      <c r="G31" s="337" t="s">
        <v>2309</v>
      </c>
      <c r="H31" s="17"/>
      <c r="I31" s="17"/>
      <c r="J31" s="17" t="s">
        <v>2307</v>
      </c>
      <c r="K31" s="17" t="s">
        <v>2310</v>
      </c>
      <c r="L31" s="17" t="s">
        <v>2311</v>
      </c>
      <c r="M31" s="44" t="s">
        <v>2312</v>
      </c>
      <c r="N31" s="41">
        <v>45743</v>
      </c>
      <c r="O31" s="41">
        <v>45847</v>
      </c>
      <c r="P31" s="16" t="s">
        <v>401</v>
      </c>
      <c r="Q31" s="50">
        <v>1.5</v>
      </c>
      <c r="R31" s="53">
        <v>45853</v>
      </c>
      <c r="S31" s="17"/>
      <c r="T31" s="17" t="s">
        <v>2293</v>
      </c>
      <c r="U31" s="61"/>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row>
    <row r="32" customHeight="1" spans="1:47">
      <c r="A32" s="11">
        <v>30</v>
      </c>
      <c r="B32" s="16">
        <v>20253000120</v>
      </c>
      <c r="C32" s="17" t="s">
        <v>2313</v>
      </c>
      <c r="D32" s="18" t="s">
        <v>2314</v>
      </c>
      <c r="E32" s="16" t="s">
        <v>2315</v>
      </c>
      <c r="F32" s="14" t="s">
        <v>2150</v>
      </c>
      <c r="G32" s="337" t="s">
        <v>2316</v>
      </c>
      <c r="H32" s="17"/>
      <c r="I32" s="17"/>
      <c r="J32" s="17" t="s">
        <v>2313</v>
      </c>
      <c r="K32" s="29" t="s">
        <v>2317</v>
      </c>
      <c r="L32" s="17" t="s">
        <v>2318</v>
      </c>
      <c r="M32" s="44" t="s">
        <v>2319</v>
      </c>
      <c r="N32" s="41">
        <v>45748</v>
      </c>
      <c r="O32" s="41">
        <v>45853</v>
      </c>
      <c r="P32" s="16" t="s">
        <v>401</v>
      </c>
      <c r="Q32" s="50">
        <v>1.5</v>
      </c>
      <c r="R32" s="53">
        <v>45884</v>
      </c>
      <c r="S32" s="17"/>
      <c r="T32" s="15" t="s">
        <v>2175</v>
      </c>
      <c r="U32" s="61"/>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row>
    <row r="33" customHeight="1" spans="1:47">
      <c r="A33" s="11">
        <v>31</v>
      </c>
      <c r="B33" s="16">
        <v>20253000121</v>
      </c>
      <c r="C33" s="17" t="s">
        <v>2320</v>
      </c>
      <c r="D33" s="18"/>
      <c r="E33" s="16" t="s">
        <v>2321</v>
      </c>
      <c r="F33" s="16" t="s">
        <v>2178</v>
      </c>
      <c r="G33" s="337" t="s">
        <v>2322</v>
      </c>
      <c r="H33" s="17"/>
      <c r="I33" s="17"/>
      <c r="J33" s="17" t="s">
        <v>2320</v>
      </c>
      <c r="K33" s="29" t="s">
        <v>2323</v>
      </c>
      <c r="L33" s="17" t="s">
        <v>2324</v>
      </c>
      <c r="M33" s="44" t="s">
        <v>2325</v>
      </c>
      <c r="N33" s="41">
        <v>45748</v>
      </c>
      <c r="O33" s="41">
        <v>45853</v>
      </c>
      <c r="P33" s="16" t="s">
        <v>401</v>
      </c>
      <c r="Q33" s="50">
        <v>1.5</v>
      </c>
      <c r="R33" s="53">
        <v>45884</v>
      </c>
      <c r="S33" s="17"/>
      <c r="T33" s="15" t="s">
        <v>2175</v>
      </c>
      <c r="U33" s="61"/>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row>
    <row r="34" customHeight="1" spans="1:47">
      <c r="A34" s="11">
        <v>32</v>
      </c>
      <c r="B34" s="16">
        <v>20253000122</v>
      </c>
      <c r="C34" s="17" t="s">
        <v>1800</v>
      </c>
      <c r="D34" s="18" t="s">
        <v>2326</v>
      </c>
      <c r="E34" s="16" t="s">
        <v>2327</v>
      </c>
      <c r="F34" s="16" t="s">
        <v>416</v>
      </c>
      <c r="G34" s="17" t="s">
        <v>2328</v>
      </c>
      <c r="H34" s="17"/>
      <c r="I34" s="17"/>
      <c r="J34" s="17" t="s">
        <v>2329</v>
      </c>
      <c r="K34" s="17" t="s">
        <v>2330</v>
      </c>
      <c r="L34" s="17" t="s">
        <v>2331</v>
      </c>
      <c r="M34" s="17" t="s">
        <v>2332</v>
      </c>
      <c r="N34" s="41">
        <v>45748</v>
      </c>
      <c r="O34" s="45">
        <v>45828</v>
      </c>
      <c r="P34" s="16" t="s">
        <v>401</v>
      </c>
      <c r="Q34" s="50">
        <v>1.2</v>
      </c>
      <c r="R34" s="53">
        <v>45842</v>
      </c>
      <c r="S34" s="17"/>
      <c r="T34" s="15" t="s">
        <v>2175</v>
      </c>
      <c r="U34" s="61"/>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row>
    <row r="35" customHeight="1" spans="1:47">
      <c r="A35" s="11">
        <v>33</v>
      </c>
      <c r="B35" s="16">
        <v>20253000124</v>
      </c>
      <c r="C35" s="17" t="s">
        <v>2333</v>
      </c>
      <c r="D35" s="18"/>
      <c r="E35" s="16" t="s">
        <v>2334</v>
      </c>
      <c r="F35" s="14" t="s">
        <v>2150</v>
      </c>
      <c r="G35" s="337" t="s">
        <v>2335</v>
      </c>
      <c r="H35" s="17"/>
      <c r="I35" s="17"/>
      <c r="J35" s="17" t="s">
        <v>2333</v>
      </c>
      <c r="K35" s="17" t="s">
        <v>2336</v>
      </c>
      <c r="L35" s="17" t="s">
        <v>2337</v>
      </c>
      <c r="M35" s="17" t="s">
        <v>2338</v>
      </c>
      <c r="N35" s="41">
        <v>45748</v>
      </c>
      <c r="O35" s="45">
        <v>45828</v>
      </c>
      <c r="P35" s="16" t="s">
        <v>401</v>
      </c>
      <c r="Q35" s="50">
        <v>0.2</v>
      </c>
      <c r="R35" s="53">
        <v>45842</v>
      </c>
      <c r="S35" s="17"/>
      <c r="T35" s="15" t="s">
        <v>2175</v>
      </c>
      <c r="U35" s="61"/>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row>
    <row r="36" customHeight="1" spans="1:47">
      <c r="A36" s="11">
        <v>34</v>
      </c>
      <c r="B36" s="16">
        <v>20253000125</v>
      </c>
      <c r="C36" s="17" t="s">
        <v>2339</v>
      </c>
      <c r="D36" s="18"/>
      <c r="E36" s="16" t="s">
        <v>2340</v>
      </c>
      <c r="F36" s="16" t="s">
        <v>2178</v>
      </c>
      <c r="G36" s="337" t="s">
        <v>2341</v>
      </c>
      <c r="H36" s="17"/>
      <c r="I36" s="17"/>
      <c r="J36" s="17" t="s">
        <v>2339</v>
      </c>
      <c r="K36" s="17" t="s">
        <v>2342</v>
      </c>
      <c r="L36" s="17" t="s">
        <v>2343</v>
      </c>
      <c r="M36" s="17" t="s">
        <v>2344</v>
      </c>
      <c r="N36" s="41">
        <v>45748</v>
      </c>
      <c r="O36" s="45">
        <v>45828</v>
      </c>
      <c r="P36" s="16" t="s">
        <v>401</v>
      </c>
      <c r="Q36" s="50">
        <v>0.2</v>
      </c>
      <c r="R36" s="53">
        <v>45842</v>
      </c>
      <c r="S36" s="17"/>
      <c r="T36" s="15" t="s">
        <v>2175</v>
      </c>
      <c r="U36" s="61"/>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row>
    <row r="37" customHeight="1" spans="1:47">
      <c r="A37" s="11">
        <v>35</v>
      </c>
      <c r="B37" s="16">
        <v>20253000126</v>
      </c>
      <c r="C37" s="17" t="s">
        <v>2345</v>
      </c>
      <c r="D37" s="18"/>
      <c r="E37" s="16" t="s">
        <v>2346</v>
      </c>
      <c r="F37" s="16" t="s">
        <v>425</v>
      </c>
      <c r="G37" s="337" t="s">
        <v>2347</v>
      </c>
      <c r="H37" s="17"/>
      <c r="I37" s="17"/>
      <c r="J37" s="17" t="s">
        <v>2345</v>
      </c>
      <c r="K37" s="17" t="s">
        <v>2348</v>
      </c>
      <c r="L37" s="17" t="s">
        <v>2349</v>
      </c>
      <c r="M37" s="17" t="s">
        <v>2350</v>
      </c>
      <c r="N37" s="41">
        <v>45748</v>
      </c>
      <c r="O37" s="45">
        <v>45828</v>
      </c>
      <c r="P37" s="16" t="s">
        <v>401</v>
      </c>
      <c r="Q37" s="50">
        <v>1.2</v>
      </c>
      <c r="R37" s="53">
        <v>45842</v>
      </c>
      <c r="S37" s="17"/>
      <c r="T37" s="15" t="s">
        <v>2175</v>
      </c>
      <c r="U37" s="61"/>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row>
    <row r="38" customHeight="1" spans="1:47">
      <c r="A38" s="11">
        <v>36</v>
      </c>
      <c r="B38" s="16">
        <v>20253000127</v>
      </c>
      <c r="C38" s="17" t="s">
        <v>2351</v>
      </c>
      <c r="D38" s="18"/>
      <c r="E38" s="16" t="s">
        <v>2352</v>
      </c>
      <c r="F38" s="16" t="s">
        <v>2184</v>
      </c>
      <c r="G38" s="337" t="s">
        <v>2353</v>
      </c>
      <c r="H38" s="17"/>
      <c r="I38" s="17"/>
      <c r="J38" s="17" t="s">
        <v>2351</v>
      </c>
      <c r="K38" s="29" t="s">
        <v>2354</v>
      </c>
      <c r="L38" s="17" t="s">
        <v>2355</v>
      </c>
      <c r="M38" s="17" t="s">
        <v>2356</v>
      </c>
      <c r="N38" s="41">
        <v>45748</v>
      </c>
      <c r="O38" s="45">
        <v>45828</v>
      </c>
      <c r="P38" s="16" t="s">
        <v>401</v>
      </c>
      <c r="Q38" s="50">
        <v>0.2</v>
      </c>
      <c r="R38" s="53">
        <v>45842</v>
      </c>
      <c r="S38" s="17"/>
      <c r="T38" s="15" t="s">
        <v>2175</v>
      </c>
      <c r="U38" s="61"/>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row>
    <row r="39" customHeight="1" spans="1:47">
      <c r="A39" s="11">
        <v>37</v>
      </c>
      <c r="B39" s="16">
        <v>20253000128</v>
      </c>
      <c r="C39" s="17" t="s">
        <v>2357</v>
      </c>
      <c r="D39" s="17" t="s">
        <v>2358</v>
      </c>
      <c r="E39" s="16" t="s">
        <v>2327</v>
      </c>
      <c r="F39" s="16" t="s">
        <v>416</v>
      </c>
      <c r="G39" s="17" t="s">
        <v>2328</v>
      </c>
      <c r="H39" s="17"/>
      <c r="I39" s="17"/>
      <c r="J39" s="17" t="s">
        <v>2357</v>
      </c>
      <c r="K39" s="17" t="s">
        <v>2359</v>
      </c>
      <c r="L39" s="17" t="s">
        <v>2360</v>
      </c>
      <c r="M39" s="17" t="s">
        <v>2361</v>
      </c>
      <c r="N39" s="41">
        <v>45748</v>
      </c>
      <c r="O39" s="41">
        <v>45807</v>
      </c>
      <c r="P39" s="16" t="s">
        <v>401</v>
      </c>
      <c r="Q39" s="50">
        <v>5</v>
      </c>
      <c r="R39" s="53">
        <v>45833</v>
      </c>
      <c r="S39" s="17"/>
      <c r="T39" s="17" t="s">
        <v>2215</v>
      </c>
      <c r="U39" s="61"/>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row>
    <row r="40" customHeight="1" spans="1:47">
      <c r="A40" s="11">
        <v>38</v>
      </c>
      <c r="B40" s="16">
        <v>20253000137</v>
      </c>
      <c r="C40" s="17" t="s">
        <v>1235</v>
      </c>
      <c r="D40" s="17" t="s">
        <v>2362</v>
      </c>
      <c r="E40" s="16" t="s">
        <v>2363</v>
      </c>
      <c r="F40" s="16" t="s">
        <v>416</v>
      </c>
      <c r="G40" s="17" t="s">
        <v>2364</v>
      </c>
      <c r="H40" s="17"/>
      <c r="I40" s="17"/>
      <c r="J40" s="17" t="s">
        <v>1235</v>
      </c>
      <c r="K40" s="17" t="s">
        <v>2365</v>
      </c>
      <c r="L40" s="17" t="s">
        <v>2366</v>
      </c>
      <c r="M40" s="44" t="s">
        <v>2367</v>
      </c>
      <c r="N40" s="41">
        <v>45757</v>
      </c>
      <c r="O40" s="46">
        <v>45854</v>
      </c>
      <c r="P40" s="16" t="s">
        <v>401</v>
      </c>
      <c r="Q40" s="50">
        <v>1</v>
      </c>
      <c r="R40" s="53">
        <v>45863</v>
      </c>
      <c r="S40" s="17"/>
      <c r="T40" s="28" t="s">
        <v>2368</v>
      </c>
      <c r="U40" s="61"/>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row>
    <row r="41" customHeight="1" spans="1:47">
      <c r="A41" s="11">
        <v>39</v>
      </c>
      <c r="B41" s="16">
        <v>20253000138</v>
      </c>
      <c r="C41" s="17" t="s">
        <v>1226</v>
      </c>
      <c r="D41" s="17" t="s">
        <v>2369</v>
      </c>
      <c r="E41" s="16" t="s">
        <v>2370</v>
      </c>
      <c r="F41" s="16" t="s">
        <v>416</v>
      </c>
      <c r="G41" s="17" t="s">
        <v>2371</v>
      </c>
      <c r="H41" s="17"/>
      <c r="I41" s="17"/>
      <c r="J41" s="17" t="s">
        <v>1226</v>
      </c>
      <c r="K41" s="17" t="s">
        <v>2372</v>
      </c>
      <c r="L41" s="17" t="s">
        <v>2373</v>
      </c>
      <c r="M41" s="44" t="s">
        <v>2374</v>
      </c>
      <c r="N41" s="41">
        <v>45758</v>
      </c>
      <c r="O41" s="46">
        <v>45854</v>
      </c>
      <c r="P41" s="16" t="s">
        <v>401</v>
      </c>
      <c r="Q41" s="50">
        <v>2</v>
      </c>
      <c r="R41" s="53">
        <v>45877</v>
      </c>
      <c r="S41" s="17"/>
      <c r="T41" s="28" t="s">
        <v>2368</v>
      </c>
      <c r="U41" s="61"/>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row>
    <row r="42" customHeight="1" spans="1:47">
      <c r="A42" s="11">
        <v>40</v>
      </c>
      <c r="B42" s="16">
        <v>20253000149</v>
      </c>
      <c r="C42" s="17" t="s">
        <v>2375</v>
      </c>
      <c r="D42" s="17" t="s">
        <v>2376</v>
      </c>
      <c r="E42" s="16" t="s">
        <v>2377</v>
      </c>
      <c r="F42" s="16" t="s">
        <v>416</v>
      </c>
      <c r="G42" s="17" t="s">
        <v>2378</v>
      </c>
      <c r="H42" s="17"/>
      <c r="I42" s="17"/>
      <c r="J42" s="17" t="s">
        <v>2375</v>
      </c>
      <c r="K42" s="17" t="s">
        <v>2379</v>
      </c>
      <c r="L42" s="17" t="s">
        <v>2380</v>
      </c>
      <c r="M42" s="17" t="s">
        <v>2381</v>
      </c>
      <c r="N42" s="41">
        <v>45758</v>
      </c>
      <c r="O42" s="41">
        <v>45841</v>
      </c>
      <c r="P42" s="16" t="s">
        <v>401</v>
      </c>
      <c r="Q42" s="50">
        <v>1</v>
      </c>
      <c r="R42" s="53">
        <v>45856</v>
      </c>
      <c r="S42" s="17"/>
      <c r="T42" s="17" t="s">
        <v>2293</v>
      </c>
      <c r="U42" s="61"/>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row>
    <row r="43" customHeight="1" spans="1:47">
      <c r="A43" s="11">
        <v>41</v>
      </c>
      <c r="B43" s="16">
        <v>20253000150</v>
      </c>
      <c r="C43" s="17" t="s">
        <v>2382</v>
      </c>
      <c r="D43" s="23" t="s">
        <v>2383</v>
      </c>
      <c r="E43" s="16" t="s">
        <v>2384</v>
      </c>
      <c r="F43" s="16" t="s">
        <v>416</v>
      </c>
      <c r="G43" s="17" t="s">
        <v>2385</v>
      </c>
      <c r="H43" s="17"/>
      <c r="I43" s="17"/>
      <c r="J43" s="17" t="s">
        <v>2382</v>
      </c>
      <c r="K43" s="17" t="s">
        <v>2386</v>
      </c>
      <c r="L43" s="17" t="s">
        <v>2387</v>
      </c>
      <c r="M43" s="17" t="s">
        <v>2388</v>
      </c>
      <c r="N43" s="41">
        <v>45758</v>
      </c>
      <c r="O43" s="41">
        <v>45841</v>
      </c>
      <c r="P43" s="16" t="s">
        <v>401</v>
      </c>
      <c r="Q43" s="50">
        <v>1.2</v>
      </c>
      <c r="R43" s="53">
        <v>45856</v>
      </c>
      <c r="S43" s="17"/>
      <c r="T43" s="17" t="s">
        <v>2293</v>
      </c>
      <c r="U43" s="61"/>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row>
    <row r="44" customHeight="1" spans="1:47">
      <c r="A44" s="11">
        <v>42</v>
      </c>
      <c r="B44" s="16">
        <v>20253000151</v>
      </c>
      <c r="C44" s="17" t="s">
        <v>1336</v>
      </c>
      <c r="D44" s="23"/>
      <c r="E44" s="16" t="s">
        <v>2389</v>
      </c>
      <c r="F44" s="16" t="s">
        <v>2150</v>
      </c>
      <c r="G44" s="337" t="s">
        <v>2390</v>
      </c>
      <c r="H44" s="17"/>
      <c r="I44" s="17"/>
      <c r="J44" s="17" t="s">
        <v>1336</v>
      </c>
      <c r="K44" s="17" t="s">
        <v>2391</v>
      </c>
      <c r="L44" s="17" t="s">
        <v>2392</v>
      </c>
      <c r="M44" s="17" t="s">
        <v>2393</v>
      </c>
      <c r="N44" s="41">
        <v>45758</v>
      </c>
      <c r="O44" s="41">
        <v>45841</v>
      </c>
      <c r="P44" s="16" t="s">
        <v>401</v>
      </c>
      <c r="Q44" s="50">
        <v>0.2</v>
      </c>
      <c r="R44" s="53">
        <v>45856</v>
      </c>
      <c r="S44" s="17"/>
      <c r="T44" s="17" t="s">
        <v>2293</v>
      </c>
      <c r="U44" s="61"/>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row>
    <row r="45" customHeight="1" spans="1:47">
      <c r="A45" s="11">
        <v>43</v>
      </c>
      <c r="B45" s="16">
        <v>20253000153</v>
      </c>
      <c r="C45" s="17" t="s">
        <v>1345</v>
      </c>
      <c r="D45" s="23"/>
      <c r="E45" s="16" t="s">
        <v>2394</v>
      </c>
      <c r="F45" s="16" t="s">
        <v>1794</v>
      </c>
      <c r="G45" s="17" t="s">
        <v>2395</v>
      </c>
      <c r="H45" s="17"/>
      <c r="I45" s="17"/>
      <c r="J45" s="17" t="s">
        <v>1345</v>
      </c>
      <c r="K45" s="17" t="s">
        <v>2396</v>
      </c>
      <c r="L45" s="17" t="s">
        <v>2397</v>
      </c>
      <c r="M45" s="17" t="s">
        <v>2398</v>
      </c>
      <c r="N45" s="41">
        <v>45758</v>
      </c>
      <c r="O45" s="41">
        <v>45841</v>
      </c>
      <c r="P45" s="16" t="s">
        <v>401</v>
      </c>
      <c r="Q45" s="50">
        <v>0.2</v>
      </c>
      <c r="R45" s="53">
        <v>45856</v>
      </c>
      <c r="S45" s="17"/>
      <c r="T45" s="17" t="s">
        <v>2293</v>
      </c>
      <c r="U45" s="61"/>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row>
    <row r="46" customHeight="1" spans="1:47">
      <c r="A46" s="11">
        <v>44</v>
      </c>
      <c r="B46" s="16">
        <v>20253000172</v>
      </c>
      <c r="C46" s="17" t="s">
        <v>2399</v>
      </c>
      <c r="D46" s="16" t="s">
        <v>2400</v>
      </c>
      <c r="E46" s="16" t="s">
        <v>2401</v>
      </c>
      <c r="F46" s="16" t="s">
        <v>416</v>
      </c>
      <c r="G46" s="17" t="s">
        <v>2402</v>
      </c>
      <c r="H46" s="17"/>
      <c r="I46" s="17"/>
      <c r="J46" s="17" t="s">
        <v>2399</v>
      </c>
      <c r="K46" s="17" t="s">
        <v>2403</v>
      </c>
      <c r="L46" s="17" t="s">
        <v>2404</v>
      </c>
      <c r="M46" s="44" t="s">
        <v>2405</v>
      </c>
      <c r="N46" s="41">
        <v>45761</v>
      </c>
      <c r="O46" s="45">
        <v>45832</v>
      </c>
      <c r="P46" s="16" t="s">
        <v>401</v>
      </c>
      <c r="Q46" s="50">
        <v>1.2</v>
      </c>
      <c r="R46" s="53">
        <v>45842</v>
      </c>
      <c r="S46" s="17"/>
      <c r="T46" s="17" t="s">
        <v>2406</v>
      </c>
      <c r="U46" s="61"/>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row>
    <row r="47" customHeight="1" spans="1:47">
      <c r="A47" s="11">
        <v>45</v>
      </c>
      <c r="B47" s="16">
        <v>20253000174</v>
      </c>
      <c r="C47" s="17" t="s">
        <v>2407</v>
      </c>
      <c r="D47" s="16"/>
      <c r="E47" s="16" t="s">
        <v>2408</v>
      </c>
      <c r="F47" s="16" t="s">
        <v>2409</v>
      </c>
      <c r="G47" s="337" t="s">
        <v>2410</v>
      </c>
      <c r="H47" s="17"/>
      <c r="I47" s="17"/>
      <c r="J47" s="17" t="s">
        <v>2407</v>
      </c>
      <c r="K47" s="17" t="s">
        <v>2411</v>
      </c>
      <c r="L47" s="17" t="s">
        <v>2412</v>
      </c>
      <c r="M47" s="44" t="s">
        <v>2413</v>
      </c>
      <c r="N47" s="41">
        <v>45761</v>
      </c>
      <c r="O47" s="45">
        <v>45832</v>
      </c>
      <c r="P47" s="16" t="s">
        <v>401</v>
      </c>
      <c r="Q47" s="50">
        <v>0.2</v>
      </c>
      <c r="R47" s="53">
        <v>45842</v>
      </c>
      <c r="S47" s="17"/>
      <c r="T47" s="17" t="s">
        <v>2406</v>
      </c>
      <c r="U47" s="61"/>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row>
    <row r="48" customHeight="1" spans="1:47">
      <c r="A48" s="11">
        <v>46</v>
      </c>
      <c r="B48" s="16">
        <v>20253000177</v>
      </c>
      <c r="C48" s="17" t="s">
        <v>2414</v>
      </c>
      <c r="D48" s="16" t="s">
        <v>2415</v>
      </c>
      <c r="E48" s="16" t="s">
        <v>2224</v>
      </c>
      <c r="F48" s="16" t="s">
        <v>416</v>
      </c>
      <c r="G48" s="337" t="s">
        <v>2225</v>
      </c>
      <c r="H48" s="17"/>
      <c r="I48" s="17"/>
      <c r="J48" s="17" t="s">
        <v>2414</v>
      </c>
      <c r="K48" s="17" t="s">
        <v>2416</v>
      </c>
      <c r="L48" s="17" t="s">
        <v>2417</v>
      </c>
      <c r="M48" s="44" t="s">
        <v>2418</v>
      </c>
      <c r="N48" s="41">
        <v>45769</v>
      </c>
      <c r="O48" s="41">
        <v>45856</v>
      </c>
      <c r="P48" s="16" t="s">
        <v>401</v>
      </c>
      <c r="Q48" s="50">
        <v>1.2</v>
      </c>
      <c r="R48" s="53">
        <v>45870</v>
      </c>
      <c r="S48" s="17"/>
      <c r="T48" s="17" t="s">
        <v>2406</v>
      </c>
      <c r="U48" s="61"/>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row>
    <row r="49" customHeight="1" spans="1:47">
      <c r="A49" s="11">
        <v>47</v>
      </c>
      <c r="B49" s="16">
        <v>20253000178</v>
      </c>
      <c r="C49" s="17" t="s">
        <v>2419</v>
      </c>
      <c r="D49" s="16"/>
      <c r="E49" s="16" t="s">
        <v>2420</v>
      </c>
      <c r="F49" s="16" t="s">
        <v>2150</v>
      </c>
      <c r="G49" s="337" t="s">
        <v>2421</v>
      </c>
      <c r="H49" s="17"/>
      <c r="I49" s="17"/>
      <c r="J49" s="17" t="s">
        <v>2419</v>
      </c>
      <c r="K49" s="17" t="s">
        <v>2422</v>
      </c>
      <c r="L49" s="17" t="s">
        <v>2423</v>
      </c>
      <c r="M49" s="44" t="s">
        <v>2424</v>
      </c>
      <c r="N49" s="41">
        <v>45769</v>
      </c>
      <c r="O49" s="41">
        <v>45856</v>
      </c>
      <c r="P49" s="16" t="s">
        <v>401</v>
      </c>
      <c r="Q49" s="50">
        <v>0.2</v>
      </c>
      <c r="R49" s="53">
        <v>45870</v>
      </c>
      <c r="S49" s="17"/>
      <c r="T49" s="17" t="s">
        <v>2406</v>
      </c>
      <c r="U49" s="61"/>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row>
    <row r="50" customHeight="1" spans="1:47">
      <c r="A50" s="11">
        <v>48</v>
      </c>
      <c r="B50" s="16">
        <v>20253000179</v>
      </c>
      <c r="C50" s="17" t="s">
        <v>2425</v>
      </c>
      <c r="D50" s="16"/>
      <c r="E50" s="16" t="s">
        <v>2426</v>
      </c>
      <c r="F50" s="16" t="s">
        <v>2125</v>
      </c>
      <c r="G50" s="17" t="s">
        <v>2427</v>
      </c>
      <c r="H50" s="17"/>
      <c r="I50" s="17"/>
      <c r="J50" s="17" t="s">
        <v>2425</v>
      </c>
      <c r="K50" s="17" t="s">
        <v>2428</v>
      </c>
      <c r="L50" s="17" t="s">
        <v>2429</v>
      </c>
      <c r="M50" s="44" t="s">
        <v>2430</v>
      </c>
      <c r="N50" s="41">
        <v>45769</v>
      </c>
      <c r="O50" s="41">
        <v>45856</v>
      </c>
      <c r="P50" s="16" t="s">
        <v>401</v>
      </c>
      <c r="Q50" s="50">
        <v>0.2</v>
      </c>
      <c r="R50" s="53">
        <v>45870</v>
      </c>
      <c r="S50" s="17"/>
      <c r="T50" s="17" t="s">
        <v>2406</v>
      </c>
      <c r="U50" s="61"/>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row>
    <row r="51" customHeight="1" spans="1:47">
      <c r="A51" s="11">
        <v>49</v>
      </c>
      <c r="B51" s="16">
        <v>20253000180</v>
      </c>
      <c r="C51" s="17" t="s">
        <v>2431</v>
      </c>
      <c r="D51" s="16" t="s">
        <v>2432</v>
      </c>
      <c r="E51" s="16" t="s">
        <v>1930</v>
      </c>
      <c r="F51" s="16" t="s">
        <v>416</v>
      </c>
      <c r="G51" s="17" t="s">
        <v>1931</v>
      </c>
      <c r="H51" s="17"/>
      <c r="I51" s="17"/>
      <c r="J51" s="17" t="s">
        <v>2431</v>
      </c>
      <c r="K51" s="29" t="s">
        <v>2433</v>
      </c>
      <c r="L51" s="17" t="s">
        <v>2434</v>
      </c>
      <c r="M51" s="17" t="s">
        <v>2435</v>
      </c>
      <c r="N51" s="41">
        <v>45768</v>
      </c>
      <c r="O51" s="41">
        <v>45839</v>
      </c>
      <c r="P51" s="16" t="s">
        <v>401</v>
      </c>
      <c r="Q51" s="50">
        <v>1.2</v>
      </c>
      <c r="R51" s="53">
        <v>45856</v>
      </c>
      <c r="S51" s="17"/>
      <c r="T51" s="17" t="s">
        <v>2406</v>
      </c>
      <c r="U51" s="61"/>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row>
    <row r="52" customHeight="1" spans="1:47">
      <c r="A52" s="11">
        <v>50</v>
      </c>
      <c r="B52" s="16">
        <v>20253000181</v>
      </c>
      <c r="C52" s="17" t="s">
        <v>2419</v>
      </c>
      <c r="D52" s="16"/>
      <c r="E52" s="16" t="s">
        <v>2436</v>
      </c>
      <c r="F52" s="16" t="s">
        <v>2150</v>
      </c>
      <c r="G52" s="337" t="s">
        <v>2437</v>
      </c>
      <c r="H52" s="17"/>
      <c r="I52" s="17"/>
      <c r="J52" s="17" t="s">
        <v>2419</v>
      </c>
      <c r="K52" s="17" t="s">
        <v>2438</v>
      </c>
      <c r="L52" s="17" t="s">
        <v>2439</v>
      </c>
      <c r="M52" s="17" t="s">
        <v>2440</v>
      </c>
      <c r="N52" s="41">
        <v>45768</v>
      </c>
      <c r="O52" s="41">
        <v>45839</v>
      </c>
      <c r="P52" s="16" t="s">
        <v>401</v>
      </c>
      <c r="Q52" s="50">
        <v>0.2</v>
      </c>
      <c r="R52" s="53">
        <v>45856</v>
      </c>
      <c r="S52" s="17"/>
      <c r="T52" s="17" t="s">
        <v>2406</v>
      </c>
      <c r="U52" s="61"/>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row>
    <row r="53" customHeight="1" spans="1:47">
      <c r="A53" s="11">
        <v>51</v>
      </c>
      <c r="B53" s="16">
        <v>20253000182</v>
      </c>
      <c r="C53" s="17" t="s">
        <v>2425</v>
      </c>
      <c r="D53" s="16"/>
      <c r="E53" s="16" t="s">
        <v>2441</v>
      </c>
      <c r="F53" s="16" t="s">
        <v>2125</v>
      </c>
      <c r="G53" s="337" t="s">
        <v>2442</v>
      </c>
      <c r="H53" s="17"/>
      <c r="I53" s="17"/>
      <c r="J53" s="17" t="s">
        <v>2425</v>
      </c>
      <c r="K53" s="17" t="s">
        <v>2443</v>
      </c>
      <c r="L53" s="17" t="s">
        <v>2444</v>
      </c>
      <c r="M53" s="17" t="s">
        <v>2445</v>
      </c>
      <c r="N53" s="41">
        <v>45768</v>
      </c>
      <c r="O53" s="41">
        <v>45839</v>
      </c>
      <c r="P53" s="16" t="s">
        <v>401</v>
      </c>
      <c r="Q53" s="50">
        <v>0.2</v>
      </c>
      <c r="R53" s="53">
        <v>45856</v>
      </c>
      <c r="S53" s="17"/>
      <c r="T53" s="17" t="s">
        <v>2406</v>
      </c>
      <c r="U53" s="61"/>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row>
    <row r="54" customHeight="1" spans="1:47">
      <c r="A54" s="11">
        <v>52</v>
      </c>
      <c r="B54" s="16">
        <v>20253000187</v>
      </c>
      <c r="C54" s="17" t="s">
        <v>2446</v>
      </c>
      <c r="D54" s="16" t="s">
        <v>2246</v>
      </c>
      <c r="E54" s="16" t="s">
        <v>2447</v>
      </c>
      <c r="F54" s="16" t="s">
        <v>425</v>
      </c>
      <c r="G54" s="17" t="s">
        <v>2448</v>
      </c>
      <c r="H54" s="17"/>
      <c r="I54" s="17"/>
      <c r="J54" s="17" t="s">
        <v>2446</v>
      </c>
      <c r="K54" s="17" t="s">
        <v>2449</v>
      </c>
      <c r="L54" s="17" t="s">
        <v>2450</v>
      </c>
      <c r="M54" s="44" t="s">
        <v>2451</v>
      </c>
      <c r="N54" s="41">
        <v>45757</v>
      </c>
      <c r="O54" s="41">
        <v>45853</v>
      </c>
      <c r="P54" s="16" t="s">
        <v>401</v>
      </c>
      <c r="Q54" s="50">
        <v>5</v>
      </c>
      <c r="R54" s="53">
        <v>45875</v>
      </c>
      <c r="S54" s="17"/>
      <c r="T54" s="17" t="s">
        <v>2215</v>
      </c>
      <c r="U54" s="61"/>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row>
    <row r="55" customHeight="1" spans="1:47">
      <c r="A55" s="11">
        <v>53</v>
      </c>
      <c r="B55" s="16">
        <v>20253000188</v>
      </c>
      <c r="C55" s="17" t="s">
        <v>2452</v>
      </c>
      <c r="D55" s="16"/>
      <c r="E55" s="16" t="s">
        <v>2453</v>
      </c>
      <c r="F55" s="16" t="s">
        <v>2454</v>
      </c>
      <c r="G55" s="337" t="s">
        <v>2455</v>
      </c>
      <c r="H55" s="17"/>
      <c r="I55" s="17"/>
      <c r="J55" s="17" t="s">
        <v>2452</v>
      </c>
      <c r="K55" s="17" t="s">
        <v>2456</v>
      </c>
      <c r="L55" s="17" t="s">
        <v>2457</v>
      </c>
      <c r="M55" s="44" t="s">
        <v>2458</v>
      </c>
      <c r="N55" s="41">
        <v>45757</v>
      </c>
      <c r="O55" s="41">
        <v>45853</v>
      </c>
      <c r="P55" s="16" t="s">
        <v>401</v>
      </c>
      <c r="Q55" s="50">
        <v>0.5</v>
      </c>
      <c r="R55" s="53">
        <v>45875</v>
      </c>
      <c r="S55" s="17"/>
      <c r="T55" s="17" t="s">
        <v>2215</v>
      </c>
      <c r="U55" s="61"/>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row>
    <row r="56" customHeight="1" spans="1:47">
      <c r="A56" s="11">
        <v>54</v>
      </c>
      <c r="B56" s="16">
        <v>20253000190</v>
      </c>
      <c r="C56" s="17" t="s">
        <v>2459</v>
      </c>
      <c r="D56" s="17" t="s">
        <v>2460</v>
      </c>
      <c r="E56" s="16" t="s">
        <v>2461</v>
      </c>
      <c r="F56" s="16" t="s">
        <v>2462</v>
      </c>
      <c r="G56" s="17" t="s">
        <v>2463</v>
      </c>
      <c r="H56" s="17"/>
      <c r="I56" s="17"/>
      <c r="J56" s="17" t="s">
        <v>2459</v>
      </c>
      <c r="K56" s="17" t="s">
        <v>2464</v>
      </c>
      <c r="L56" s="17" t="s">
        <v>2465</v>
      </c>
      <c r="M56" s="44" t="s">
        <v>2466</v>
      </c>
      <c r="N56" s="41">
        <v>45768</v>
      </c>
      <c r="O56" s="41">
        <v>45854</v>
      </c>
      <c r="P56" s="16" t="s">
        <v>401</v>
      </c>
      <c r="Q56" s="50">
        <v>1</v>
      </c>
      <c r="R56" s="53">
        <v>45863</v>
      </c>
      <c r="S56" s="17"/>
      <c r="T56" s="28" t="s">
        <v>2368</v>
      </c>
      <c r="U56" s="61"/>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row>
    <row r="57" customHeight="1" spans="1:47">
      <c r="A57" s="11">
        <v>55</v>
      </c>
      <c r="B57" s="16">
        <v>20253000198</v>
      </c>
      <c r="C57" s="17" t="s">
        <v>2467</v>
      </c>
      <c r="D57" s="17" t="s">
        <v>2468</v>
      </c>
      <c r="E57" s="16" t="s">
        <v>2469</v>
      </c>
      <c r="F57" s="16" t="s">
        <v>2125</v>
      </c>
      <c r="G57" s="337" t="s">
        <v>2470</v>
      </c>
      <c r="H57" s="17"/>
      <c r="I57" s="17"/>
      <c r="J57" s="17" t="s">
        <v>2467</v>
      </c>
      <c r="K57" s="17" t="s">
        <v>2471</v>
      </c>
      <c r="L57" s="17" t="s">
        <v>2472</v>
      </c>
      <c r="M57" s="44" t="s">
        <v>2473</v>
      </c>
      <c r="N57" s="41">
        <v>45784</v>
      </c>
      <c r="O57" s="41">
        <v>45855</v>
      </c>
      <c r="P57" s="16" t="s">
        <v>401</v>
      </c>
      <c r="Q57" s="50">
        <v>1.5</v>
      </c>
      <c r="R57" s="53">
        <v>45870</v>
      </c>
      <c r="S57" s="17"/>
      <c r="T57" s="17" t="s">
        <v>2215</v>
      </c>
      <c r="U57" s="62"/>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17"/>
      <c r="AT57" s="17"/>
      <c r="AU57" s="17"/>
    </row>
    <row r="58" customHeight="1" spans="1:47">
      <c r="A58" s="11">
        <v>56</v>
      </c>
      <c r="B58" s="16">
        <v>20253000199</v>
      </c>
      <c r="C58" s="17" t="s">
        <v>2474</v>
      </c>
      <c r="D58" s="16" t="s">
        <v>2475</v>
      </c>
      <c r="E58" s="16" t="s">
        <v>2476</v>
      </c>
      <c r="F58" s="16" t="s">
        <v>2477</v>
      </c>
      <c r="G58" s="337" t="s">
        <v>2478</v>
      </c>
      <c r="H58" s="17"/>
      <c r="I58" s="17"/>
      <c r="J58" s="17" t="s">
        <v>2474</v>
      </c>
      <c r="K58" s="17" t="s">
        <v>2479</v>
      </c>
      <c r="L58" s="17" t="s">
        <v>2480</v>
      </c>
      <c r="M58" s="44" t="s">
        <v>2481</v>
      </c>
      <c r="N58" s="41">
        <v>45757</v>
      </c>
      <c r="O58" s="41">
        <v>45847</v>
      </c>
      <c r="P58" s="16" t="s">
        <v>401</v>
      </c>
      <c r="Q58" s="50">
        <v>1.2</v>
      </c>
      <c r="R58" s="53">
        <v>45860</v>
      </c>
      <c r="S58" s="17"/>
      <c r="T58" s="17" t="s">
        <v>2482</v>
      </c>
      <c r="U58" s="61"/>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row>
    <row r="59" customHeight="1" spans="1:47">
      <c r="A59" s="11">
        <v>57</v>
      </c>
      <c r="B59" s="16">
        <v>20253000200</v>
      </c>
      <c r="C59" s="17" t="s">
        <v>2216</v>
      </c>
      <c r="D59" s="16"/>
      <c r="E59" s="16" t="s">
        <v>2483</v>
      </c>
      <c r="F59" s="16" t="s">
        <v>2218</v>
      </c>
      <c r="G59" s="337" t="s">
        <v>2484</v>
      </c>
      <c r="H59" s="17"/>
      <c r="I59" s="17"/>
      <c r="J59" s="17" t="s">
        <v>2216</v>
      </c>
      <c r="K59" s="17" t="s">
        <v>2485</v>
      </c>
      <c r="L59" s="17" t="s">
        <v>2486</v>
      </c>
      <c r="M59" s="44" t="s">
        <v>2487</v>
      </c>
      <c r="N59" s="41">
        <v>45757</v>
      </c>
      <c r="O59" s="41">
        <v>45847</v>
      </c>
      <c r="P59" s="16" t="s">
        <v>401</v>
      </c>
      <c r="Q59" s="50">
        <v>0.2</v>
      </c>
      <c r="R59" s="53">
        <v>45860</v>
      </c>
      <c r="S59" s="17"/>
      <c r="T59" s="17" t="s">
        <v>2482</v>
      </c>
      <c r="U59" s="61"/>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row>
    <row r="60" customHeight="1" spans="1:47">
      <c r="A60" s="11">
        <v>58</v>
      </c>
      <c r="B60" s="16">
        <v>20253000201</v>
      </c>
      <c r="C60" s="17" t="s">
        <v>2488</v>
      </c>
      <c r="D60" s="16" t="s">
        <v>2489</v>
      </c>
      <c r="E60" s="16" t="s">
        <v>2490</v>
      </c>
      <c r="F60" s="16" t="s">
        <v>2491</v>
      </c>
      <c r="G60" s="17" t="s">
        <v>2492</v>
      </c>
      <c r="H60" s="17"/>
      <c r="I60" s="17"/>
      <c r="J60" s="17" t="s">
        <v>2488</v>
      </c>
      <c r="K60" s="17" t="s">
        <v>2493</v>
      </c>
      <c r="L60" s="17" t="s">
        <v>2494</v>
      </c>
      <c r="M60" s="44" t="s">
        <v>2495</v>
      </c>
      <c r="N60" s="41">
        <v>45785</v>
      </c>
      <c r="O60" s="41">
        <v>45855</v>
      </c>
      <c r="P60" s="16" t="s">
        <v>401</v>
      </c>
      <c r="Q60" s="50">
        <v>1.2</v>
      </c>
      <c r="R60" s="53">
        <v>45874</v>
      </c>
      <c r="S60" s="17"/>
      <c r="T60" s="17" t="s">
        <v>2215</v>
      </c>
      <c r="U60" s="61"/>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row>
    <row r="61" customHeight="1" spans="1:47">
      <c r="A61" s="11">
        <v>59</v>
      </c>
      <c r="B61" s="16">
        <v>20253000202</v>
      </c>
      <c r="C61" s="17" t="s">
        <v>2216</v>
      </c>
      <c r="D61" s="16"/>
      <c r="E61" s="16" t="s">
        <v>2496</v>
      </c>
      <c r="F61" s="16" t="s">
        <v>2218</v>
      </c>
      <c r="G61" s="337" t="s">
        <v>2497</v>
      </c>
      <c r="H61" s="17"/>
      <c r="I61" s="17"/>
      <c r="J61" s="17" t="s">
        <v>2216</v>
      </c>
      <c r="K61" s="17" t="s">
        <v>2498</v>
      </c>
      <c r="L61" s="17" t="s">
        <v>2499</v>
      </c>
      <c r="M61" s="44" t="s">
        <v>2500</v>
      </c>
      <c r="N61" s="41">
        <v>45785</v>
      </c>
      <c r="O61" s="41">
        <v>45855</v>
      </c>
      <c r="P61" s="16" t="s">
        <v>401</v>
      </c>
      <c r="Q61" s="50">
        <v>0.2</v>
      </c>
      <c r="R61" s="53">
        <v>45874</v>
      </c>
      <c r="S61" s="17"/>
      <c r="T61" s="17" t="s">
        <v>2215</v>
      </c>
      <c r="U61" s="61"/>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row>
    <row r="62" customHeight="1" spans="1:47">
      <c r="A62" s="11">
        <v>60</v>
      </c>
      <c r="B62" s="16">
        <v>20253000203</v>
      </c>
      <c r="C62" s="17" t="s">
        <v>2501</v>
      </c>
      <c r="D62" s="16" t="s">
        <v>2502</v>
      </c>
      <c r="E62" s="16" t="s">
        <v>2503</v>
      </c>
      <c r="F62" s="16" t="s">
        <v>2504</v>
      </c>
      <c r="G62" s="337" t="s">
        <v>2505</v>
      </c>
      <c r="H62" s="17"/>
      <c r="I62" s="17"/>
      <c r="J62" s="17" t="s">
        <v>2501</v>
      </c>
      <c r="K62" s="29" t="s">
        <v>2506</v>
      </c>
      <c r="L62" s="17" t="s">
        <v>2507</v>
      </c>
      <c r="M62" s="44" t="s">
        <v>2508</v>
      </c>
      <c r="N62" s="41">
        <v>45785</v>
      </c>
      <c r="O62" s="41">
        <v>45855</v>
      </c>
      <c r="P62" s="16" t="s">
        <v>401</v>
      </c>
      <c r="Q62" s="50">
        <v>1.5</v>
      </c>
      <c r="R62" s="53">
        <v>45874</v>
      </c>
      <c r="S62" s="17"/>
      <c r="T62" s="17" t="s">
        <v>2215</v>
      </c>
      <c r="U62" s="61"/>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row>
    <row r="63" customHeight="1" spans="1:47">
      <c r="A63" s="11">
        <v>61</v>
      </c>
      <c r="B63" s="16">
        <v>20253000204</v>
      </c>
      <c r="C63" s="17" t="s">
        <v>2509</v>
      </c>
      <c r="D63" s="16"/>
      <c r="E63" s="16" t="s">
        <v>2510</v>
      </c>
      <c r="F63" s="16" t="s">
        <v>2504</v>
      </c>
      <c r="G63" s="337" t="s">
        <v>2511</v>
      </c>
      <c r="H63" s="17"/>
      <c r="I63" s="17"/>
      <c r="J63" s="17" t="s">
        <v>2509</v>
      </c>
      <c r="K63" s="17" t="s">
        <v>2512</v>
      </c>
      <c r="L63" s="17" t="s">
        <v>2513</v>
      </c>
      <c r="M63" s="44" t="s">
        <v>2514</v>
      </c>
      <c r="N63" s="41">
        <v>45785</v>
      </c>
      <c r="O63" s="41">
        <v>45855</v>
      </c>
      <c r="P63" s="16" t="s">
        <v>401</v>
      </c>
      <c r="Q63" s="50">
        <v>1.5</v>
      </c>
      <c r="R63" s="53">
        <v>45874</v>
      </c>
      <c r="S63" s="17"/>
      <c r="T63" s="17" t="s">
        <v>2215</v>
      </c>
      <c r="U63" s="61"/>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row>
    <row r="64" customHeight="1" spans="1:47">
      <c r="A64" s="11">
        <v>62</v>
      </c>
      <c r="B64" s="16">
        <v>20253000205</v>
      </c>
      <c r="C64" s="17" t="s">
        <v>2515</v>
      </c>
      <c r="D64" s="17" t="s">
        <v>2516</v>
      </c>
      <c r="E64" s="16" t="s">
        <v>2517</v>
      </c>
      <c r="F64" s="16" t="s">
        <v>2518</v>
      </c>
      <c r="G64" s="337" t="s">
        <v>2519</v>
      </c>
      <c r="H64" s="17"/>
      <c r="I64" s="17"/>
      <c r="J64" s="17" t="s">
        <v>2515</v>
      </c>
      <c r="K64" s="17" t="s">
        <v>2520</v>
      </c>
      <c r="L64" s="17" t="s">
        <v>2521</v>
      </c>
      <c r="M64" s="44" t="s">
        <v>2522</v>
      </c>
      <c r="N64" s="41">
        <v>45783</v>
      </c>
      <c r="O64" s="41">
        <v>45860</v>
      </c>
      <c r="P64" s="16" t="s">
        <v>401</v>
      </c>
      <c r="Q64" s="50">
        <v>2</v>
      </c>
      <c r="R64" s="53">
        <v>45884</v>
      </c>
      <c r="S64" s="17"/>
      <c r="T64" s="17" t="s">
        <v>2406</v>
      </c>
      <c r="U64" s="61"/>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row>
    <row r="65" customHeight="1" spans="1:47">
      <c r="A65" s="11">
        <v>63</v>
      </c>
      <c r="B65" s="16">
        <v>20253000210</v>
      </c>
      <c r="C65" s="17" t="s">
        <v>1235</v>
      </c>
      <c r="D65" s="16" t="s">
        <v>1761</v>
      </c>
      <c r="E65" s="16" t="s">
        <v>2523</v>
      </c>
      <c r="F65" s="16" t="s">
        <v>2524</v>
      </c>
      <c r="G65" s="17" t="s">
        <v>2525</v>
      </c>
      <c r="H65" s="17"/>
      <c r="I65" s="17"/>
      <c r="J65" s="17" t="s">
        <v>1235</v>
      </c>
      <c r="K65" s="29" t="s">
        <v>2526</v>
      </c>
      <c r="L65" s="17" t="s">
        <v>2527</v>
      </c>
      <c r="M65" s="44" t="s">
        <v>2528</v>
      </c>
      <c r="N65" s="41">
        <v>45769</v>
      </c>
      <c r="O65" s="41">
        <v>45870</v>
      </c>
      <c r="P65" s="16" t="s">
        <v>401</v>
      </c>
      <c r="Q65" s="50">
        <v>1</v>
      </c>
      <c r="R65" s="41">
        <v>45877</v>
      </c>
      <c r="S65" s="17"/>
      <c r="T65" s="15" t="s">
        <v>2175</v>
      </c>
      <c r="U65" s="61"/>
      <c r="V65" s="17"/>
      <c r="W65" s="17"/>
      <c r="X65" s="17"/>
      <c r="Y65" s="17"/>
      <c r="Z65" s="17"/>
      <c r="AA65" s="17"/>
      <c r="AB65" s="17"/>
      <c r="AC65" s="17"/>
      <c r="AD65" s="17"/>
      <c r="AE65" s="17"/>
      <c r="AF65" s="17"/>
      <c r="AG65" s="17"/>
      <c r="AH65" s="17"/>
      <c r="AI65" s="17"/>
      <c r="AJ65" s="17"/>
      <c r="AK65" s="61"/>
      <c r="AL65" s="17"/>
      <c r="AM65" s="17"/>
      <c r="AN65" s="17"/>
      <c r="AO65" s="17"/>
      <c r="AP65" s="17"/>
      <c r="AQ65" s="17"/>
      <c r="AR65" s="17"/>
      <c r="AS65" s="17"/>
      <c r="AT65" s="17"/>
      <c r="AU65" s="17"/>
    </row>
    <row r="66" customHeight="1" spans="1:47">
      <c r="A66" s="11">
        <v>64</v>
      </c>
      <c r="B66" s="16">
        <v>20253000211</v>
      </c>
      <c r="C66" s="17" t="s">
        <v>2529</v>
      </c>
      <c r="D66" s="16"/>
      <c r="E66" s="16" t="s">
        <v>2530</v>
      </c>
      <c r="F66" s="16" t="s">
        <v>2504</v>
      </c>
      <c r="G66" s="337" t="s">
        <v>2531</v>
      </c>
      <c r="H66" s="17"/>
      <c r="I66" s="17"/>
      <c r="J66" s="17" t="s">
        <v>2529</v>
      </c>
      <c r="K66" s="29" t="s">
        <v>2532</v>
      </c>
      <c r="L66" s="17" t="s">
        <v>2533</v>
      </c>
      <c r="M66" s="44" t="s">
        <v>2534</v>
      </c>
      <c r="N66" s="41">
        <v>45769</v>
      </c>
      <c r="O66" s="41">
        <v>45870</v>
      </c>
      <c r="P66" s="16" t="s">
        <v>401</v>
      </c>
      <c r="Q66" s="50">
        <v>1.5</v>
      </c>
      <c r="R66" s="41">
        <v>45877</v>
      </c>
      <c r="S66" s="17"/>
      <c r="T66" s="15" t="s">
        <v>2175</v>
      </c>
      <c r="U66" s="61"/>
      <c r="V66" s="17"/>
      <c r="W66" s="17"/>
      <c r="X66" s="17"/>
      <c r="Y66" s="17"/>
      <c r="Z66" s="17"/>
      <c r="AA66" s="17"/>
      <c r="AB66" s="17"/>
      <c r="AC66" s="17"/>
      <c r="AD66" s="17"/>
      <c r="AE66" s="17"/>
      <c r="AF66" s="17"/>
      <c r="AG66" s="17"/>
      <c r="AH66" s="17"/>
      <c r="AI66" s="17"/>
      <c r="AJ66" s="17"/>
      <c r="AK66" s="61"/>
      <c r="AL66" s="17"/>
      <c r="AM66" s="17"/>
      <c r="AN66" s="17"/>
      <c r="AO66" s="17"/>
      <c r="AP66" s="17"/>
      <c r="AQ66" s="17"/>
      <c r="AR66" s="17"/>
      <c r="AS66" s="17"/>
      <c r="AT66" s="17"/>
      <c r="AU66" s="17"/>
    </row>
    <row r="67" customHeight="1" spans="1:47">
      <c r="A67" s="11">
        <v>65</v>
      </c>
      <c r="B67" s="16">
        <v>20253000212</v>
      </c>
      <c r="C67" s="17" t="s">
        <v>2535</v>
      </c>
      <c r="D67" s="16"/>
      <c r="E67" s="16" t="s">
        <v>2536</v>
      </c>
      <c r="F67" s="16" t="s">
        <v>2504</v>
      </c>
      <c r="G67" s="337" t="s">
        <v>2537</v>
      </c>
      <c r="H67" s="17"/>
      <c r="I67" s="17"/>
      <c r="J67" s="17" t="s">
        <v>2535</v>
      </c>
      <c r="K67" s="29" t="s">
        <v>2538</v>
      </c>
      <c r="L67" s="17" t="s">
        <v>2539</v>
      </c>
      <c r="M67" s="44" t="s">
        <v>2540</v>
      </c>
      <c r="N67" s="41">
        <v>45769</v>
      </c>
      <c r="O67" s="41">
        <v>45870</v>
      </c>
      <c r="P67" s="16" t="s">
        <v>401</v>
      </c>
      <c r="Q67" s="50">
        <v>1.5</v>
      </c>
      <c r="R67" s="41">
        <v>45877</v>
      </c>
      <c r="S67" s="17"/>
      <c r="T67" s="15" t="s">
        <v>2175</v>
      </c>
      <c r="U67" s="61"/>
      <c r="V67" s="17"/>
      <c r="W67" s="17"/>
      <c r="X67" s="17"/>
      <c r="Y67" s="17"/>
      <c r="Z67" s="17"/>
      <c r="AA67" s="17"/>
      <c r="AB67" s="17"/>
      <c r="AC67" s="17"/>
      <c r="AD67" s="17"/>
      <c r="AE67" s="17"/>
      <c r="AF67" s="17"/>
      <c r="AG67" s="17"/>
      <c r="AH67" s="17"/>
      <c r="AI67" s="17"/>
      <c r="AJ67" s="17"/>
      <c r="AK67" s="61"/>
      <c r="AL67" s="17"/>
      <c r="AM67" s="17"/>
      <c r="AN67" s="17"/>
      <c r="AO67" s="17"/>
      <c r="AP67" s="17"/>
      <c r="AQ67" s="17"/>
      <c r="AR67" s="17"/>
      <c r="AS67" s="17"/>
      <c r="AT67" s="17"/>
      <c r="AU67" s="17"/>
    </row>
    <row r="68" customHeight="1" spans="1:35">
      <c r="A68" s="11">
        <v>66</v>
      </c>
      <c r="B68" s="67">
        <v>20253000214</v>
      </c>
      <c r="C68" s="43" t="s">
        <v>2541</v>
      </c>
      <c r="D68" s="43" t="s">
        <v>2542</v>
      </c>
      <c r="E68" s="67" t="s">
        <v>2543</v>
      </c>
      <c r="F68" s="67" t="s">
        <v>2504</v>
      </c>
      <c r="G68" s="99" t="s">
        <v>2544</v>
      </c>
      <c r="H68" s="80"/>
      <c r="I68" s="80"/>
      <c r="J68" s="43" t="s">
        <v>2541</v>
      </c>
      <c r="K68" s="43" t="s">
        <v>2545</v>
      </c>
      <c r="L68" s="43" t="s">
        <v>2546</v>
      </c>
      <c r="M68" s="44" t="s">
        <v>2547</v>
      </c>
      <c r="N68" s="41">
        <v>45783</v>
      </c>
      <c r="O68" s="41">
        <v>45870</v>
      </c>
      <c r="P68" s="67" t="s">
        <v>401</v>
      </c>
      <c r="Q68" s="50">
        <v>1.5</v>
      </c>
      <c r="R68" s="41">
        <v>45877</v>
      </c>
      <c r="S68" s="17"/>
      <c r="T68" s="80" t="s">
        <v>2175</v>
      </c>
      <c r="U68" s="61"/>
      <c r="V68" s="17"/>
      <c r="W68" s="17"/>
      <c r="X68" s="17"/>
      <c r="Y68" s="17"/>
      <c r="Z68" s="17"/>
      <c r="AA68" s="17"/>
      <c r="AB68" s="17"/>
      <c r="AC68" s="17"/>
      <c r="AD68" s="17"/>
      <c r="AE68" s="17"/>
      <c r="AF68" s="17"/>
      <c r="AG68" s="17"/>
      <c r="AH68" s="17"/>
      <c r="AI68" s="17"/>
    </row>
    <row r="69" customHeight="1" spans="1:35">
      <c r="A69" s="11">
        <v>67</v>
      </c>
      <c r="B69" s="67">
        <v>20253000215</v>
      </c>
      <c r="C69" s="43" t="s">
        <v>2548</v>
      </c>
      <c r="D69" s="43" t="s">
        <v>2549</v>
      </c>
      <c r="E69" s="67" t="s">
        <v>2550</v>
      </c>
      <c r="F69" s="67" t="s">
        <v>2504</v>
      </c>
      <c r="G69" s="99" t="s">
        <v>2551</v>
      </c>
      <c r="H69" s="80"/>
      <c r="I69" s="80"/>
      <c r="J69" s="43" t="s">
        <v>2548</v>
      </c>
      <c r="K69" s="43" t="s">
        <v>2552</v>
      </c>
      <c r="L69" s="43" t="s">
        <v>2553</v>
      </c>
      <c r="M69" s="44" t="s">
        <v>2554</v>
      </c>
      <c r="N69" s="41">
        <v>45783</v>
      </c>
      <c r="O69" s="41">
        <v>45870</v>
      </c>
      <c r="P69" s="67" t="s">
        <v>401</v>
      </c>
      <c r="Q69" s="50">
        <v>1.5</v>
      </c>
      <c r="R69" s="41">
        <v>45877</v>
      </c>
      <c r="S69" s="17"/>
      <c r="T69" s="80" t="s">
        <v>2175</v>
      </c>
      <c r="U69" s="61"/>
      <c r="V69" s="17"/>
      <c r="W69" s="17"/>
      <c r="X69" s="17"/>
      <c r="Y69" s="17"/>
      <c r="Z69" s="17"/>
      <c r="AA69" s="17"/>
      <c r="AB69" s="17"/>
      <c r="AC69" s="17"/>
      <c r="AD69" s="17"/>
      <c r="AE69" s="17"/>
      <c r="AF69" s="17"/>
      <c r="AG69" s="17"/>
      <c r="AH69" s="17"/>
      <c r="AI69" s="17"/>
    </row>
    <row r="70" customHeight="1" spans="1:39">
      <c r="A70" s="20">
        <v>68</v>
      </c>
      <c r="B70" s="68">
        <v>20253000218</v>
      </c>
      <c r="C70" s="69" t="s">
        <v>2555</v>
      </c>
      <c r="D70" s="70" t="s">
        <v>2556</v>
      </c>
      <c r="E70" s="68" t="s">
        <v>2557</v>
      </c>
      <c r="F70" s="69" t="s">
        <v>416</v>
      </c>
      <c r="G70" s="100" t="s">
        <v>2558</v>
      </c>
      <c r="H70" s="69"/>
      <c r="I70" s="69"/>
      <c r="J70" s="69" t="s">
        <v>2559</v>
      </c>
      <c r="K70" s="70" t="s">
        <v>2560</v>
      </c>
      <c r="L70" s="70" t="s">
        <v>2561</v>
      </c>
      <c r="M70" s="120" t="s">
        <v>2562</v>
      </c>
      <c r="N70" s="121">
        <v>45798</v>
      </c>
      <c r="O70" s="42">
        <v>45876</v>
      </c>
      <c r="P70" s="68" t="s">
        <v>401</v>
      </c>
      <c r="Q70" s="50">
        <v>5.5</v>
      </c>
      <c r="R70" s="41">
        <v>45894</v>
      </c>
      <c r="S70" s="22"/>
      <c r="T70" s="69" t="s">
        <v>2215</v>
      </c>
      <c r="U70" s="150"/>
      <c r="V70" s="22"/>
      <c r="W70" s="22"/>
      <c r="X70" s="22"/>
      <c r="Y70" s="22"/>
      <c r="Z70" s="22"/>
      <c r="AA70" s="22"/>
      <c r="AB70" s="22"/>
      <c r="AC70" s="22"/>
      <c r="AD70" s="22"/>
      <c r="AE70" s="22"/>
      <c r="AF70" s="22"/>
      <c r="AG70" s="22"/>
      <c r="AH70" s="22"/>
      <c r="AI70" s="22"/>
      <c r="AJ70" s="152"/>
      <c r="AK70" s="152"/>
      <c r="AL70" s="152"/>
      <c r="AM70" s="152"/>
    </row>
    <row r="71" customHeight="1" spans="1:35">
      <c r="A71" s="11">
        <v>69</v>
      </c>
      <c r="B71" s="71">
        <v>20253000219</v>
      </c>
      <c r="C71" s="72" t="s">
        <v>2563</v>
      </c>
      <c r="D71" s="43" t="s">
        <v>2556</v>
      </c>
      <c r="E71" s="67" t="s">
        <v>2564</v>
      </c>
      <c r="F71" s="67" t="s">
        <v>2504</v>
      </c>
      <c r="G71" s="101" t="s">
        <v>2565</v>
      </c>
      <c r="H71" s="80"/>
      <c r="I71" s="80"/>
      <c r="J71" s="72" t="s">
        <v>2563</v>
      </c>
      <c r="K71" s="43" t="s">
        <v>2566</v>
      </c>
      <c r="L71" s="43" t="s">
        <v>2567</v>
      </c>
      <c r="M71" s="44" t="s">
        <v>2568</v>
      </c>
      <c r="N71" s="122">
        <v>45783</v>
      </c>
      <c r="O71" s="41">
        <v>45870</v>
      </c>
      <c r="P71" s="67" t="s">
        <v>401</v>
      </c>
      <c r="Q71" s="50">
        <v>1.5</v>
      </c>
      <c r="R71" s="41">
        <v>45887</v>
      </c>
      <c r="S71" s="17"/>
      <c r="T71" s="80" t="s">
        <v>2215</v>
      </c>
      <c r="U71" s="61"/>
      <c r="V71" s="17"/>
      <c r="W71" s="17"/>
      <c r="X71" s="17"/>
      <c r="Y71" s="17"/>
      <c r="Z71" s="17"/>
      <c r="AA71" s="17"/>
      <c r="AB71" s="17"/>
      <c r="AC71" s="17"/>
      <c r="AD71" s="17"/>
      <c r="AE71" s="17"/>
      <c r="AF71" s="17"/>
      <c r="AG71" s="17"/>
      <c r="AH71" s="17"/>
      <c r="AI71" s="17"/>
    </row>
    <row r="72" customHeight="1" spans="1:35">
      <c r="A72" s="11">
        <v>70</v>
      </c>
      <c r="B72" s="71">
        <v>20253000220</v>
      </c>
      <c r="C72" s="72" t="s">
        <v>2569</v>
      </c>
      <c r="D72" s="43" t="s">
        <v>2556</v>
      </c>
      <c r="E72" s="102" t="s">
        <v>2570</v>
      </c>
      <c r="F72" s="67" t="s">
        <v>2504</v>
      </c>
      <c r="G72" s="101" t="s">
        <v>2571</v>
      </c>
      <c r="H72" s="80"/>
      <c r="I72" s="80"/>
      <c r="J72" s="72" t="s">
        <v>2569</v>
      </c>
      <c r="K72" s="43" t="s">
        <v>2572</v>
      </c>
      <c r="L72" s="43" t="s">
        <v>2573</v>
      </c>
      <c r="M72" s="44" t="s">
        <v>2574</v>
      </c>
      <c r="N72" s="122">
        <v>45783</v>
      </c>
      <c r="O72" s="41">
        <v>45870</v>
      </c>
      <c r="P72" s="67" t="s">
        <v>401</v>
      </c>
      <c r="Q72" s="50">
        <v>1.5</v>
      </c>
      <c r="R72" s="41">
        <v>45887</v>
      </c>
      <c r="S72" s="17"/>
      <c r="T72" s="80" t="s">
        <v>2215</v>
      </c>
      <c r="U72" s="61"/>
      <c r="V72" s="17"/>
      <c r="W72" s="17"/>
      <c r="X72" s="17"/>
      <c r="Y72" s="17"/>
      <c r="Z72" s="17"/>
      <c r="AA72" s="17"/>
      <c r="AB72" s="17"/>
      <c r="AC72" s="17"/>
      <c r="AD72" s="17"/>
      <c r="AE72" s="61"/>
      <c r="AF72" s="17"/>
      <c r="AG72" s="17"/>
      <c r="AH72" s="17"/>
      <c r="AI72" s="17"/>
    </row>
    <row r="73" customHeight="1" spans="1:30">
      <c r="A73" s="73">
        <v>71</v>
      </c>
      <c r="B73" s="74">
        <v>20253000221</v>
      </c>
      <c r="C73" s="75" t="s">
        <v>1373</v>
      </c>
      <c r="D73" s="75" t="s">
        <v>2575</v>
      </c>
      <c r="E73" s="77" t="s">
        <v>2576</v>
      </c>
      <c r="F73" s="80" t="s">
        <v>416</v>
      </c>
      <c r="G73" s="103" t="s">
        <v>2577</v>
      </c>
      <c r="H73" s="80"/>
      <c r="I73" s="80"/>
      <c r="J73" s="80" t="s">
        <v>2578</v>
      </c>
      <c r="K73" s="112" t="s">
        <v>2579</v>
      </c>
      <c r="L73" s="80" t="s">
        <v>2580</v>
      </c>
      <c r="M73" s="44" t="s">
        <v>2581</v>
      </c>
      <c r="N73" s="122">
        <v>45790</v>
      </c>
      <c r="O73" s="41">
        <v>45876</v>
      </c>
      <c r="P73" s="80" t="s">
        <v>401</v>
      </c>
      <c r="Q73" s="50">
        <v>1</v>
      </c>
      <c r="R73" s="41">
        <v>45888</v>
      </c>
      <c r="S73" s="17"/>
      <c r="T73" s="80" t="s">
        <v>2368</v>
      </c>
      <c r="U73" s="61"/>
      <c r="V73" s="17"/>
      <c r="W73" s="17"/>
      <c r="X73" s="17"/>
      <c r="Y73" s="17"/>
      <c r="Z73" s="17"/>
      <c r="AA73" s="17"/>
      <c r="AB73" s="17"/>
      <c r="AC73" s="17"/>
      <c r="AD73" s="17"/>
    </row>
    <row r="74" customHeight="1" spans="1:30">
      <c r="A74" s="76" t="s">
        <v>2582</v>
      </c>
      <c r="B74" s="74">
        <v>20253000222</v>
      </c>
      <c r="C74" s="75" t="s">
        <v>2583</v>
      </c>
      <c r="D74" s="77" t="s">
        <v>2584</v>
      </c>
      <c r="E74" s="77" t="s">
        <v>2585</v>
      </c>
      <c r="F74" s="75" t="s">
        <v>416</v>
      </c>
      <c r="G74" s="103" t="s">
        <v>2586</v>
      </c>
      <c r="H74" s="75"/>
      <c r="I74" s="75"/>
      <c r="J74" s="75" t="s">
        <v>2587</v>
      </c>
      <c r="K74" s="108" t="s">
        <v>2588</v>
      </c>
      <c r="L74" s="80" t="s">
        <v>2589</v>
      </c>
      <c r="M74" s="96" t="s">
        <v>2590</v>
      </c>
      <c r="N74" s="122">
        <v>45789</v>
      </c>
      <c r="O74" s="41">
        <v>45876</v>
      </c>
      <c r="P74" s="80" t="s">
        <v>401</v>
      </c>
      <c r="Q74" s="50">
        <v>1</v>
      </c>
      <c r="R74" s="41">
        <v>45896</v>
      </c>
      <c r="S74" s="17"/>
      <c r="T74" s="80" t="s">
        <v>2215</v>
      </c>
      <c r="U74" s="61"/>
      <c r="V74" s="17"/>
      <c r="W74" s="17"/>
      <c r="X74" s="17"/>
      <c r="Y74" s="17"/>
      <c r="Z74" s="17"/>
      <c r="AA74" s="17"/>
      <c r="AB74" s="17"/>
      <c r="AC74" s="17"/>
      <c r="AD74" s="17"/>
    </row>
    <row r="75" customHeight="1" spans="1:30">
      <c r="A75" s="76" t="s">
        <v>2591</v>
      </c>
      <c r="B75" s="78" t="s">
        <v>2592</v>
      </c>
      <c r="C75" s="75" t="s">
        <v>2593</v>
      </c>
      <c r="D75" s="77" t="s">
        <v>2584</v>
      </c>
      <c r="E75" s="77" t="s">
        <v>2594</v>
      </c>
      <c r="F75" s="75" t="s">
        <v>2218</v>
      </c>
      <c r="G75" s="103" t="s">
        <v>2595</v>
      </c>
      <c r="H75" s="75"/>
      <c r="I75" s="75"/>
      <c r="J75" s="75" t="s">
        <v>2596</v>
      </c>
      <c r="K75" s="108" t="s">
        <v>2597</v>
      </c>
      <c r="L75" s="75" t="s">
        <v>2598</v>
      </c>
      <c r="M75" s="96" t="s">
        <v>2599</v>
      </c>
      <c r="N75" s="122">
        <v>45789</v>
      </c>
      <c r="O75" s="41">
        <v>45876</v>
      </c>
      <c r="P75" s="75" t="s">
        <v>401</v>
      </c>
      <c r="Q75" s="50">
        <v>1.5</v>
      </c>
      <c r="R75" s="41">
        <v>45896</v>
      </c>
      <c r="S75" s="17"/>
      <c r="T75" s="75" t="s">
        <v>2215</v>
      </c>
      <c r="U75" s="61"/>
      <c r="V75" s="17"/>
      <c r="W75" s="17"/>
      <c r="X75" s="17"/>
      <c r="Y75" s="17"/>
      <c r="Z75" s="17"/>
      <c r="AA75" s="17"/>
      <c r="AB75" s="17"/>
      <c r="AC75" s="17"/>
      <c r="AD75" s="17"/>
    </row>
    <row r="76" customHeight="1" spans="1:30">
      <c r="A76" s="79">
        <v>74</v>
      </c>
      <c r="B76" s="78" t="s">
        <v>2600</v>
      </c>
      <c r="C76" s="75" t="s">
        <v>2593</v>
      </c>
      <c r="D76" s="77" t="s">
        <v>2584</v>
      </c>
      <c r="E76" s="77" t="s">
        <v>2601</v>
      </c>
      <c r="F76" s="80" t="s">
        <v>2504</v>
      </c>
      <c r="G76" s="103" t="s">
        <v>2602</v>
      </c>
      <c r="H76" s="80"/>
      <c r="I76" s="80"/>
      <c r="J76" s="75" t="s">
        <v>2596</v>
      </c>
      <c r="K76" s="112" t="s">
        <v>2603</v>
      </c>
      <c r="L76" s="75" t="s">
        <v>2604</v>
      </c>
      <c r="M76" s="96" t="s">
        <v>2605</v>
      </c>
      <c r="N76" s="123">
        <v>45789</v>
      </c>
      <c r="O76" s="41">
        <v>45876</v>
      </c>
      <c r="P76" s="75" t="s">
        <v>401</v>
      </c>
      <c r="Q76" s="50">
        <v>1.5</v>
      </c>
      <c r="R76" s="41">
        <v>45896</v>
      </c>
      <c r="S76" s="17"/>
      <c r="T76" s="75" t="s">
        <v>2215</v>
      </c>
      <c r="U76" s="61"/>
      <c r="V76" s="17"/>
      <c r="W76" s="17"/>
      <c r="X76" s="17"/>
      <c r="Y76" s="17"/>
      <c r="Z76" s="17"/>
      <c r="AA76" s="17"/>
      <c r="AB76" s="17"/>
      <c r="AC76" s="17"/>
      <c r="AD76" s="17"/>
    </row>
    <row r="77" customHeight="1" spans="1:30">
      <c r="A77" s="79">
        <v>75</v>
      </c>
      <c r="B77" s="78" t="s">
        <v>2606</v>
      </c>
      <c r="C77" s="75" t="s">
        <v>1276</v>
      </c>
      <c r="D77" s="77" t="s">
        <v>307</v>
      </c>
      <c r="E77" s="77" t="s">
        <v>2607</v>
      </c>
      <c r="F77" s="75" t="s">
        <v>416</v>
      </c>
      <c r="G77" s="103" t="s">
        <v>2608</v>
      </c>
      <c r="H77" s="80"/>
      <c r="I77" s="80"/>
      <c r="J77" s="80" t="s">
        <v>2609</v>
      </c>
      <c r="K77" s="112" t="s">
        <v>2610</v>
      </c>
      <c r="L77" s="80" t="s">
        <v>2611</v>
      </c>
      <c r="M77" s="44" t="s">
        <v>2612</v>
      </c>
      <c r="N77" s="123">
        <v>45799</v>
      </c>
      <c r="O77" s="41">
        <v>45876</v>
      </c>
      <c r="P77" s="75" t="s">
        <v>401</v>
      </c>
      <c r="Q77" s="50">
        <v>1.2</v>
      </c>
      <c r="R77" s="41">
        <v>45883</v>
      </c>
      <c r="S77" s="17"/>
      <c r="T77" s="75" t="s">
        <v>2215</v>
      </c>
      <c r="U77" s="61"/>
      <c r="V77" s="17"/>
      <c r="W77" s="17"/>
      <c r="X77" s="17"/>
      <c r="Y77" s="17"/>
      <c r="Z77" s="17"/>
      <c r="AA77" s="17"/>
      <c r="AB77" s="17"/>
      <c r="AC77" s="17"/>
      <c r="AD77" s="17"/>
    </row>
    <row r="78" customHeight="1" spans="1:30">
      <c r="A78" s="79">
        <v>76</v>
      </c>
      <c r="B78" s="78" t="s">
        <v>2606</v>
      </c>
      <c r="C78" s="75" t="s">
        <v>1276</v>
      </c>
      <c r="D78" s="77" t="s">
        <v>307</v>
      </c>
      <c r="E78" s="77" t="s">
        <v>2613</v>
      </c>
      <c r="F78" s="80" t="s">
        <v>2504</v>
      </c>
      <c r="G78" s="103" t="s">
        <v>2614</v>
      </c>
      <c r="H78" s="80"/>
      <c r="I78" s="80"/>
      <c r="J78" s="80" t="s">
        <v>2609</v>
      </c>
      <c r="K78" s="112" t="s">
        <v>2610</v>
      </c>
      <c r="L78" s="75" t="s">
        <v>2615</v>
      </c>
      <c r="M78" s="44" t="s">
        <v>2616</v>
      </c>
      <c r="N78" s="123">
        <v>45799</v>
      </c>
      <c r="O78" s="41">
        <v>45876</v>
      </c>
      <c r="P78" s="75" t="s">
        <v>401</v>
      </c>
      <c r="Q78" s="50">
        <v>0.2</v>
      </c>
      <c r="R78" s="41">
        <v>45883</v>
      </c>
      <c r="S78" s="17"/>
      <c r="T78" s="75" t="s">
        <v>2215</v>
      </c>
      <c r="U78" s="61"/>
      <c r="V78" s="61"/>
      <c r="W78" s="17"/>
      <c r="X78" s="17"/>
      <c r="Y78" s="17"/>
      <c r="Z78" s="17"/>
      <c r="AA78" s="17"/>
      <c r="AB78" s="17"/>
      <c r="AC78" s="17"/>
      <c r="AD78" s="17"/>
    </row>
    <row r="79" customHeight="1" spans="1:21">
      <c r="A79" s="73">
        <v>77</v>
      </c>
      <c r="B79" s="78" t="s">
        <v>2617</v>
      </c>
      <c r="C79" s="80" t="s">
        <v>2618</v>
      </c>
      <c r="D79" s="80" t="s">
        <v>2619</v>
      </c>
      <c r="E79" s="104" t="s">
        <v>2043</v>
      </c>
      <c r="F79" s="75" t="s">
        <v>416</v>
      </c>
      <c r="G79" s="103" t="s">
        <v>2044</v>
      </c>
      <c r="H79" s="80"/>
      <c r="I79" s="80"/>
      <c r="J79" s="80" t="s">
        <v>2578</v>
      </c>
      <c r="K79" s="79" t="s">
        <v>2620</v>
      </c>
      <c r="L79" s="75" t="s">
        <v>2621</v>
      </c>
      <c r="M79" s="44" t="s">
        <v>2622</v>
      </c>
      <c r="N79" s="123">
        <v>45792</v>
      </c>
      <c r="O79" s="41">
        <v>45876</v>
      </c>
      <c r="P79" s="75" t="s">
        <v>401</v>
      </c>
      <c r="Q79" s="50">
        <v>1</v>
      </c>
      <c r="R79" s="41">
        <v>45890</v>
      </c>
      <c r="S79" s="17"/>
      <c r="T79" s="80" t="s">
        <v>2623</v>
      </c>
      <c r="U79" s="61"/>
    </row>
    <row r="80" customHeight="1" spans="1:21">
      <c r="A80" s="73">
        <v>78</v>
      </c>
      <c r="B80" s="78" t="s">
        <v>2624</v>
      </c>
      <c r="C80" s="80" t="s">
        <v>2625</v>
      </c>
      <c r="D80" s="81" t="s">
        <v>2626</v>
      </c>
      <c r="E80" s="104" t="s">
        <v>2627</v>
      </c>
      <c r="F80" s="75" t="s">
        <v>416</v>
      </c>
      <c r="G80" s="103" t="s">
        <v>2628</v>
      </c>
      <c r="H80" s="80"/>
      <c r="I80" s="80"/>
      <c r="J80" s="80" t="s">
        <v>2578</v>
      </c>
      <c r="K80" s="79" t="s">
        <v>2629</v>
      </c>
      <c r="L80" s="75" t="s">
        <v>2630</v>
      </c>
      <c r="M80" s="44" t="s">
        <v>2631</v>
      </c>
      <c r="N80" s="123">
        <v>45792</v>
      </c>
      <c r="O80" s="41">
        <v>45876</v>
      </c>
      <c r="P80" s="75" t="s">
        <v>401</v>
      </c>
      <c r="Q80" s="50">
        <v>2.5</v>
      </c>
      <c r="R80" s="41">
        <v>45894</v>
      </c>
      <c r="S80" s="17"/>
      <c r="T80" s="80" t="s">
        <v>2623</v>
      </c>
      <c r="U80" s="61"/>
    </row>
    <row r="81" customHeight="1" spans="1:21">
      <c r="A81" s="73">
        <v>79</v>
      </c>
      <c r="B81" s="78" t="s">
        <v>2632</v>
      </c>
      <c r="C81" s="80" t="s">
        <v>2633</v>
      </c>
      <c r="D81" s="80" t="s">
        <v>2634</v>
      </c>
      <c r="E81" s="80" t="s">
        <v>2635</v>
      </c>
      <c r="F81" s="80" t="s">
        <v>2504</v>
      </c>
      <c r="G81" s="103" t="s">
        <v>2636</v>
      </c>
      <c r="H81" s="80"/>
      <c r="I81" s="80"/>
      <c r="J81" s="75" t="s">
        <v>2596</v>
      </c>
      <c r="K81" s="79" t="s">
        <v>2637</v>
      </c>
      <c r="L81" s="75" t="s">
        <v>2638</v>
      </c>
      <c r="M81" s="44" t="s">
        <v>2639</v>
      </c>
      <c r="N81" s="123">
        <v>45799</v>
      </c>
      <c r="O81" s="41">
        <v>45876</v>
      </c>
      <c r="P81" s="75" t="s">
        <v>401</v>
      </c>
      <c r="Q81" s="50">
        <v>1.5</v>
      </c>
      <c r="R81" s="41">
        <v>45894</v>
      </c>
      <c r="S81" s="17"/>
      <c r="T81" s="80" t="s">
        <v>2623</v>
      </c>
      <c r="U81" s="61"/>
    </row>
    <row r="82" customHeight="1" spans="1:21">
      <c r="A82" s="73">
        <v>80</v>
      </c>
      <c r="B82" s="78" t="s">
        <v>2640</v>
      </c>
      <c r="C82" s="80" t="s">
        <v>2641</v>
      </c>
      <c r="D82" s="80" t="s">
        <v>2642</v>
      </c>
      <c r="E82" s="105" t="s">
        <v>2643</v>
      </c>
      <c r="F82" s="80" t="s">
        <v>2504</v>
      </c>
      <c r="G82" s="103" t="s">
        <v>2644</v>
      </c>
      <c r="H82" s="80"/>
      <c r="I82" s="80"/>
      <c r="J82" s="75" t="s">
        <v>2596</v>
      </c>
      <c r="K82" s="79" t="s">
        <v>2645</v>
      </c>
      <c r="L82" s="75" t="s">
        <v>2646</v>
      </c>
      <c r="M82" s="44" t="s">
        <v>2647</v>
      </c>
      <c r="N82" s="123">
        <v>45783</v>
      </c>
      <c r="O82" s="41">
        <v>45870</v>
      </c>
      <c r="P82" s="75" t="s">
        <v>401</v>
      </c>
      <c r="Q82" s="50">
        <v>1.5</v>
      </c>
      <c r="R82" s="41">
        <v>45883</v>
      </c>
      <c r="S82" s="17"/>
      <c r="T82" s="80" t="s">
        <v>2623</v>
      </c>
      <c r="U82" s="61"/>
    </row>
    <row r="83" customHeight="1" spans="1:21">
      <c r="A83" s="82">
        <v>81</v>
      </c>
      <c r="B83" s="83">
        <v>20253000249</v>
      </c>
      <c r="C83" s="84" t="s">
        <v>2648</v>
      </c>
      <c r="D83" s="84" t="s">
        <v>2649</v>
      </c>
      <c r="E83" s="83" t="s">
        <v>2650</v>
      </c>
      <c r="F83" s="106" t="s">
        <v>416</v>
      </c>
      <c r="G83" s="103" t="s">
        <v>2651</v>
      </c>
      <c r="H83" s="84"/>
      <c r="I83" s="84"/>
      <c r="J83" s="106" t="s">
        <v>2652</v>
      </c>
      <c r="K83" s="82" t="s">
        <v>2653</v>
      </c>
      <c r="L83" s="106" t="s">
        <v>2654</v>
      </c>
      <c r="M83" s="90" t="s">
        <v>2655</v>
      </c>
      <c r="N83" s="124">
        <v>45813</v>
      </c>
      <c r="O83" s="125">
        <v>45888</v>
      </c>
      <c r="P83" s="106" t="s">
        <v>401</v>
      </c>
      <c r="Q83" s="50">
        <v>5.5</v>
      </c>
      <c r="R83" s="41">
        <v>45905</v>
      </c>
      <c r="S83" s="138"/>
      <c r="T83" s="139" t="s">
        <v>2215</v>
      </c>
      <c r="U83" s="151"/>
    </row>
    <row r="84" customHeight="1" spans="1:20">
      <c r="A84" s="85">
        <v>82</v>
      </c>
      <c r="B84" s="78" t="s">
        <v>2656</v>
      </c>
      <c r="C84" s="80" t="s">
        <v>2657</v>
      </c>
      <c r="D84" s="80" t="s">
        <v>2658</v>
      </c>
      <c r="E84" s="107" t="s">
        <v>2659</v>
      </c>
      <c r="F84" s="80" t="s">
        <v>2660</v>
      </c>
      <c r="G84" s="103" t="s">
        <v>2661</v>
      </c>
      <c r="H84" s="80"/>
      <c r="I84" s="80"/>
      <c r="J84" s="75" t="s">
        <v>2596</v>
      </c>
      <c r="K84" s="79" t="s">
        <v>2662</v>
      </c>
      <c r="L84" s="75" t="s">
        <v>2663</v>
      </c>
      <c r="M84" s="96" t="s">
        <v>2664</v>
      </c>
      <c r="N84" s="123">
        <v>45807</v>
      </c>
      <c r="O84" s="39">
        <v>45896</v>
      </c>
      <c r="P84" s="75" t="s">
        <v>401</v>
      </c>
      <c r="Q84" s="50">
        <v>1.5</v>
      </c>
      <c r="R84" s="140">
        <v>45909</v>
      </c>
      <c r="S84" s="17"/>
      <c r="T84" s="80" t="s">
        <v>2406</v>
      </c>
    </row>
    <row r="85" customHeight="1" spans="1:20">
      <c r="A85" s="85">
        <v>83</v>
      </c>
      <c r="B85" s="86">
        <v>20253000251</v>
      </c>
      <c r="C85" s="80" t="s">
        <v>2665</v>
      </c>
      <c r="D85" s="80" t="s">
        <v>2658</v>
      </c>
      <c r="E85" s="80" t="s">
        <v>2666</v>
      </c>
      <c r="F85" s="75" t="s">
        <v>416</v>
      </c>
      <c r="G85" s="103" t="s">
        <v>2667</v>
      </c>
      <c r="H85" s="80"/>
      <c r="I85" s="80"/>
      <c r="J85" s="80" t="s">
        <v>2668</v>
      </c>
      <c r="K85" s="112" t="s">
        <v>2669</v>
      </c>
      <c r="L85" s="75" t="s">
        <v>2670</v>
      </c>
      <c r="M85" s="96" t="s">
        <v>2671</v>
      </c>
      <c r="N85" s="123">
        <v>45807</v>
      </c>
      <c r="O85" s="39">
        <v>45896</v>
      </c>
      <c r="P85" s="75" t="s">
        <v>401</v>
      </c>
      <c r="Q85" s="50">
        <v>2</v>
      </c>
      <c r="R85" s="140">
        <v>45909</v>
      </c>
      <c r="S85" s="17"/>
      <c r="T85" s="80" t="s">
        <v>2406</v>
      </c>
    </row>
    <row r="86" customHeight="1" spans="1:20">
      <c r="A86" s="85">
        <v>84</v>
      </c>
      <c r="B86" s="79">
        <v>20253000262</v>
      </c>
      <c r="C86" s="80" t="s">
        <v>1800</v>
      </c>
      <c r="D86" s="80" t="s">
        <v>2672</v>
      </c>
      <c r="E86" s="107" t="s">
        <v>2673</v>
      </c>
      <c r="F86" s="75" t="s">
        <v>416</v>
      </c>
      <c r="G86" s="103" t="s">
        <v>2674</v>
      </c>
      <c r="H86" s="80"/>
      <c r="I86" s="80"/>
      <c r="J86" s="80" t="s">
        <v>2675</v>
      </c>
      <c r="K86" s="79" t="s">
        <v>2676</v>
      </c>
      <c r="L86" s="113" t="s">
        <v>2677</v>
      </c>
      <c r="M86" s="96" t="s">
        <v>2678</v>
      </c>
      <c r="N86" s="123">
        <v>45811</v>
      </c>
      <c r="O86" s="39">
        <v>45896</v>
      </c>
      <c r="P86" s="75" t="s">
        <v>401</v>
      </c>
      <c r="Q86" s="50">
        <v>1.2</v>
      </c>
      <c r="R86" s="140">
        <v>45909</v>
      </c>
      <c r="S86" s="17"/>
      <c r="T86" s="80" t="s">
        <v>2368</v>
      </c>
    </row>
    <row r="87" customHeight="1" spans="1:20">
      <c r="A87" s="85">
        <v>85</v>
      </c>
      <c r="B87" s="86">
        <v>20253000264</v>
      </c>
      <c r="C87" s="80" t="s">
        <v>2679</v>
      </c>
      <c r="D87" s="87" t="s">
        <v>2680</v>
      </c>
      <c r="E87" s="107" t="s">
        <v>2681</v>
      </c>
      <c r="F87" s="80" t="s">
        <v>2150</v>
      </c>
      <c r="G87" s="103" t="s">
        <v>2682</v>
      </c>
      <c r="H87" s="80"/>
      <c r="I87" s="80"/>
      <c r="J87" s="80" t="s">
        <v>2675</v>
      </c>
      <c r="K87" s="112" t="s">
        <v>2683</v>
      </c>
      <c r="L87" s="112" t="s">
        <v>2684</v>
      </c>
      <c r="M87" s="96" t="s">
        <v>2685</v>
      </c>
      <c r="N87" s="123">
        <v>45811</v>
      </c>
      <c r="O87" s="39">
        <v>45896</v>
      </c>
      <c r="P87" s="75" t="s">
        <v>401</v>
      </c>
      <c r="Q87" s="50">
        <v>0.2</v>
      </c>
      <c r="R87" s="140">
        <v>45909</v>
      </c>
      <c r="S87" s="17"/>
      <c r="T87" s="80" t="s">
        <v>2368</v>
      </c>
    </row>
    <row r="88" customHeight="1" spans="1:20">
      <c r="A88" s="85">
        <v>86</v>
      </c>
      <c r="B88" s="86">
        <v>20253000265</v>
      </c>
      <c r="C88" s="80" t="s">
        <v>2686</v>
      </c>
      <c r="D88" s="88"/>
      <c r="E88" s="107" t="s">
        <v>2687</v>
      </c>
      <c r="F88" s="80" t="s">
        <v>2125</v>
      </c>
      <c r="G88" s="76" t="s">
        <v>2688</v>
      </c>
      <c r="H88" s="80"/>
      <c r="I88" s="80"/>
      <c r="J88" s="80" t="s">
        <v>2675</v>
      </c>
      <c r="K88" s="112" t="s">
        <v>2689</v>
      </c>
      <c r="L88" s="75" t="s">
        <v>2690</v>
      </c>
      <c r="M88" s="96" t="s">
        <v>2691</v>
      </c>
      <c r="N88" s="123">
        <v>45811</v>
      </c>
      <c r="O88" s="39">
        <v>45896</v>
      </c>
      <c r="P88" s="75" t="s">
        <v>401</v>
      </c>
      <c r="Q88" s="50">
        <v>0.2</v>
      </c>
      <c r="R88" s="140">
        <v>45909</v>
      </c>
      <c r="S88" s="17"/>
      <c r="T88" s="80" t="s">
        <v>2368</v>
      </c>
    </row>
    <row r="89" customHeight="1" spans="1:20">
      <c r="A89" s="85">
        <v>87</v>
      </c>
      <c r="B89" s="44">
        <v>20253000269</v>
      </c>
      <c r="C89" s="80" t="s">
        <v>2692</v>
      </c>
      <c r="D89" s="89"/>
      <c r="E89" s="105" t="s">
        <v>2693</v>
      </c>
      <c r="F89" s="80" t="s">
        <v>2125</v>
      </c>
      <c r="G89" s="108" t="s">
        <v>2694</v>
      </c>
      <c r="H89" s="80"/>
      <c r="I89" s="80"/>
      <c r="J89" s="75" t="s">
        <v>2596</v>
      </c>
      <c r="K89" s="112" t="s">
        <v>2695</v>
      </c>
      <c r="L89" s="80" t="s">
        <v>2696</v>
      </c>
      <c r="M89" s="96" t="s">
        <v>2697</v>
      </c>
      <c r="N89" s="123">
        <v>45811</v>
      </c>
      <c r="O89" s="39">
        <v>45896</v>
      </c>
      <c r="P89" s="75" t="s">
        <v>401</v>
      </c>
      <c r="Q89" s="50">
        <v>1.5</v>
      </c>
      <c r="R89" s="141" t="s">
        <v>2698</v>
      </c>
      <c r="S89" s="17"/>
      <c r="T89" s="80" t="s">
        <v>2175</v>
      </c>
    </row>
    <row r="90" customHeight="1" spans="1:20">
      <c r="A90" s="85">
        <v>88</v>
      </c>
      <c r="B90" s="90">
        <v>20253000282</v>
      </c>
      <c r="C90" s="84" t="s">
        <v>2198</v>
      </c>
      <c r="D90" s="91" t="s">
        <v>2699</v>
      </c>
      <c r="E90" s="109" t="s">
        <v>2700</v>
      </c>
      <c r="F90" s="106" t="s">
        <v>416</v>
      </c>
      <c r="G90" s="82" t="s">
        <v>2701</v>
      </c>
      <c r="H90" s="84"/>
      <c r="I90" s="84"/>
      <c r="J90" s="106" t="s">
        <v>2652</v>
      </c>
      <c r="K90" s="91" t="s">
        <v>2702</v>
      </c>
      <c r="L90" s="84" t="s">
        <v>2703</v>
      </c>
      <c r="M90" s="126" t="s">
        <v>2704</v>
      </c>
      <c r="N90" s="124">
        <v>45820</v>
      </c>
      <c r="O90" s="41">
        <v>45905</v>
      </c>
      <c r="P90" s="106" t="s">
        <v>401</v>
      </c>
      <c r="Q90" s="50">
        <v>5.5</v>
      </c>
      <c r="R90" s="141" t="s">
        <v>2698</v>
      </c>
      <c r="S90" s="138"/>
      <c r="T90" s="84" t="s">
        <v>2368</v>
      </c>
    </row>
    <row r="91" customHeight="1" spans="1:20">
      <c r="A91" s="85">
        <v>89</v>
      </c>
      <c r="B91" s="92" t="s">
        <v>2705</v>
      </c>
      <c r="C91" s="93" t="s">
        <v>1226</v>
      </c>
      <c r="D91" s="93" t="s">
        <v>2706</v>
      </c>
      <c r="E91" s="93" t="s">
        <v>2707</v>
      </c>
      <c r="F91" s="93" t="s">
        <v>1959</v>
      </c>
      <c r="G91" s="92" t="s">
        <v>2708</v>
      </c>
      <c r="H91" s="93"/>
      <c r="I91" s="93"/>
      <c r="J91" s="92" t="s">
        <v>2709</v>
      </c>
      <c r="K91" s="93" t="s">
        <v>2710</v>
      </c>
      <c r="L91" s="92" t="s">
        <v>2711</v>
      </c>
      <c r="M91" s="96" t="s">
        <v>2712</v>
      </c>
      <c r="N91" s="127">
        <v>45805</v>
      </c>
      <c r="O91" s="41">
        <v>45910</v>
      </c>
      <c r="P91" s="75" t="s">
        <v>401</v>
      </c>
      <c r="Q91" s="50">
        <v>2</v>
      </c>
      <c r="R91" s="141" t="s">
        <v>2698</v>
      </c>
      <c r="S91" s="17"/>
      <c r="T91" s="80" t="s">
        <v>2368</v>
      </c>
    </row>
    <row r="92" customHeight="1" spans="1:20">
      <c r="A92" s="85">
        <v>90</v>
      </c>
      <c r="B92" s="92" t="s">
        <v>2713</v>
      </c>
      <c r="C92" s="93" t="s">
        <v>1868</v>
      </c>
      <c r="D92" s="94" t="s">
        <v>2714</v>
      </c>
      <c r="E92" s="93" t="s">
        <v>2715</v>
      </c>
      <c r="F92" s="93" t="s">
        <v>2184</v>
      </c>
      <c r="G92" s="92" t="s">
        <v>2716</v>
      </c>
      <c r="H92" s="93"/>
      <c r="I92" s="93"/>
      <c r="J92" s="92" t="s">
        <v>2717</v>
      </c>
      <c r="K92" s="93" t="s">
        <v>2718</v>
      </c>
      <c r="L92" s="92" t="s">
        <v>2719</v>
      </c>
      <c r="M92" s="44" t="s">
        <v>2720</v>
      </c>
      <c r="N92" s="127">
        <v>45805</v>
      </c>
      <c r="O92" s="41">
        <v>45888</v>
      </c>
      <c r="P92" s="75" t="s">
        <v>401</v>
      </c>
      <c r="Q92" s="50">
        <v>4</v>
      </c>
      <c r="R92" s="142">
        <v>45898</v>
      </c>
      <c r="S92" s="17"/>
      <c r="T92" s="80" t="s">
        <v>2406</v>
      </c>
    </row>
    <row r="93" customHeight="1" spans="1:20">
      <c r="A93" s="85">
        <v>91</v>
      </c>
      <c r="B93" s="93">
        <v>20253000287</v>
      </c>
      <c r="C93" s="93" t="s">
        <v>2721</v>
      </c>
      <c r="D93" s="94" t="s">
        <v>2714</v>
      </c>
      <c r="E93" s="93" t="s">
        <v>2722</v>
      </c>
      <c r="F93" s="93" t="s">
        <v>2125</v>
      </c>
      <c r="G93" s="92" t="s">
        <v>2723</v>
      </c>
      <c r="H93" s="93"/>
      <c r="I93" s="93"/>
      <c r="J93" s="92" t="s">
        <v>2724</v>
      </c>
      <c r="K93" s="93" t="s">
        <v>2725</v>
      </c>
      <c r="L93" s="93" t="s">
        <v>2726</v>
      </c>
      <c r="M93" s="44" t="s">
        <v>2727</v>
      </c>
      <c r="N93" s="127">
        <v>45805</v>
      </c>
      <c r="O93" s="41">
        <v>45888</v>
      </c>
      <c r="P93" s="75" t="s">
        <v>401</v>
      </c>
      <c r="Q93" s="50">
        <v>1.5</v>
      </c>
      <c r="R93" s="142">
        <v>45898</v>
      </c>
      <c r="S93" s="17"/>
      <c r="T93" s="80" t="s">
        <v>2406</v>
      </c>
    </row>
    <row r="94" customHeight="1" spans="1:20">
      <c r="A94" s="85">
        <v>92</v>
      </c>
      <c r="B94" s="93">
        <v>20253000288</v>
      </c>
      <c r="C94" s="93" t="s">
        <v>2728</v>
      </c>
      <c r="D94" s="94" t="s">
        <v>2714</v>
      </c>
      <c r="E94" s="93" t="s">
        <v>2729</v>
      </c>
      <c r="F94" s="93" t="s">
        <v>2150</v>
      </c>
      <c r="G94" s="92" t="s">
        <v>2730</v>
      </c>
      <c r="H94" s="93"/>
      <c r="I94" s="93"/>
      <c r="J94" s="92" t="s">
        <v>2724</v>
      </c>
      <c r="K94" s="93" t="s">
        <v>2731</v>
      </c>
      <c r="L94" s="93" t="s">
        <v>2732</v>
      </c>
      <c r="M94" s="44" t="s">
        <v>2733</v>
      </c>
      <c r="N94" s="127">
        <v>45805</v>
      </c>
      <c r="O94" s="41">
        <v>45888</v>
      </c>
      <c r="P94" s="75" t="s">
        <v>401</v>
      </c>
      <c r="Q94" s="50">
        <v>1.5</v>
      </c>
      <c r="R94" s="142">
        <v>45898</v>
      </c>
      <c r="S94" s="17"/>
      <c r="T94" s="80" t="s">
        <v>2406</v>
      </c>
    </row>
    <row r="95" customHeight="1" spans="1:20">
      <c r="A95" s="85">
        <v>93</v>
      </c>
      <c r="B95" s="93">
        <v>20253000289</v>
      </c>
      <c r="C95" s="93" t="s">
        <v>1373</v>
      </c>
      <c r="D95" s="94" t="s">
        <v>2714</v>
      </c>
      <c r="E95" s="93" t="s">
        <v>2734</v>
      </c>
      <c r="F95" s="93" t="s">
        <v>416</v>
      </c>
      <c r="G95" s="92" t="s">
        <v>2735</v>
      </c>
      <c r="H95" s="93"/>
      <c r="I95" s="93"/>
      <c r="J95" s="92" t="s">
        <v>2578</v>
      </c>
      <c r="K95" s="93" t="s">
        <v>2736</v>
      </c>
      <c r="L95" s="93" t="s">
        <v>2737</v>
      </c>
      <c r="M95" s="44" t="s">
        <v>2738</v>
      </c>
      <c r="N95" s="127">
        <v>45805</v>
      </c>
      <c r="O95" s="41">
        <v>45888</v>
      </c>
      <c r="P95" s="75" t="s">
        <v>401</v>
      </c>
      <c r="Q95" s="50">
        <v>1</v>
      </c>
      <c r="R95" s="142">
        <v>45898</v>
      </c>
      <c r="S95" s="17"/>
      <c r="T95" s="80" t="s">
        <v>2406</v>
      </c>
    </row>
    <row r="96" customHeight="1" spans="1:20">
      <c r="A96" s="85">
        <v>94</v>
      </c>
      <c r="B96" s="93">
        <v>20253000290</v>
      </c>
      <c r="C96" s="93" t="s">
        <v>2728</v>
      </c>
      <c r="D96" s="93" t="s">
        <v>2739</v>
      </c>
      <c r="E96" s="93" t="s">
        <v>2740</v>
      </c>
      <c r="F96" s="93" t="s">
        <v>2150</v>
      </c>
      <c r="G96" s="92" t="s">
        <v>2741</v>
      </c>
      <c r="H96" s="93"/>
      <c r="I96" s="93"/>
      <c r="J96" s="92" t="s">
        <v>2742</v>
      </c>
      <c r="K96" s="93" t="s">
        <v>2743</v>
      </c>
      <c r="L96" s="93" t="s">
        <v>2744</v>
      </c>
      <c r="M96" s="96" t="s">
        <v>2745</v>
      </c>
      <c r="N96" s="127">
        <v>45805</v>
      </c>
      <c r="O96" s="128">
        <v>45882</v>
      </c>
      <c r="P96" s="75" t="s">
        <v>401</v>
      </c>
      <c r="Q96" s="50">
        <v>1.5</v>
      </c>
      <c r="R96" s="142">
        <v>45894</v>
      </c>
      <c r="S96" s="17"/>
      <c r="T96" s="80" t="s">
        <v>2406</v>
      </c>
    </row>
    <row r="97" customHeight="1" spans="1:20">
      <c r="A97" s="85">
        <v>95</v>
      </c>
      <c r="B97" s="93">
        <v>20253000291</v>
      </c>
      <c r="C97" s="93" t="s">
        <v>1373</v>
      </c>
      <c r="D97" s="93" t="s">
        <v>2739</v>
      </c>
      <c r="E97" s="93" t="s">
        <v>2746</v>
      </c>
      <c r="F97" s="93" t="s">
        <v>416</v>
      </c>
      <c r="G97" s="92" t="s">
        <v>2747</v>
      </c>
      <c r="H97" s="93"/>
      <c r="I97" s="93"/>
      <c r="J97" s="92" t="s">
        <v>2578</v>
      </c>
      <c r="K97" s="93" t="s">
        <v>2748</v>
      </c>
      <c r="L97" s="93" t="s">
        <v>2749</v>
      </c>
      <c r="M97" s="96" t="s">
        <v>2750</v>
      </c>
      <c r="N97" s="127">
        <v>45805</v>
      </c>
      <c r="O97" s="128">
        <v>45882</v>
      </c>
      <c r="P97" s="75" t="s">
        <v>401</v>
      </c>
      <c r="Q97" s="50">
        <v>1</v>
      </c>
      <c r="R97" s="142">
        <v>45894</v>
      </c>
      <c r="S97" s="17"/>
      <c r="T97" s="80" t="s">
        <v>2406</v>
      </c>
    </row>
    <row r="98" ht="52" customHeight="1" spans="1:20">
      <c r="A98" s="44">
        <v>96</v>
      </c>
      <c r="B98" s="93">
        <v>20253000312</v>
      </c>
      <c r="C98" s="93" t="s">
        <v>1373</v>
      </c>
      <c r="D98" s="93" t="s">
        <v>2751</v>
      </c>
      <c r="E98" s="93" t="s">
        <v>2752</v>
      </c>
      <c r="F98" s="93" t="s">
        <v>416</v>
      </c>
      <c r="G98" s="92" t="s">
        <v>2753</v>
      </c>
      <c r="H98" s="93"/>
      <c r="I98" s="93"/>
      <c r="J98" s="93" t="s">
        <v>2578</v>
      </c>
      <c r="K98" s="93" t="s">
        <v>2754</v>
      </c>
      <c r="L98" s="93" t="s">
        <v>2755</v>
      </c>
      <c r="M98" s="96" t="s">
        <v>2756</v>
      </c>
      <c r="N98" s="127">
        <v>45839</v>
      </c>
      <c r="O98" s="128">
        <v>45903</v>
      </c>
      <c r="P98" s="75" t="s">
        <v>401</v>
      </c>
      <c r="Q98" s="50">
        <v>1</v>
      </c>
      <c r="R98" s="142">
        <v>45919</v>
      </c>
      <c r="S98" s="80"/>
      <c r="T98" s="93" t="s">
        <v>2757</v>
      </c>
    </row>
    <row r="99" ht="71" customHeight="1" spans="1:20">
      <c r="A99" s="44">
        <v>96</v>
      </c>
      <c r="B99" s="93">
        <v>20253000300</v>
      </c>
      <c r="C99" s="93" t="s">
        <v>2758</v>
      </c>
      <c r="D99" s="93" t="s">
        <v>2376</v>
      </c>
      <c r="E99" s="93" t="s">
        <v>2759</v>
      </c>
      <c r="F99" s="93" t="s">
        <v>2760</v>
      </c>
      <c r="G99" s="92" t="s">
        <v>2761</v>
      </c>
      <c r="H99" s="93"/>
      <c r="I99" s="93"/>
      <c r="J99" s="93" t="s">
        <v>2742</v>
      </c>
      <c r="K99" s="94" t="s">
        <v>2762</v>
      </c>
      <c r="L99" s="93" t="s">
        <v>2763</v>
      </c>
      <c r="M99" s="96" t="s">
        <v>2764</v>
      </c>
      <c r="N99" s="129">
        <v>45848</v>
      </c>
      <c r="O99" s="128">
        <v>45911</v>
      </c>
      <c r="P99" s="75" t="s">
        <v>401</v>
      </c>
      <c r="Q99" s="50">
        <v>1.5</v>
      </c>
      <c r="R99" s="17"/>
      <c r="S99" s="17"/>
      <c r="T99" s="17" t="s">
        <v>2293</v>
      </c>
    </row>
    <row r="100" customHeight="1" spans="1:20">
      <c r="A100" s="44">
        <v>97</v>
      </c>
      <c r="B100" s="44">
        <v>20253000308</v>
      </c>
      <c r="C100" s="44" t="s">
        <v>2765</v>
      </c>
      <c r="D100" s="93" t="s">
        <v>2376</v>
      </c>
      <c r="E100" s="44" t="s">
        <v>2766</v>
      </c>
      <c r="F100" s="93" t="s">
        <v>2150</v>
      </c>
      <c r="G100" s="92" t="s">
        <v>2767</v>
      </c>
      <c r="H100" s="44"/>
      <c r="I100" s="44"/>
      <c r="J100" s="93" t="s">
        <v>2742</v>
      </c>
      <c r="K100" s="93" t="s">
        <v>2768</v>
      </c>
      <c r="L100" s="44" t="s">
        <v>2769</v>
      </c>
      <c r="M100" s="96" t="s">
        <v>2770</v>
      </c>
      <c r="N100" s="129">
        <v>45821</v>
      </c>
      <c r="O100" s="128">
        <v>45911</v>
      </c>
      <c r="P100" s="75" t="s">
        <v>401</v>
      </c>
      <c r="Q100" s="50">
        <v>1.5</v>
      </c>
      <c r="R100" s="17"/>
      <c r="S100" s="17"/>
      <c r="T100" s="17" t="s">
        <v>2293</v>
      </c>
    </row>
    <row r="101" customHeight="1" spans="1:20">
      <c r="A101" s="44">
        <v>98</v>
      </c>
      <c r="B101" s="44">
        <v>20253000309</v>
      </c>
      <c r="C101" s="44" t="s">
        <v>2771</v>
      </c>
      <c r="D101" s="93" t="s">
        <v>2376</v>
      </c>
      <c r="E101" s="44" t="s">
        <v>2772</v>
      </c>
      <c r="F101" s="93" t="s">
        <v>2760</v>
      </c>
      <c r="G101" s="92" t="s">
        <v>2773</v>
      </c>
      <c r="H101" s="44"/>
      <c r="I101" s="44"/>
      <c r="J101" s="93" t="s">
        <v>2742</v>
      </c>
      <c r="K101" s="44" t="s">
        <v>2774</v>
      </c>
      <c r="L101" s="44" t="s">
        <v>2775</v>
      </c>
      <c r="M101" s="96" t="s">
        <v>2776</v>
      </c>
      <c r="N101" s="129">
        <v>45821</v>
      </c>
      <c r="O101" s="128">
        <v>45911</v>
      </c>
      <c r="P101" s="75" t="s">
        <v>401</v>
      </c>
      <c r="Q101" s="50">
        <v>1.5</v>
      </c>
      <c r="R101" s="17"/>
      <c r="S101" s="17"/>
      <c r="T101" s="17" t="s">
        <v>2293</v>
      </c>
    </row>
    <row r="102" customHeight="1" spans="1:20">
      <c r="A102" s="44">
        <v>99</v>
      </c>
      <c r="B102" s="93">
        <v>20253000305</v>
      </c>
      <c r="C102" s="93" t="s">
        <v>2777</v>
      </c>
      <c r="D102" s="93" t="s">
        <v>2778</v>
      </c>
      <c r="E102" s="93" t="s">
        <v>2779</v>
      </c>
      <c r="F102" s="93" t="s">
        <v>2150</v>
      </c>
      <c r="G102" s="92" t="s">
        <v>2780</v>
      </c>
      <c r="H102" s="93"/>
      <c r="I102" s="93"/>
      <c r="J102" s="93" t="s">
        <v>2742</v>
      </c>
      <c r="K102" s="93" t="s">
        <v>2781</v>
      </c>
      <c r="L102" s="93" t="s">
        <v>2782</v>
      </c>
      <c r="M102" s="96" t="s">
        <v>2783</v>
      </c>
      <c r="N102" s="129">
        <v>45821</v>
      </c>
      <c r="O102" s="128">
        <v>45911</v>
      </c>
      <c r="P102" s="75" t="s">
        <v>401</v>
      </c>
      <c r="Q102" s="50">
        <v>1.5</v>
      </c>
      <c r="R102" s="17"/>
      <c r="S102" s="17"/>
      <c r="T102" s="17" t="s">
        <v>2293</v>
      </c>
    </row>
    <row r="103" customHeight="1" spans="1:20">
      <c r="A103" s="44">
        <v>100</v>
      </c>
      <c r="B103" s="44">
        <v>20253000306</v>
      </c>
      <c r="C103" s="93" t="s">
        <v>2784</v>
      </c>
      <c r="D103" s="93" t="s">
        <v>2778</v>
      </c>
      <c r="E103" s="44" t="s">
        <v>2785</v>
      </c>
      <c r="F103" s="44" t="s">
        <v>2760</v>
      </c>
      <c r="G103" s="92" t="s">
        <v>2786</v>
      </c>
      <c r="H103" s="44"/>
      <c r="I103" s="44"/>
      <c r="J103" s="93" t="s">
        <v>2742</v>
      </c>
      <c r="K103" s="114" t="s">
        <v>2787</v>
      </c>
      <c r="L103" s="44" t="s">
        <v>2788</v>
      </c>
      <c r="M103" s="96" t="s">
        <v>2789</v>
      </c>
      <c r="N103" s="129">
        <v>45821</v>
      </c>
      <c r="O103" s="128">
        <v>45911</v>
      </c>
      <c r="P103" s="75" t="s">
        <v>401</v>
      </c>
      <c r="Q103" s="50">
        <v>1.5</v>
      </c>
      <c r="R103" s="17"/>
      <c r="S103" s="17"/>
      <c r="T103" s="17" t="s">
        <v>2293</v>
      </c>
    </row>
    <row r="104" customHeight="1" spans="1:20">
      <c r="A104" s="44">
        <v>102</v>
      </c>
      <c r="B104" s="44">
        <v>20253000319</v>
      </c>
      <c r="C104" s="44" t="s">
        <v>2790</v>
      </c>
      <c r="D104" s="44" t="s">
        <v>2791</v>
      </c>
      <c r="E104" s="44" t="s">
        <v>2792</v>
      </c>
      <c r="F104" s="110" t="s">
        <v>2793</v>
      </c>
      <c r="G104" s="92" t="s">
        <v>2794</v>
      </c>
      <c r="H104" s="44"/>
      <c r="I104" s="44"/>
      <c r="J104" s="93" t="s">
        <v>2742</v>
      </c>
      <c r="K104" s="44" t="s">
        <v>2795</v>
      </c>
      <c r="L104" s="44" t="s">
        <v>2796</v>
      </c>
      <c r="M104" s="130" t="s">
        <v>2797</v>
      </c>
      <c r="N104" s="129">
        <v>45848</v>
      </c>
      <c r="O104" s="128">
        <v>45930</v>
      </c>
      <c r="P104" s="78" t="s">
        <v>401</v>
      </c>
      <c r="Q104" s="50">
        <v>1.5</v>
      </c>
      <c r="R104" s="17"/>
      <c r="S104" s="73"/>
      <c r="T104" s="44" t="s">
        <v>2215</v>
      </c>
    </row>
    <row r="105" customHeight="1" spans="1:20">
      <c r="A105" s="44">
        <v>103</v>
      </c>
      <c r="B105" s="44">
        <v>20253000320</v>
      </c>
      <c r="C105" s="44" t="s">
        <v>2798</v>
      </c>
      <c r="D105" s="44" t="s">
        <v>2791</v>
      </c>
      <c r="E105" s="44" t="s">
        <v>2799</v>
      </c>
      <c r="F105" s="110" t="s">
        <v>2800</v>
      </c>
      <c r="G105" s="92" t="s">
        <v>2801</v>
      </c>
      <c r="H105" s="44"/>
      <c r="I105" s="44"/>
      <c r="J105" s="93" t="s">
        <v>2742</v>
      </c>
      <c r="K105" s="44" t="s">
        <v>2802</v>
      </c>
      <c r="L105" s="44" t="s">
        <v>2803</v>
      </c>
      <c r="M105" s="130" t="s">
        <v>2804</v>
      </c>
      <c r="N105" s="129">
        <v>45848</v>
      </c>
      <c r="O105" s="128">
        <v>45930</v>
      </c>
      <c r="P105" s="78" t="s">
        <v>401</v>
      </c>
      <c r="Q105" s="50">
        <v>1.5</v>
      </c>
      <c r="R105" s="17"/>
      <c r="S105" s="73"/>
      <c r="T105" s="44" t="s">
        <v>2215</v>
      </c>
    </row>
    <row r="106" customHeight="1" spans="1:20">
      <c r="A106" s="44">
        <v>104</v>
      </c>
      <c r="B106" s="44">
        <v>20253000321</v>
      </c>
      <c r="C106" s="44" t="s">
        <v>2805</v>
      </c>
      <c r="D106" s="44" t="s">
        <v>2806</v>
      </c>
      <c r="E106" s="44" t="s">
        <v>2807</v>
      </c>
      <c r="F106" s="93" t="s">
        <v>416</v>
      </c>
      <c r="G106" s="92" t="s">
        <v>2808</v>
      </c>
      <c r="H106" s="44"/>
      <c r="I106" s="44"/>
      <c r="J106" s="44" t="s">
        <v>2809</v>
      </c>
      <c r="K106" s="44" t="s">
        <v>2810</v>
      </c>
      <c r="L106" s="44" t="s">
        <v>2811</v>
      </c>
      <c r="M106" s="44"/>
      <c r="N106" s="129">
        <v>45839</v>
      </c>
      <c r="O106" s="131"/>
      <c r="P106" s="78" t="s">
        <v>401</v>
      </c>
      <c r="Q106" s="50">
        <v>1.2</v>
      </c>
      <c r="R106" s="17"/>
      <c r="S106" s="73"/>
      <c r="T106" s="44" t="s">
        <v>2215</v>
      </c>
    </row>
    <row r="107" customHeight="1" spans="1:20">
      <c r="A107" s="44">
        <v>105</v>
      </c>
      <c r="B107" s="44">
        <v>20253000323</v>
      </c>
      <c r="C107" s="44" t="s">
        <v>2812</v>
      </c>
      <c r="D107" s="44" t="s">
        <v>2806</v>
      </c>
      <c r="E107" s="44" t="s">
        <v>2813</v>
      </c>
      <c r="F107" s="44" t="s">
        <v>2800</v>
      </c>
      <c r="G107" s="92" t="s">
        <v>2814</v>
      </c>
      <c r="H107" s="44"/>
      <c r="I107" s="44"/>
      <c r="J107" s="44" t="s">
        <v>2809</v>
      </c>
      <c r="K107" s="44" t="s">
        <v>2815</v>
      </c>
      <c r="L107" s="44" t="s">
        <v>2816</v>
      </c>
      <c r="M107" s="44"/>
      <c r="N107" s="129">
        <v>45839</v>
      </c>
      <c r="O107" s="131"/>
      <c r="P107" s="78" t="s">
        <v>401</v>
      </c>
      <c r="Q107" s="50">
        <v>0.2</v>
      </c>
      <c r="R107" s="17"/>
      <c r="S107" s="73"/>
      <c r="T107" s="44" t="s">
        <v>2215</v>
      </c>
    </row>
    <row r="108" customHeight="1" spans="1:20">
      <c r="A108" s="44">
        <v>106</v>
      </c>
      <c r="B108" s="90">
        <v>20253000324</v>
      </c>
      <c r="C108" s="90" t="s">
        <v>2817</v>
      </c>
      <c r="D108" s="90" t="s">
        <v>2818</v>
      </c>
      <c r="E108" s="90" t="s">
        <v>2819</v>
      </c>
      <c r="F108" s="90" t="s">
        <v>416</v>
      </c>
      <c r="G108" s="92" t="s">
        <v>2820</v>
      </c>
      <c r="H108" s="90"/>
      <c r="I108" s="90"/>
      <c r="J108" s="90" t="s">
        <v>2821</v>
      </c>
      <c r="K108" s="90" t="s">
        <v>2822</v>
      </c>
      <c r="L108" s="90" t="s">
        <v>2823</v>
      </c>
      <c r="M108" s="132" t="s">
        <v>2824</v>
      </c>
      <c r="N108" s="133">
        <v>45839</v>
      </c>
      <c r="O108" s="128">
        <v>45928</v>
      </c>
      <c r="P108" s="134" t="s">
        <v>401</v>
      </c>
      <c r="Q108" s="50">
        <v>5.5</v>
      </c>
      <c r="R108" s="143"/>
      <c r="S108" s="144"/>
      <c r="T108" s="145" t="s">
        <v>2368</v>
      </c>
    </row>
    <row r="109" customHeight="1" spans="1:20">
      <c r="A109" s="44">
        <v>107</v>
      </c>
      <c r="B109" s="44">
        <v>20253000325</v>
      </c>
      <c r="C109" s="44" t="s">
        <v>2825</v>
      </c>
      <c r="D109" s="44" t="s">
        <v>2010</v>
      </c>
      <c r="E109" s="44" t="s">
        <v>1438</v>
      </c>
      <c r="F109" s="44" t="s">
        <v>2826</v>
      </c>
      <c r="G109" s="92" t="s">
        <v>1439</v>
      </c>
      <c r="H109" s="44" t="s">
        <v>2827</v>
      </c>
      <c r="I109" s="44">
        <v>75526788572</v>
      </c>
      <c r="J109" s="44" t="s">
        <v>2578</v>
      </c>
      <c r="K109" s="44" t="s">
        <v>2828</v>
      </c>
      <c r="L109" s="44" t="s">
        <v>2829</v>
      </c>
      <c r="M109" s="44" t="s">
        <v>2830</v>
      </c>
      <c r="N109" s="129">
        <v>45848</v>
      </c>
      <c r="O109" s="128">
        <v>45930</v>
      </c>
      <c r="P109" s="78" t="s">
        <v>401</v>
      </c>
      <c r="Q109" s="50">
        <v>1</v>
      </c>
      <c r="R109" s="17"/>
      <c r="S109" s="73"/>
      <c r="T109" s="44" t="s">
        <v>2293</v>
      </c>
    </row>
    <row r="110" customHeight="1" spans="1:20">
      <c r="A110" s="44">
        <v>108</v>
      </c>
      <c r="B110" s="44">
        <v>20253000326</v>
      </c>
      <c r="C110" s="44" t="s">
        <v>2831</v>
      </c>
      <c r="D110" s="44" t="s">
        <v>2832</v>
      </c>
      <c r="E110" s="44" t="s">
        <v>2833</v>
      </c>
      <c r="F110" s="110" t="s">
        <v>2793</v>
      </c>
      <c r="G110" s="92" t="s">
        <v>2834</v>
      </c>
      <c r="H110" s="44"/>
      <c r="I110" s="44"/>
      <c r="J110" s="44" t="s">
        <v>2596</v>
      </c>
      <c r="K110" s="44" t="s">
        <v>2835</v>
      </c>
      <c r="L110" s="44" t="s">
        <v>2836</v>
      </c>
      <c r="M110" s="44" t="s">
        <v>2837</v>
      </c>
      <c r="N110" s="129">
        <v>45854</v>
      </c>
      <c r="O110" s="128">
        <v>45930</v>
      </c>
      <c r="P110" s="78" t="s">
        <v>401</v>
      </c>
      <c r="Q110" s="50">
        <v>1.5</v>
      </c>
      <c r="R110" s="17"/>
      <c r="S110" s="73"/>
      <c r="T110" s="44" t="s">
        <v>2215</v>
      </c>
    </row>
    <row r="111" customHeight="1" spans="1:20">
      <c r="A111" s="44">
        <v>109</v>
      </c>
      <c r="B111" s="93">
        <v>20253000340</v>
      </c>
      <c r="C111" s="93" t="s">
        <v>1373</v>
      </c>
      <c r="D111" s="93" t="s">
        <v>2838</v>
      </c>
      <c r="E111" s="93" t="s">
        <v>2839</v>
      </c>
      <c r="F111" s="93" t="s">
        <v>416</v>
      </c>
      <c r="G111" s="92" t="s">
        <v>2840</v>
      </c>
      <c r="H111" s="93"/>
      <c r="I111" s="93"/>
      <c r="J111" s="93" t="s">
        <v>2578</v>
      </c>
      <c r="K111" s="95" t="s">
        <v>2841</v>
      </c>
      <c r="L111" s="93" t="s">
        <v>2842</v>
      </c>
      <c r="M111" s="93" t="s">
        <v>2843</v>
      </c>
      <c r="N111" s="127">
        <v>45863</v>
      </c>
      <c r="O111" s="128">
        <v>45929</v>
      </c>
      <c r="P111" s="93" t="s">
        <v>401</v>
      </c>
      <c r="Q111" s="50">
        <v>1</v>
      </c>
      <c r="R111" s="17"/>
      <c r="S111" s="93"/>
      <c r="T111" s="93" t="s">
        <v>2215</v>
      </c>
    </row>
    <row r="112" customHeight="1" spans="1:20">
      <c r="A112" s="44">
        <v>110</v>
      </c>
      <c r="B112" s="44">
        <v>20253000348</v>
      </c>
      <c r="C112" s="44" t="s">
        <v>1373</v>
      </c>
      <c r="D112" s="44" t="s">
        <v>2844</v>
      </c>
      <c r="E112" s="44" t="s">
        <v>2845</v>
      </c>
      <c r="F112" s="44" t="s">
        <v>2846</v>
      </c>
      <c r="G112" s="92" t="s">
        <v>2847</v>
      </c>
      <c r="H112" s="44" t="s">
        <v>2848</v>
      </c>
      <c r="I112" s="44"/>
      <c r="J112" s="44" t="s">
        <v>2578</v>
      </c>
      <c r="K112" s="95" t="s">
        <v>2849</v>
      </c>
      <c r="L112" s="44" t="s">
        <v>2850</v>
      </c>
      <c r="M112" s="93" t="s">
        <v>2851</v>
      </c>
      <c r="N112" s="127">
        <v>45874</v>
      </c>
      <c r="O112" s="128">
        <v>45950</v>
      </c>
      <c r="P112" s="93" t="s">
        <v>401</v>
      </c>
      <c r="Q112" s="50">
        <v>1</v>
      </c>
      <c r="R112" s="17"/>
      <c r="S112" s="73"/>
      <c r="T112" s="44" t="s">
        <v>2293</v>
      </c>
    </row>
    <row r="113" customHeight="1" spans="1:20">
      <c r="A113" s="44">
        <v>111</v>
      </c>
      <c r="B113" s="44">
        <v>20253000349</v>
      </c>
      <c r="C113" s="95" t="s">
        <v>2852</v>
      </c>
      <c r="D113" s="44" t="s">
        <v>2853</v>
      </c>
      <c r="E113" s="44" t="s">
        <v>2854</v>
      </c>
      <c r="F113" s="44" t="s">
        <v>2855</v>
      </c>
      <c r="G113" s="92" t="s">
        <v>2856</v>
      </c>
      <c r="H113" s="44"/>
      <c r="I113" s="44"/>
      <c r="J113" s="44" t="s">
        <v>2596</v>
      </c>
      <c r="K113" s="115" t="s">
        <v>2857</v>
      </c>
      <c r="L113" s="44" t="s">
        <v>2858</v>
      </c>
      <c r="M113" s="93" t="s">
        <v>2859</v>
      </c>
      <c r="N113" s="127">
        <v>45874</v>
      </c>
      <c r="O113" s="128">
        <v>45950</v>
      </c>
      <c r="P113" s="78" t="s">
        <v>401</v>
      </c>
      <c r="Q113" s="50">
        <v>1.5</v>
      </c>
      <c r="R113" s="17"/>
      <c r="S113" s="73"/>
      <c r="T113" s="44" t="s">
        <v>2293</v>
      </c>
    </row>
    <row r="114" customHeight="1" spans="1:20">
      <c r="A114" s="44">
        <v>112</v>
      </c>
      <c r="B114" s="44">
        <v>20253000350</v>
      </c>
      <c r="C114" s="44" t="s">
        <v>1990</v>
      </c>
      <c r="D114" s="44" t="s">
        <v>2860</v>
      </c>
      <c r="E114" s="44" t="s">
        <v>2861</v>
      </c>
      <c r="F114" s="44" t="s">
        <v>2760</v>
      </c>
      <c r="G114" s="92" t="s">
        <v>2862</v>
      </c>
      <c r="H114" s="44"/>
      <c r="I114" s="44"/>
      <c r="J114" s="44" t="s">
        <v>2596</v>
      </c>
      <c r="K114" s="115" t="s">
        <v>2863</v>
      </c>
      <c r="L114" s="44" t="s">
        <v>2864</v>
      </c>
      <c r="M114" s="93" t="s">
        <v>2865</v>
      </c>
      <c r="N114" s="135">
        <v>45866</v>
      </c>
      <c r="O114" s="128">
        <v>45945</v>
      </c>
      <c r="P114" s="78" t="s">
        <v>401</v>
      </c>
      <c r="Q114" s="50">
        <v>1.5</v>
      </c>
      <c r="R114" s="17"/>
      <c r="S114" s="73"/>
      <c r="T114" s="146" t="s">
        <v>2293</v>
      </c>
    </row>
    <row r="115" customHeight="1" spans="1:20">
      <c r="A115" s="44">
        <v>113</v>
      </c>
      <c r="B115" s="44">
        <v>20253000352</v>
      </c>
      <c r="C115" s="44" t="s">
        <v>1990</v>
      </c>
      <c r="D115" s="44" t="s">
        <v>2860</v>
      </c>
      <c r="E115" s="44" t="s">
        <v>2866</v>
      </c>
      <c r="F115" s="44" t="s">
        <v>2760</v>
      </c>
      <c r="G115" s="92" t="s">
        <v>2862</v>
      </c>
      <c r="H115" s="44"/>
      <c r="I115" s="44"/>
      <c r="J115" s="44" t="s">
        <v>2596</v>
      </c>
      <c r="K115" s="115" t="s">
        <v>2867</v>
      </c>
      <c r="L115" s="44" t="s">
        <v>2868</v>
      </c>
      <c r="M115" s="93" t="s">
        <v>2869</v>
      </c>
      <c r="N115" s="135">
        <v>45866</v>
      </c>
      <c r="O115" s="128">
        <v>45945</v>
      </c>
      <c r="P115" s="78" t="s">
        <v>401</v>
      </c>
      <c r="Q115" s="50">
        <v>1.5</v>
      </c>
      <c r="R115" s="17"/>
      <c r="S115" s="73"/>
      <c r="T115" s="146" t="s">
        <v>2293</v>
      </c>
    </row>
    <row r="116" customHeight="1" spans="1:20">
      <c r="A116" s="96">
        <v>114</v>
      </c>
      <c r="B116" s="96">
        <v>20253000358</v>
      </c>
      <c r="C116" s="96" t="s">
        <v>1235</v>
      </c>
      <c r="D116" s="96" t="s">
        <v>2870</v>
      </c>
      <c r="E116" s="96" t="s">
        <v>2871</v>
      </c>
      <c r="F116" s="96" t="s">
        <v>2872</v>
      </c>
      <c r="G116" s="92" t="s">
        <v>2873</v>
      </c>
      <c r="H116" s="96" t="s">
        <v>2874</v>
      </c>
      <c r="I116" s="97"/>
      <c r="J116" s="116" t="s">
        <v>2875</v>
      </c>
      <c r="K116" s="96" t="s">
        <v>2876</v>
      </c>
      <c r="L116" s="96" t="s">
        <v>2877</v>
      </c>
      <c r="M116" s="96" t="s">
        <v>2878</v>
      </c>
      <c r="N116" s="136">
        <v>45863</v>
      </c>
      <c r="O116" s="128">
        <v>45926</v>
      </c>
      <c r="P116" s="78" t="s">
        <v>401</v>
      </c>
      <c r="Q116" s="50">
        <v>1</v>
      </c>
      <c r="R116" s="17"/>
      <c r="S116" s="17"/>
      <c r="T116" s="147" t="s">
        <v>2368</v>
      </c>
    </row>
    <row r="117" customHeight="1" spans="1:20">
      <c r="A117" s="97">
        <v>115</v>
      </c>
      <c r="B117" s="96">
        <v>20253000362</v>
      </c>
      <c r="C117" s="96" t="s">
        <v>2728</v>
      </c>
      <c r="D117" s="96" t="s">
        <v>2879</v>
      </c>
      <c r="E117" s="96" t="s">
        <v>2880</v>
      </c>
      <c r="F117" s="96" t="s">
        <v>2660</v>
      </c>
      <c r="G117" s="92" t="s">
        <v>2881</v>
      </c>
      <c r="H117" s="97"/>
      <c r="I117" s="97"/>
      <c r="J117" s="96" t="s">
        <v>2596</v>
      </c>
      <c r="K117" s="96" t="s">
        <v>2882</v>
      </c>
      <c r="L117" s="96" t="s">
        <v>2883</v>
      </c>
      <c r="M117" s="97"/>
      <c r="N117" s="136">
        <v>45875</v>
      </c>
      <c r="O117" s="137"/>
      <c r="P117" s="78" t="s">
        <v>401</v>
      </c>
      <c r="Q117" s="50">
        <v>1.5</v>
      </c>
      <c r="R117" s="17"/>
      <c r="S117" s="17"/>
      <c r="T117" s="147" t="s">
        <v>2406</v>
      </c>
    </row>
    <row r="118" customHeight="1" spans="1:20">
      <c r="A118" s="96">
        <v>116</v>
      </c>
      <c r="B118" s="96">
        <v>20253000363</v>
      </c>
      <c r="C118" s="96" t="s">
        <v>1226</v>
      </c>
      <c r="D118" s="96" t="s">
        <v>2879</v>
      </c>
      <c r="E118" s="96" t="s">
        <v>2884</v>
      </c>
      <c r="F118" s="96" t="s">
        <v>2885</v>
      </c>
      <c r="G118" s="92" t="s">
        <v>2886</v>
      </c>
      <c r="H118" s="96" t="s">
        <v>2887</v>
      </c>
      <c r="I118" s="97"/>
      <c r="J118" s="96" t="s">
        <v>2709</v>
      </c>
      <c r="K118" s="96" t="s">
        <v>2888</v>
      </c>
      <c r="L118" s="96" t="s">
        <v>2889</v>
      </c>
      <c r="M118" s="97"/>
      <c r="N118" s="136">
        <v>45875</v>
      </c>
      <c r="O118" s="137"/>
      <c r="P118" s="44" t="s">
        <v>401</v>
      </c>
      <c r="Q118" s="50">
        <v>2</v>
      </c>
      <c r="R118" s="17"/>
      <c r="S118" s="17"/>
      <c r="T118" s="147" t="s">
        <v>2406</v>
      </c>
    </row>
    <row r="119" customHeight="1" spans="1:20">
      <c r="A119" s="96">
        <v>117</v>
      </c>
      <c r="B119" s="96">
        <v>20253000373</v>
      </c>
      <c r="C119" s="96" t="s">
        <v>1373</v>
      </c>
      <c r="D119" s="96" t="s">
        <v>2584</v>
      </c>
      <c r="E119" s="96" t="s">
        <v>2585</v>
      </c>
      <c r="F119" s="96" t="s">
        <v>416</v>
      </c>
      <c r="G119" s="92" t="s">
        <v>2586</v>
      </c>
      <c r="H119" s="96" t="s">
        <v>2890</v>
      </c>
      <c r="I119" s="96"/>
      <c r="J119" s="96" t="s">
        <v>2578</v>
      </c>
      <c r="K119" s="96" t="s">
        <v>2891</v>
      </c>
      <c r="L119" s="96" t="s">
        <v>2892</v>
      </c>
      <c r="M119" s="117"/>
      <c r="N119" s="136">
        <v>45884</v>
      </c>
      <c r="O119" s="74"/>
      <c r="P119" s="93" t="s">
        <v>401</v>
      </c>
      <c r="Q119" s="50">
        <v>1</v>
      </c>
      <c r="R119" s="17"/>
      <c r="S119" s="17"/>
      <c r="T119" s="148" t="s">
        <v>2215</v>
      </c>
    </row>
    <row r="120" customHeight="1" spans="1:20">
      <c r="A120" s="96">
        <v>118</v>
      </c>
      <c r="B120" s="96">
        <v>20253000375</v>
      </c>
      <c r="C120" s="96" t="s">
        <v>2893</v>
      </c>
      <c r="D120" s="96" t="s">
        <v>2894</v>
      </c>
      <c r="E120" s="96" t="s">
        <v>2895</v>
      </c>
      <c r="F120" s="111" t="s">
        <v>2660</v>
      </c>
      <c r="G120" s="92" t="s">
        <v>2896</v>
      </c>
      <c r="H120" s="96"/>
      <c r="I120" s="96"/>
      <c r="J120" s="96" t="s">
        <v>2596</v>
      </c>
      <c r="K120" s="96" t="s">
        <v>2897</v>
      </c>
      <c r="L120" s="96" t="s">
        <v>2898</v>
      </c>
      <c r="M120" s="117"/>
      <c r="N120" s="136">
        <v>45891</v>
      </c>
      <c r="O120" s="74"/>
      <c r="P120" s="78" t="s">
        <v>401</v>
      </c>
      <c r="Q120" s="50">
        <v>9.757</v>
      </c>
      <c r="R120" s="17"/>
      <c r="S120" s="17"/>
      <c r="T120" s="147" t="s">
        <v>2215</v>
      </c>
    </row>
    <row r="121" customHeight="1" spans="1:20">
      <c r="A121" s="96">
        <v>119</v>
      </c>
      <c r="B121" s="96">
        <v>20253000384</v>
      </c>
      <c r="C121" s="96" t="s">
        <v>1373</v>
      </c>
      <c r="D121" s="96" t="s">
        <v>2899</v>
      </c>
      <c r="E121" s="96" t="s">
        <v>2607</v>
      </c>
      <c r="F121" s="96" t="s">
        <v>416</v>
      </c>
      <c r="G121" s="92" t="s">
        <v>2608</v>
      </c>
      <c r="H121" s="96" t="s">
        <v>2900</v>
      </c>
      <c r="I121" s="117"/>
      <c r="J121" s="96" t="s">
        <v>2578</v>
      </c>
      <c r="K121" s="96" t="s">
        <v>2901</v>
      </c>
      <c r="L121" s="96" t="s">
        <v>2902</v>
      </c>
      <c r="M121" s="117"/>
      <c r="N121" s="136">
        <v>45895</v>
      </c>
      <c r="O121" s="74"/>
      <c r="P121" s="93" t="s">
        <v>401</v>
      </c>
      <c r="Q121" s="50">
        <v>1</v>
      </c>
      <c r="R121" s="17"/>
      <c r="S121" s="17"/>
      <c r="T121" s="148" t="s">
        <v>2215</v>
      </c>
    </row>
    <row r="122" customHeight="1" spans="1:20">
      <c r="A122" s="96">
        <v>120</v>
      </c>
      <c r="B122" s="96">
        <v>20253000390</v>
      </c>
      <c r="C122" s="96" t="s">
        <v>2903</v>
      </c>
      <c r="D122" s="96" t="s">
        <v>2904</v>
      </c>
      <c r="E122" s="96" t="s">
        <v>2905</v>
      </c>
      <c r="F122" s="111" t="s">
        <v>2660</v>
      </c>
      <c r="G122" s="92" t="s">
        <v>2906</v>
      </c>
      <c r="H122" s="96"/>
      <c r="I122" s="117"/>
      <c r="J122" s="96" t="s">
        <v>2596</v>
      </c>
      <c r="K122" s="96" t="s">
        <v>2907</v>
      </c>
      <c r="L122" s="96" t="s">
        <v>2908</v>
      </c>
      <c r="M122" s="117"/>
      <c r="N122" s="136">
        <v>45895</v>
      </c>
      <c r="O122" s="74"/>
      <c r="P122" s="93" t="s">
        <v>401</v>
      </c>
      <c r="Q122" s="50">
        <v>1.5</v>
      </c>
      <c r="R122" s="17"/>
      <c r="S122" s="17"/>
      <c r="T122" s="147" t="s">
        <v>2909</v>
      </c>
    </row>
    <row r="123" customHeight="1" spans="1:20">
      <c r="A123" s="96">
        <v>121</v>
      </c>
      <c r="B123" s="96">
        <v>20253000391</v>
      </c>
      <c r="C123" s="96" t="s">
        <v>2910</v>
      </c>
      <c r="D123" s="96" t="s">
        <v>2904</v>
      </c>
      <c r="E123" s="96" t="s">
        <v>2911</v>
      </c>
      <c r="F123" s="96" t="s">
        <v>416</v>
      </c>
      <c r="G123" s="92" t="s">
        <v>2912</v>
      </c>
      <c r="H123" s="96" t="s">
        <v>2913</v>
      </c>
      <c r="I123" s="118"/>
      <c r="J123" s="96" t="s">
        <v>2709</v>
      </c>
      <c r="K123" s="96" t="s">
        <v>2914</v>
      </c>
      <c r="L123" s="96" t="s">
        <v>2915</v>
      </c>
      <c r="M123" s="118"/>
      <c r="N123" s="136">
        <v>45895</v>
      </c>
      <c r="O123" s="74"/>
      <c r="P123" s="93" t="s">
        <v>401</v>
      </c>
      <c r="Q123" s="50">
        <v>2</v>
      </c>
      <c r="R123" s="17"/>
      <c r="S123" s="17"/>
      <c r="T123" s="149" t="s">
        <v>2909</v>
      </c>
    </row>
    <row r="124" customHeight="1" spans="1:20">
      <c r="A124" s="96">
        <v>122</v>
      </c>
      <c r="B124" s="96">
        <v>20253000399</v>
      </c>
      <c r="C124" s="96" t="s">
        <v>1373</v>
      </c>
      <c r="D124" s="96" t="s">
        <v>2916</v>
      </c>
      <c r="E124" s="96" t="s">
        <v>2917</v>
      </c>
      <c r="F124" s="96" t="s">
        <v>2918</v>
      </c>
      <c r="G124" s="92" t="s">
        <v>2919</v>
      </c>
      <c r="H124" s="96" t="s">
        <v>2920</v>
      </c>
      <c r="I124" s="96"/>
      <c r="J124" s="96" t="s">
        <v>2578</v>
      </c>
      <c r="K124" s="96" t="s">
        <v>2921</v>
      </c>
      <c r="L124" s="96" t="s">
        <v>2922</v>
      </c>
      <c r="M124" s="117"/>
      <c r="N124" s="136">
        <v>45901</v>
      </c>
      <c r="O124" s="74"/>
      <c r="P124" s="93" t="s">
        <v>401</v>
      </c>
      <c r="Q124" s="50">
        <v>1</v>
      </c>
      <c r="R124" s="17"/>
      <c r="S124" s="17"/>
      <c r="T124" s="93" t="s">
        <v>2215</v>
      </c>
    </row>
    <row r="125" customHeight="1" spans="1:20">
      <c r="A125" s="96">
        <v>123</v>
      </c>
      <c r="B125" s="98">
        <v>20253000400</v>
      </c>
      <c r="C125" s="96" t="s">
        <v>2893</v>
      </c>
      <c r="D125" s="96" t="s">
        <v>2791</v>
      </c>
      <c r="E125" s="96" t="s">
        <v>2923</v>
      </c>
      <c r="F125" s="111" t="s">
        <v>2793</v>
      </c>
      <c r="G125" s="92" t="s">
        <v>2924</v>
      </c>
      <c r="H125" s="98"/>
      <c r="I125" s="119"/>
      <c r="J125" s="96" t="s">
        <v>2596</v>
      </c>
      <c r="K125" s="96" t="s">
        <v>2925</v>
      </c>
      <c r="L125" s="96" t="s">
        <v>2926</v>
      </c>
      <c r="M125" s="96"/>
      <c r="N125" s="136">
        <v>45902</v>
      </c>
      <c r="O125" s="74"/>
      <c r="P125" s="78" t="s">
        <v>401</v>
      </c>
      <c r="Q125" s="50">
        <v>1.5</v>
      </c>
      <c r="R125" s="17"/>
      <c r="S125" s="17"/>
      <c r="T125" s="44" t="s">
        <v>2215</v>
      </c>
    </row>
    <row r="126" customHeight="1" spans="1:20">
      <c r="A126" s="96">
        <v>124</v>
      </c>
      <c r="B126" s="96">
        <v>20253000402</v>
      </c>
      <c r="C126" s="96" t="s">
        <v>2927</v>
      </c>
      <c r="D126" s="96" t="s">
        <v>2928</v>
      </c>
      <c r="E126" s="96" t="s">
        <v>2929</v>
      </c>
      <c r="F126" s="96" t="s">
        <v>416</v>
      </c>
      <c r="G126" s="92" t="s">
        <v>2930</v>
      </c>
      <c r="H126" s="96" t="s">
        <v>2931</v>
      </c>
      <c r="I126" s="96"/>
      <c r="J126" s="96" t="s">
        <v>2932</v>
      </c>
      <c r="K126" s="96" t="s">
        <v>2933</v>
      </c>
      <c r="L126" s="96" t="s">
        <v>2934</v>
      </c>
      <c r="M126" s="117"/>
      <c r="N126" s="136">
        <v>45894</v>
      </c>
      <c r="O126" s="74"/>
      <c r="P126" s="93" t="s">
        <v>401</v>
      </c>
      <c r="Q126" s="50">
        <v>1.2</v>
      </c>
      <c r="R126" s="17"/>
      <c r="S126" s="17"/>
      <c r="T126" s="44" t="s">
        <v>2368</v>
      </c>
    </row>
    <row r="127" customHeight="1" spans="1:20">
      <c r="A127" s="96">
        <v>125</v>
      </c>
      <c r="B127" s="96">
        <v>20253000403</v>
      </c>
      <c r="C127" s="96" t="s">
        <v>2935</v>
      </c>
      <c r="D127" s="96" t="s">
        <v>2928</v>
      </c>
      <c r="E127" s="96" t="s">
        <v>2936</v>
      </c>
      <c r="F127" s="96" t="s">
        <v>2937</v>
      </c>
      <c r="G127" s="92" t="s">
        <v>2938</v>
      </c>
      <c r="H127" s="96"/>
      <c r="I127" s="96"/>
      <c r="J127" s="96" t="s">
        <v>2932</v>
      </c>
      <c r="K127" s="96" t="s">
        <v>2939</v>
      </c>
      <c r="L127" s="96" t="s">
        <v>2940</v>
      </c>
      <c r="M127" s="117"/>
      <c r="N127" s="136">
        <v>45894</v>
      </c>
      <c r="O127" s="74"/>
      <c r="P127" s="93" t="s">
        <v>401</v>
      </c>
      <c r="Q127" s="50">
        <v>0.2</v>
      </c>
      <c r="R127" s="17"/>
      <c r="S127" s="17"/>
      <c r="T127" s="44" t="s">
        <v>2368</v>
      </c>
    </row>
    <row r="128" customHeight="1" spans="1:20">
      <c r="A128" s="96">
        <v>126</v>
      </c>
      <c r="B128" s="96">
        <v>20253000404</v>
      </c>
      <c r="C128" s="96" t="s">
        <v>2941</v>
      </c>
      <c r="D128" s="96" t="s">
        <v>2928</v>
      </c>
      <c r="E128" s="96" t="s">
        <v>2931</v>
      </c>
      <c r="F128" s="96" t="s">
        <v>2942</v>
      </c>
      <c r="G128" s="92" t="s">
        <v>2943</v>
      </c>
      <c r="H128" s="96"/>
      <c r="I128" s="96"/>
      <c r="J128" s="96" t="s">
        <v>2932</v>
      </c>
      <c r="K128" s="96" t="s">
        <v>2944</v>
      </c>
      <c r="L128" s="96" t="s">
        <v>2945</v>
      </c>
      <c r="M128" s="117"/>
      <c r="N128" s="136">
        <v>45894</v>
      </c>
      <c r="O128" s="74"/>
      <c r="P128" s="78" t="s">
        <v>401</v>
      </c>
      <c r="Q128" s="50">
        <v>0.2</v>
      </c>
      <c r="R128" s="17"/>
      <c r="S128" s="17"/>
      <c r="T128" s="44" t="s">
        <v>2368</v>
      </c>
    </row>
    <row r="129" customHeight="1" spans="1:20">
      <c r="A129" s="96">
        <v>127</v>
      </c>
      <c r="B129" s="96">
        <v>20253000405</v>
      </c>
      <c r="C129" s="96" t="s">
        <v>1990</v>
      </c>
      <c r="D129" s="96" t="s">
        <v>2946</v>
      </c>
      <c r="E129" s="96" t="s">
        <v>2947</v>
      </c>
      <c r="F129" s="96" t="s">
        <v>2660</v>
      </c>
      <c r="G129" s="92" t="s">
        <v>2948</v>
      </c>
      <c r="H129" s="98"/>
      <c r="I129" s="119"/>
      <c r="J129" s="96" t="s">
        <v>2596</v>
      </c>
      <c r="K129" s="96" t="s">
        <v>2949</v>
      </c>
      <c r="L129" s="96" t="s">
        <v>2950</v>
      </c>
      <c r="M129" s="96"/>
      <c r="N129" s="136">
        <v>45905</v>
      </c>
      <c r="O129" s="44"/>
      <c r="P129" s="44" t="s">
        <v>401</v>
      </c>
      <c r="Q129" s="50">
        <v>1.5</v>
      </c>
      <c r="R129" s="17"/>
      <c r="S129" s="17"/>
      <c r="T129" s="44" t="s">
        <v>2293</v>
      </c>
    </row>
    <row r="130" customHeight="1" spans="1:20">
      <c r="A130" s="96">
        <v>128</v>
      </c>
      <c r="B130" s="96">
        <v>20253000406</v>
      </c>
      <c r="C130" s="96" t="s">
        <v>1990</v>
      </c>
      <c r="D130" s="96" t="s">
        <v>2951</v>
      </c>
      <c r="E130" s="96" t="s">
        <v>2952</v>
      </c>
      <c r="F130" s="96" t="s">
        <v>2660</v>
      </c>
      <c r="G130" s="92" t="s">
        <v>2953</v>
      </c>
      <c r="H130" s="98"/>
      <c r="I130" s="119"/>
      <c r="J130" s="96" t="s">
        <v>2596</v>
      </c>
      <c r="K130" s="96" t="s">
        <v>2954</v>
      </c>
      <c r="L130" s="96" t="s">
        <v>2955</v>
      </c>
      <c r="M130" s="117"/>
      <c r="N130" s="136">
        <v>45905</v>
      </c>
      <c r="O130" s="74"/>
      <c r="P130" s="44" t="s">
        <v>401</v>
      </c>
      <c r="Q130" s="50">
        <v>1.5</v>
      </c>
      <c r="R130" s="17"/>
      <c r="S130" s="17"/>
      <c r="T130" s="44" t="s">
        <v>2293</v>
      </c>
    </row>
    <row r="131" customHeight="1" spans="1:20">
      <c r="A131" s="153">
        <v>129</v>
      </c>
      <c r="B131" s="153">
        <v>20253000407</v>
      </c>
      <c r="C131" s="153" t="s">
        <v>1990</v>
      </c>
      <c r="D131" s="153" t="s">
        <v>2951</v>
      </c>
      <c r="E131" s="153" t="s">
        <v>2956</v>
      </c>
      <c r="F131" s="153" t="s">
        <v>2957</v>
      </c>
      <c r="G131" s="92" t="s">
        <v>2958</v>
      </c>
      <c r="H131" s="163"/>
      <c r="I131" s="175"/>
      <c r="J131" s="153" t="s">
        <v>2596</v>
      </c>
      <c r="K131" s="153" t="s">
        <v>2959</v>
      </c>
      <c r="L131" s="153" t="s">
        <v>2960</v>
      </c>
      <c r="M131" s="118"/>
      <c r="N131" s="184">
        <v>45905</v>
      </c>
      <c r="O131" s="74"/>
      <c r="P131" s="44" t="s">
        <v>401</v>
      </c>
      <c r="Q131" s="50">
        <v>1.5</v>
      </c>
      <c r="R131" s="17"/>
      <c r="S131" s="17"/>
      <c r="T131" s="44" t="s">
        <v>2293</v>
      </c>
    </row>
    <row r="132" customHeight="1" spans="1:20">
      <c r="A132" s="96">
        <v>130</v>
      </c>
      <c r="B132" s="153">
        <v>20253000408</v>
      </c>
      <c r="C132" s="153" t="s">
        <v>2893</v>
      </c>
      <c r="D132" s="153" t="s">
        <v>2961</v>
      </c>
      <c r="E132" s="153" t="s">
        <v>2962</v>
      </c>
      <c r="F132" s="153" t="s">
        <v>2793</v>
      </c>
      <c r="G132" s="92" t="s">
        <v>2963</v>
      </c>
      <c r="H132" s="98"/>
      <c r="I132" s="119"/>
      <c r="J132" s="153" t="s">
        <v>2596</v>
      </c>
      <c r="K132" s="96" t="s">
        <v>2964</v>
      </c>
      <c r="L132" s="96" t="s">
        <v>2965</v>
      </c>
      <c r="M132" s="117"/>
      <c r="N132" s="184">
        <v>45905</v>
      </c>
      <c r="O132" s="74"/>
      <c r="P132" s="44" t="s">
        <v>401</v>
      </c>
      <c r="Q132" s="50">
        <v>1.5</v>
      </c>
      <c r="R132" s="17"/>
      <c r="S132" s="17"/>
      <c r="T132" s="44" t="s">
        <v>2215</v>
      </c>
    </row>
    <row r="133" customHeight="1" spans="1:20">
      <c r="A133" s="96">
        <v>131</v>
      </c>
      <c r="B133" s="153">
        <v>20253000409</v>
      </c>
      <c r="C133" s="153" t="s">
        <v>2966</v>
      </c>
      <c r="D133" s="153" t="s">
        <v>2967</v>
      </c>
      <c r="E133" s="153" t="s">
        <v>2968</v>
      </c>
      <c r="F133" s="153" t="s">
        <v>2793</v>
      </c>
      <c r="G133" s="92" t="s">
        <v>2969</v>
      </c>
      <c r="H133" s="163"/>
      <c r="I133" s="175"/>
      <c r="J133" s="153" t="s">
        <v>2596</v>
      </c>
      <c r="K133" s="96" t="s">
        <v>2970</v>
      </c>
      <c r="L133" s="96" t="s">
        <v>2971</v>
      </c>
      <c r="M133" s="117"/>
      <c r="N133" s="184">
        <v>45881</v>
      </c>
      <c r="O133" s="74"/>
      <c r="P133" s="44" t="s">
        <v>401</v>
      </c>
      <c r="Q133" s="50">
        <v>1.5</v>
      </c>
      <c r="R133" s="17"/>
      <c r="S133" s="17"/>
      <c r="T133" s="44" t="s">
        <v>2175</v>
      </c>
    </row>
    <row r="134" customHeight="1" spans="1:20">
      <c r="A134" s="153">
        <v>132</v>
      </c>
      <c r="B134" s="153">
        <v>20253000410</v>
      </c>
      <c r="C134" s="153" t="s">
        <v>2966</v>
      </c>
      <c r="D134" s="153" t="s">
        <v>2972</v>
      </c>
      <c r="E134" s="153" t="s">
        <v>2973</v>
      </c>
      <c r="F134" s="153" t="s">
        <v>2793</v>
      </c>
      <c r="G134" s="92" t="s">
        <v>2974</v>
      </c>
      <c r="H134" s="163"/>
      <c r="I134" s="175"/>
      <c r="J134" s="153" t="s">
        <v>2596</v>
      </c>
      <c r="K134" s="153" t="s">
        <v>2975</v>
      </c>
      <c r="L134" s="153" t="s">
        <v>2976</v>
      </c>
      <c r="M134" s="118"/>
      <c r="N134" s="184">
        <v>45882</v>
      </c>
      <c r="O134" s="74"/>
      <c r="P134" s="44" t="s">
        <v>401</v>
      </c>
      <c r="Q134" s="50">
        <v>1.5</v>
      </c>
      <c r="R134" s="17"/>
      <c r="S134" s="17"/>
      <c r="T134" s="44" t="s">
        <v>2175</v>
      </c>
    </row>
    <row r="135" customHeight="1" spans="1:20">
      <c r="A135" s="96">
        <v>133</v>
      </c>
      <c r="B135" s="96">
        <v>20253000411</v>
      </c>
      <c r="C135" s="153" t="s">
        <v>2329</v>
      </c>
      <c r="D135" s="153" t="s">
        <v>1938</v>
      </c>
      <c r="E135" s="153" t="s">
        <v>2162</v>
      </c>
      <c r="F135" s="96" t="s">
        <v>416</v>
      </c>
      <c r="G135" s="92" t="s">
        <v>2977</v>
      </c>
      <c r="H135" s="98"/>
      <c r="I135" s="119"/>
      <c r="J135" s="96" t="s">
        <v>2978</v>
      </c>
      <c r="K135" s="176" t="s">
        <v>2979</v>
      </c>
      <c r="L135" s="96" t="s">
        <v>2980</v>
      </c>
      <c r="M135" s="117"/>
      <c r="N135" s="184">
        <v>45889</v>
      </c>
      <c r="O135" s="185"/>
      <c r="P135" s="186" t="s">
        <v>401</v>
      </c>
      <c r="Q135" s="50">
        <v>1.2</v>
      </c>
      <c r="R135" s="195"/>
      <c r="S135" s="195"/>
      <c r="T135" s="196" t="s">
        <v>2175</v>
      </c>
    </row>
    <row r="136" customHeight="1" spans="1:20">
      <c r="A136" s="96">
        <v>134</v>
      </c>
      <c r="B136" s="96">
        <v>20253000412</v>
      </c>
      <c r="C136" s="153" t="s">
        <v>2329</v>
      </c>
      <c r="D136" s="153" t="s">
        <v>1938</v>
      </c>
      <c r="E136" s="153" t="s">
        <v>2981</v>
      </c>
      <c r="F136" s="96" t="s">
        <v>2660</v>
      </c>
      <c r="G136" s="92" t="s">
        <v>2982</v>
      </c>
      <c r="H136" s="98"/>
      <c r="I136" s="119"/>
      <c r="J136" s="96" t="s">
        <v>2978</v>
      </c>
      <c r="K136" s="176" t="s">
        <v>2983</v>
      </c>
      <c r="L136" s="96" t="s">
        <v>2984</v>
      </c>
      <c r="M136" s="117"/>
      <c r="N136" s="184">
        <v>45889</v>
      </c>
      <c r="O136" s="74"/>
      <c r="P136" s="44" t="s">
        <v>401</v>
      </c>
      <c r="Q136" s="50">
        <v>0.2</v>
      </c>
      <c r="R136" s="17"/>
      <c r="S136" s="17"/>
      <c r="T136" s="149" t="s">
        <v>2175</v>
      </c>
    </row>
    <row r="137" customHeight="1" spans="1:20">
      <c r="A137" s="96">
        <v>135</v>
      </c>
      <c r="B137" s="96">
        <v>20253000413</v>
      </c>
      <c r="C137" s="153" t="s">
        <v>2329</v>
      </c>
      <c r="D137" s="153" t="s">
        <v>1938</v>
      </c>
      <c r="E137" s="153" t="s">
        <v>2985</v>
      </c>
      <c r="F137" s="153" t="s">
        <v>2986</v>
      </c>
      <c r="G137" s="92" t="s">
        <v>2987</v>
      </c>
      <c r="H137" s="98"/>
      <c r="I137" s="119"/>
      <c r="J137" s="96" t="s">
        <v>2978</v>
      </c>
      <c r="K137" s="176" t="s">
        <v>2988</v>
      </c>
      <c r="L137" s="96" t="s">
        <v>2989</v>
      </c>
      <c r="M137" s="117"/>
      <c r="N137" s="184">
        <v>45889</v>
      </c>
      <c r="O137" s="74"/>
      <c r="P137" s="44" t="s">
        <v>401</v>
      </c>
      <c r="Q137" s="50">
        <v>0.2</v>
      </c>
      <c r="R137" s="17"/>
      <c r="S137" s="17"/>
      <c r="T137" s="149" t="s">
        <v>2175</v>
      </c>
    </row>
    <row r="138" customHeight="1" spans="1:20">
      <c r="A138" s="96">
        <v>136</v>
      </c>
      <c r="B138" s="153">
        <v>20253000423</v>
      </c>
      <c r="C138" s="153" t="s">
        <v>2990</v>
      </c>
      <c r="D138" s="153" t="s">
        <v>2991</v>
      </c>
      <c r="E138" s="153" t="s">
        <v>2992</v>
      </c>
      <c r="F138" s="153" t="s">
        <v>2760</v>
      </c>
      <c r="G138" s="92" t="s">
        <v>2993</v>
      </c>
      <c r="H138" s="153"/>
      <c r="I138" s="153"/>
      <c r="J138" s="153" t="s">
        <v>2596</v>
      </c>
      <c r="K138" s="176" t="s">
        <v>2994</v>
      </c>
      <c r="L138" s="96" t="s">
        <v>2995</v>
      </c>
      <c r="M138" s="153"/>
      <c r="N138" s="184">
        <v>45912</v>
      </c>
      <c r="O138" s="44"/>
      <c r="P138" s="44" t="s">
        <v>401</v>
      </c>
      <c r="Q138" s="50">
        <v>1.5</v>
      </c>
      <c r="R138" s="17"/>
      <c r="S138" s="17"/>
      <c r="T138" s="147" t="s">
        <v>2293</v>
      </c>
    </row>
    <row r="139" customHeight="1" spans="1:20">
      <c r="A139" s="96">
        <v>137</v>
      </c>
      <c r="B139" s="153">
        <v>20253000424</v>
      </c>
      <c r="C139" s="153" t="s">
        <v>2990</v>
      </c>
      <c r="D139" s="153" t="s">
        <v>2996</v>
      </c>
      <c r="E139" s="153" t="s">
        <v>2997</v>
      </c>
      <c r="F139" s="153" t="s">
        <v>2760</v>
      </c>
      <c r="G139" s="92" t="s">
        <v>2998</v>
      </c>
      <c r="H139" s="153"/>
      <c r="I139" s="153"/>
      <c r="J139" s="153" t="s">
        <v>2596</v>
      </c>
      <c r="K139" s="176" t="s">
        <v>2999</v>
      </c>
      <c r="L139" s="96" t="s">
        <v>3000</v>
      </c>
      <c r="M139" s="153"/>
      <c r="N139" s="184">
        <v>45912</v>
      </c>
      <c r="O139" s="44"/>
      <c r="P139" s="44" t="s">
        <v>401</v>
      </c>
      <c r="Q139" s="50">
        <v>1.5</v>
      </c>
      <c r="R139" s="17"/>
      <c r="S139" s="17"/>
      <c r="T139" s="149" t="s">
        <v>2293</v>
      </c>
    </row>
    <row r="140" customHeight="1" spans="1:20">
      <c r="A140" s="96">
        <v>138</v>
      </c>
      <c r="B140" s="96">
        <v>20253000429</v>
      </c>
      <c r="C140" s="96" t="s">
        <v>1226</v>
      </c>
      <c r="D140" s="96" t="s">
        <v>3001</v>
      </c>
      <c r="E140" s="96" t="s">
        <v>2871</v>
      </c>
      <c r="F140" s="96" t="s">
        <v>2872</v>
      </c>
      <c r="G140" s="92" t="s">
        <v>2873</v>
      </c>
      <c r="H140" s="96" t="s">
        <v>2874</v>
      </c>
      <c r="I140" s="96"/>
      <c r="J140" s="96" t="s">
        <v>2709</v>
      </c>
      <c r="K140" s="96" t="s">
        <v>3002</v>
      </c>
      <c r="L140" s="96" t="s">
        <v>3003</v>
      </c>
      <c r="M140" s="117"/>
      <c r="N140" s="136">
        <v>45908</v>
      </c>
      <c r="O140" s="74"/>
      <c r="P140" s="44" t="s">
        <v>401</v>
      </c>
      <c r="Q140" s="50">
        <v>2</v>
      </c>
      <c r="R140" s="17"/>
      <c r="S140" s="74"/>
      <c r="T140" s="147" t="s">
        <v>2368</v>
      </c>
    </row>
    <row r="141" customHeight="1" spans="1:20">
      <c r="A141" s="96">
        <v>139</v>
      </c>
      <c r="B141" s="96">
        <v>20253000430</v>
      </c>
      <c r="C141" s="96" t="s">
        <v>1226</v>
      </c>
      <c r="D141" s="96" t="s">
        <v>3004</v>
      </c>
      <c r="E141" s="96" t="s">
        <v>3005</v>
      </c>
      <c r="F141" s="96" t="s">
        <v>3006</v>
      </c>
      <c r="G141" s="92" t="s">
        <v>3007</v>
      </c>
      <c r="H141" s="96" t="s">
        <v>3008</v>
      </c>
      <c r="I141" s="96"/>
      <c r="J141" s="96" t="s">
        <v>2709</v>
      </c>
      <c r="K141" s="96" t="s">
        <v>3009</v>
      </c>
      <c r="L141" s="96" t="s">
        <v>3010</v>
      </c>
      <c r="M141" s="117"/>
      <c r="N141" s="136">
        <v>45909</v>
      </c>
      <c r="O141" s="74"/>
      <c r="P141" s="44" t="s">
        <v>401</v>
      </c>
      <c r="Q141" s="50">
        <v>2</v>
      </c>
      <c r="R141" s="17"/>
      <c r="S141" s="74"/>
      <c r="T141" s="147" t="s">
        <v>2368</v>
      </c>
    </row>
    <row r="142" customHeight="1" spans="1:20">
      <c r="A142" s="96">
        <v>140</v>
      </c>
      <c r="B142" s="153">
        <v>20253000431</v>
      </c>
      <c r="C142" s="153" t="s">
        <v>1373</v>
      </c>
      <c r="D142" s="153" t="s">
        <v>3011</v>
      </c>
      <c r="E142" s="153" t="s">
        <v>3012</v>
      </c>
      <c r="F142" s="153" t="s">
        <v>3013</v>
      </c>
      <c r="G142" s="92" t="s">
        <v>3014</v>
      </c>
      <c r="H142" s="153" t="s">
        <v>3015</v>
      </c>
      <c r="I142" s="153"/>
      <c r="J142" s="153" t="s">
        <v>2578</v>
      </c>
      <c r="K142" s="153" t="s">
        <v>3016</v>
      </c>
      <c r="L142" s="153" t="s">
        <v>3017</v>
      </c>
      <c r="M142" s="118"/>
      <c r="N142" s="184">
        <v>45902</v>
      </c>
      <c r="O142" s="74"/>
      <c r="P142" s="44" t="s">
        <v>401</v>
      </c>
      <c r="Q142" s="50">
        <v>2.5</v>
      </c>
      <c r="R142" s="17"/>
      <c r="S142" s="74"/>
      <c r="T142" s="149" t="s">
        <v>2368</v>
      </c>
    </row>
    <row r="143" customHeight="1" spans="1:20">
      <c r="A143" s="153">
        <v>141</v>
      </c>
      <c r="B143" s="153">
        <v>20253000433</v>
      </c>
      <c r="C143" s="153" t="s">
        <v>1373</v>
      </c>
      <c r="D143" s="153" t="s">
        <v>2314</v>
      </c>
      <c r="E143" s="153" t="s">
        <v>3018</v>
      </c>
      <c r="F143" s="153" t="s">
        <v>3019</v>
      </c>
      <c r="G143" s="92" t="s">
        <v>3020</v>
      </c>
      <c r="H143" s="163" t="s">
        <v>3021</v>
      </c>
      <c r="I143" s="175"/>
      <c r="J143" s="153" t="s">
        <v>2578</v>
      </c>
      <c r="K143" s="153" t="s">
        <v>3022</v>
      </c>
      <c r="L143" s="153" t="s">
        <v>3023</v>
      </c>
      <c r="M143" s="118"/>
      <c r="N143" s="184">
        <v>45909</v>
      </c>
      <c r="O143" s="187"/>
      <c r="P143" s="188" t="s">
        <v>401</v>
      </c>
      <c r="Q143" s="50">
        <v>1</v>
      </c>
      <c r="R143" s="63"/>
      <c r="S143" s="187"/>
      <c r="T143" s="149" t="s">
        <v>2175</v>
      </c>
    </row>
    <row r="144" customHeight="1" spans="1:20">
      <c r="A144" s="44">
        <v>142</v>
      </c>
      <c r="B144" s="154">
        <v>20253000434</v>
      </c>
      <c r="C144" s="154" t="s">
        <v>2345</v>
      </c>
      <c r="D144" s="155" t="s">
        <v>3024</v>
      </c>
      <c r="E144" s="44" t="s">
        <v>3025</v>
      </c>
      <c r="F144" s="18" t="s">
        <v>425</v>
      </c>
      <c r="G144" s="92" t="s">
        <v>3026</v>
      </c>
      <c r="H144" s="17"/>
      <c r="I144" s="17"/>
      <c r="J144" s="44" t="s">
        <v>3027</v>
      </c>
      <c r="K144" s="17" t="s">
        <v>3028</v>
      </c>
      <c r="L144" s="44" t="s">
        <v>3029</v>
      </c>
      <c r="M144" s="17"/>
      <c r="N144" s="127">
        <v>45926</v>
      </c>
      <c r="O144" s="189"/>
      <c r="P144" s="44" t="s">
        <v>401</v>
      </c>
      <c r="Q144" s="50">
        <v>1.2</v>
      </c>
      <c r="R144" s="17"/>
      <c r="S144" s="17"/>
      <c r="T144" s="197" t="s">
        <v>3030</v>
      </c>
    </row>
    <row r="145" customHeight="1" spans="1:20">
      <c r="A145" s="44">
        <v>143</v>
      </c>
      <c r="B145" s="154">
        <v>20253000435</v>
      </c>
      <c r="C145" s="154" t="s">
        <v>2351</v>
      </c>
      <c r="D145" s="44" t="s">
        <v>3025</v>
      </c>
      <c r="E145" s="164" t="s">
        <v>3031</v>
      </c>
      <c r="F145" s="18" t="s">
        <v>2184</v>
      </c>
      <c r="G145" s="338" t="s">
        <v>3032</v>
      </c>
      <c r="H145" s="17"/>
      <c r="I145" s="17"/>
      <c r="J145" s="44" t="s">
        <v>3027</v>
      </c>
      <c r="K145" s="17" t="s">
        <v>3033</v>
      </c>
      <c r="L145" s="44" t="s">
        <v>3034</v>
      </c>
      <c r="M145" s="17"/>
      <c r="N145" s="127">
        <v>45926</v>
      </c>
      <c r="O145" s="189"/>
      <c r="P145" s="44" t="s">
        <v>401</v>
      </c>
      <c r="Q145" s="50">
        <v>0.2</v>
      </c>
      <c r="R145" s="17"/>
      <c r="S145" s="17"/>
      <c r="T145" s="197" t="s">
        <v>3030</v>
      </c>
    </row>
    <row r="146" customHeight="1" spans="1:20">
      <c r="A146" s="44">
        <v>144</v>
      </c>
      <c r="B146" s="154">
        <v>20253000436</v>
      </c>
      <c r="C146" s="154" t="s">
        <v>3035</v>
      </c>
      <c r="D146" s="44" t="s">
        <v>3025</v>
      </c>
      <c r="E146" s="164" t="s">
        <v>3036</v>
      </c>
      <c r="F146" s="18" t="s">
        <v>3037</v>
      </c>
      <c r="G146" s="92" t="s">
        <v>3038</v>
      </c>
      <c r="H146" s="17"/>
      <c r="I146" s="17"/>
      <c r="J146" s="44" t="s">
        <v>3027</v>
      </c>
      <c r="K146" s="17" t="s">
        <v>3039</v>
      </c>
      <c r="L146" s="44" t="s">
        <v>3040</v>
      </c>
      <c r="M146" s="17"/>
      <c r="N146" s="127">
        <v>45926</v>
      </c>
      <c r="O146" s="189"/>
      <c r="P146" s="44" t="s">
        <v>401</v>
      </c>
      <c r="Q146" s="50">
        <v>0.2</v>
      </c>
      <c r="R146" s="17"/>
      <c r="S146" s="17"/>
      <c r="T146" s="197" t="s">
        <v>3030</v>
      </c>
    </row>
    <row r="147" customHeight="1" spans="1:20">
      <c r="A147" s="44">
        <v>145</v>
      </c>
      <c r="B147" s="154">
        <v>20253000437</v>
      </c>
      <c r="C147" s="154" t="s">
        <v>2329</v>
      </c>
      <c r="D147" s="44" t="s">
        <v>3025</v>
      </c>
      <c r="E147" s="164" t="s">
        <v>2224</v>
      </c>
      <c r="F147" s="18" t="s">
        <v>3041</v>
      </c>
      <c r="G147" s="338" t="s">
        <v>2225</v>
      </c>
      <c r="H147" s="17"/>
      <c r="I147" s="17"/>
      <c r="J147" s="44" t="s">
        <v>2978</v>
      </c>
      <c r="K147" s="17" t="s">
        <v>3042</v>
      </c>
      <c r="L147" s="44" t="s">
        <v>3043</v>
      </c>
      <c r="M147" s="17"/>
      <c r="N147" s="127">
        <v>45926</v>
      </c>
      <c r="O147" s="189"/>
      <c r="P147" s="44" t="s">
        <v>401</v>
      </c>
      <c r="Q147" s="50">
        <v>1.2</v>
      </c>
      <c r="R147" s="17"/>
      <c r="S147" s="17"/>
      <c r="T147" s="197" t="s">
        <v>3030</v>
      </c>
    </row>
    <row r="148" customHeight="1" spans="1:20">
      <c r="A148" s="44">
        <v>146</v>
      </c>
      <c r="B148" s="19">
        <v>20253000438</v>
      </c>
      <c r="C148" s="15" t="s">
        <v>2419</v>
      </c>
      <c r="D148" s="14" t="s">
        <v>3025</v>
      </c>
      <c r="E148" s="165" t="s">
        <v>3044</v>
      </c>
      <c r="F148" s="165" t="s">
        <v>2150</v>
      </c>
      <c r="G148" s="338" t="s">
        <v>3045</v>
      </c>
      <c r="H148" s="15"/>
      <c r="I148" s="15"/>
      <c r="J148" s="44" t="s">
        <v>2978</v>
      </c>
      <c r="K148" s="15" t="s">
        <v>3046</v>
      </c>
      <c r="L148" s="177" t="s">
        <v>3047</v>
      </c>
      <c r="M148" s="17"/>
      <c r="N148" s="127">
        <v>45926</v>
      </c>
      <c r="O148" s="189"/>
      <c r="P148" s="44" t="s">
        <v>401</v>
      </c>
      <c r="Q148" s="50">
        <v>0.2</v>
      </c>
      <c r="R148" s="17"/>
      <c r="S148" s="17"/>
      <c r="T148" s="197" t="s">
        <v>3030</v>
      </c>
    </row>
    <row r="149" customHeight="1" spans="1:20">
      <c r="A149" s="44">
        <v>147</v>
      </c>
      <c r="B149" s="19">
        <v>20253000439</v>
      </c>
      <c r="C149" s="15" t="s">
        <v>2425</v>
      </c>
      <c r="D149" s="14" t="s">
        <v>3025</v>
      </c>
      <c r="E149" s="165" t="s">
        <v>3048</v>
      </c>
      <c r="F149" s="14" t="s">
        <v>2760</v>
      </c>
      <c r="G149" s="338" t="s">
        <v>3049</v>
      </c>
      <c r="H149" s="15"/>
      <c r="I149" s="15"/>
      <c r="J149" s="44" t="s">
        <v>2978</v>
      </c>
      <c r="K149" s="15" t="s">
        <v>3050</v>
      </c>
      <c r="L149" s="177" t="s">
        <v>3051</v>
      </c>
      <c r="M149" s="17"/>
      <c r="N149" s="127">
        <v>45926</v>
      </c>
      <c r="O149" s="189"/>
      <c r="P149" s="44" t="s">
        <v>401</v>
      </c>
      <c r="Q149" s="50">
        <v>0.2</v>
      </c>
      <c r="R149" s="17"/>
      <c r="S149" s="17"/>
      <c r="T149" s="197" t="s">
        <v>3030</v>
      </c>
    </row>
    <row r="150" customHeight="1" spans="1:20">
      <c r="A150" s="44">
        <v>148</v>
      </c>
      <c r="B150" s="156">
        <v>20253000442</v>
      </c>
      <c r="C150" s="157" t="s">
        <v>2728</v>
      </c>
      <c r="D150" s="158" t="s">
        <v>3052</v>
      </c>
      <c r="E150" s="157" t="s">
        <v>2729</v>
      </c>
      <c r="F150" s="157" t="s">
        <v>2150</v>
      </c>
      <c r="G150" s="92" t="s">
        <v>2730</v>
      </c>
      <c r="H150" s="166"/>
      <c r="I150" s="178"/>
      <c r="J150" s="178" t="s">
        <v>2596</v>
      </c>
      <c r="K150" s="178" t="s">
        <v>3053</v>
      </c>
      <c r="L150" s="165" t="s">
        <v>3054</v>
      </c>
      <c r="M150" s="190"/>
      <c r="N150" s="190">
        <v>45923</v>
      </c>
      <c r="O150" s="178"/>
      <c r="P150" s="178" t="s">
        <v>401</v>
      </c>
      <c r="Q150" s="50">
        <v>1.5</v>
      </c>
      <c r="T150" s="198" t="s">
        <v>2148</v>
      </c>
    </row>
    <row r="151" customHeight="1" spans="1:20">
      <c r="A151" s="44">
        <v>149</v>
      </c>
      <c r="B151" s="156">
        <v>20253000443</v>
      </c>
      <c r="C151" s="157" t="s">
        <v>2721</v>
      </c>
      <c r="D151" s="157" t="s">
        <v>3052</v>
      </c>
      <c r="E151" s="157" t="s">
        <v>3055</v>
      </c>
      <c r="F151" s="167" t="s">
        <v>2760</v>
      </c>
      <c r="G151" s="92" t="s">
        <v>3056</v>
      </c>
      <c r="H151" s="166"/>
      <c r="I151" s="178"/>
      <c r="J151" s="178" t="s">
        <v>2596</v>
      </c>
      <c r="K151" s="15" t="s">
        <v>3057</v>
      </c>
      <c r="L151" s="165" t="s">
        <v>3058</v>
      </c>
      <c r="M151" s="190"/>
      <c r="N151" s="190">
        <v>45923</v>
      </c>
      <c r="O151" s="178"/>
      <c r="P151" s="178" t="s">
        <v>401</v>
      </c>
      <c r="Q151" s="50">
        <v>1.5</v>
      </c>
      <c r="T151" s="198" t="s">
        <v>2148</v>
      </c>
    </row>
    <row r="152" customHeight="1" spans="1:20">
      <c r="A152" s="44">
        <v>150</v>
      </c>
      <c r="B152" s="156">
        <v>20253000445</v>
      </c>
      <c r="C152" s="156" t="s">
        <v>1868</v>
      </c>
      <c r="D152" s="156" t="s">
        <v>3052</v>
      </c>
      <c r="E152" s="157" t="s">
        <v>2715</v>
      </c>
      <c r="F152" s="166" t="s">
        <v>2184</v>
      </c>
      <c r="G152" s="92" t="s">
        <v>2716</v>
      </c>
      <c r="H152" s="166"/>
      <c r="I152" s="178"/>
      <c r="J152" s="178" t="s">
        <v>3059</v>
      </c>
      <c r="K152" s="15" t="s">
        <v>3060</v>
      </c>
      <c r="L152" s="165" t="s">
        <v>3061</v>
      </c>
      <c r="M152" s="190"/>
      <c r="N152" s="190">
        <v>45923</v>
      </c>
      <c r="O152" s="178"/>
      <c r="P152" s="178" t="s">
        <v>401</v>
      </c>
      <c r="Q152" s="50">
        <v>4</v>
      </c>
      <c r="T152" s="198" t="s">
        <v>2148</v>
      </c>
    </row>
    <row r="153" customHeight="1" spans="1:20">
      <c r="A153" s="44">
        <v>151</v>
      </c>
      <c r="B153" s="156">
        <v>20253000446</v>
      </c>
      <c r="C153" s="157" t="s">
        <v>1373</v>
      </c>
      <c r="D153" s="156" t="s">
        <v>3052</v>
      </c>
      <c r="E153" s="156" t="s">
        <v>3062</v>
      </c>
      <c r="F153" s="166" t="s">
        <v>416</v>
      </c>
      <c r="G153" s="92" t="s">
        <v>3063</v>
      </c>
      <c r="H153" s="166"/>
      <c r="I153" s="178"/>
      <c r="J153" s="178" t="s">
        <v>2578</v>
      </c>
      <c r="K153" s="15" t="s">
        <v>3064</v>
      </c>
      <c r="L153" s="165" t="s">
        <v>3065</v>
      </c>
      <c r="M153" s="190"/>
      <c r="N153" s="190">
        <v>45923</v>
      </c>
      <c r="O153" s="178"/>
      <c r="P153" s="178" t="s">
        <v>401</v>
      </c>
      <c r="Q153" s="50">
        <v>1</v>
      </c>
      <c r="T153" s="199" t="s">
        <v>2148</v>
      </c>
    </row>
    <row r="154" customHeight="1" spans="1:20">
      <c r="A154" s="44">
        <v>152</v>
      </c>
      <c r="B154" s="159">
        <v>20253000449</v>
      </c>
      <c r="C154" s="160" t="s">
        <v>1373</v>
      </c>
      <c r="D154" s="160" t="s">
        <v>1947</v>
      </c>
      <c r="E154" s="160" t="s">
        <v>2191</v>
      </c>
      <c r="F154" s="168" t="s">
        <v>416</v>
      </c>
      <c r="G154" s="92" t="s">
        <v>2192</v>
      </c>
      <c r="H154" s="168" t="s">
        <v>2193</v>
      </c>
      <c r="I154" s="179"/>
      <c r="J154" s="168" t="s">
        <v>2578</v>
      </c>
      <c r="K154" s="168" t="s">
        <v>3066</v>
      </c>
      <c r="L154" s="168" t="s">
        <v>3067</v>
      </c>
      <c r="M154" s="191"/>
      <c r="N154" s="192">
        <v>45947</v>
      </c>
      <c r="O154" s="191"/>
      <c r="P154" s="170" t="s">
        <v>401</v>
      </c>
      <c r="Q154" s="50">
        <v>1</v>
      </c>
      <c r="T154" s="168" t="s">
        <v>2215</v>
      </c>
    </row>
    <row r="155" customHeight="1" spans="1:20">
      <c r="A155" s="44">
        <v>153</v>
      </c>
      <c r="B155" s="159">
        <v>20253000451</v>
      </c>
      <c r="C155" s="160" t="s">
        <v>718</v>
      </c>
      <c r="D155" s="160" t="s">
        <v>1947</v>
      </c>
      <c r="E155" s="160" t="s">
        <v>2585</v>
      </c>
      <c r="F155" s="168" t="s">
        <v>416</v>
      </c>
      <c r="G155" s="92" t="s">
        <v>2586</v>
      </c>
      <c r="H155" s="168" t="s">
        <v>2890</v>
      </c>
      <c r="I155" s="179"/>
      <c r="J155" s="168" t="s">
        <v>2932</v>
      </c>
      <c r="K155" s="168" t="s">
        <v>3068</v>
      </c>
      <c r="L155" s="168" t="s">
        <v>3069</v>
      </c>
      <c r="M155" s="191"/>
      <c r="N155" s="192">
        <v>45947</v>
      </c>
      <c r="O155" s="191"/>
      <c r="P155" s="170" t="s">
        <v>401</v>
      </c>
      <c r="Q155" s="50">
        <v>1.2</v>
      </c>
      <c r="T155" s="168" t="s">
        <v>2215</v>
      </c>
    </row>
    <row r="156" customHeight="1" spans="1:20">
      <c r="A156" s="44">
        <v>154</v>
      </c>
      <c r="B156" s="159">
        <v>20253000452</v>
      </c>
      <c r="C156" s="160" t="s">
        <v>718</v>
      </c>
      <c r="D156" s="160" t="s">
        <v>1947</v>
      </c>
      <c r="E156" s="160" t="s">
        <v>3070</v>
      </c>
      <c r="F156" s="168" t="s">
        <v>1794</v>
      </c>
      <c r="G156" s="92" t="s">
        <v>3071</v>
      </c>
      <c r="H156" s="169"/>
      <c r="I156" s="179"/>
      <c r="J156" s="168" t="s">
        <v>2932</v>
      </c>
      <c r="K156" s="168" t="s">
        <v>3072</v>
      </c>
      <c r="L156" s="168" t="s">
        <v>3073</v>
      </c>
      <c r="M156" s="191"/>
      <c r="N156" s="192">
        <v>45947</v>
      </c>
      <c r="O156" s="191"/>
      <c r="P156" s="170" t="s">
        <v>401</v>
      </c>
      <c r="Q156" s="50">
        <v>0.2</v>
      </c>
      <c r="T156" s="168" t="s">
        <v>2215</v>
      </c>
    </row>
    <row r="157" customHeight="1" spans="1:20">
      <c r="A157" s="44">
        <v>155</v>
      </c>
      <c r="B157" s="159">
        <v>20253000453</v>
      </c>
      <c r="C157" s="160" t="s">
        <v>718</v>
      </c>
      <c r="D157" s="160" t="s">
        <v>1947</v>
      </c>
      <c r="E157" s="160" t="s">
        <v>2594</v>
      </c>
      <c r="F157" s="170" t="s">
        <v>2150</v>
      </c>
      <c r="G157" s="92" t="s">
        <v>2595</v>
      </c>
      <c r="H157" s="171"/>
      <c r="I157" s="180"/>
      <c r="J157" s="170" t="s">
        <v>2932</v>
      </c>
      <c r="K157" s="170" t="s">
        <v>3074</v>
      </c>
      <c r="L157" s="170" t="s">
        <v>3075</v>
      </c>
      <c r="M157" s="193"/>
      <c r="N157" s="192">
        <v>45947</v>
      </c>
      <c r="O157" s="193"/>
      <c r="P157" s="170" t="s">
        <v>401</v>
      </c>
      <c r="Q157" s="50">
        <v>0.2</v>
      </c>
      <c r="T157" s="170" t="s">
        <v>2215</v>
      </c>
    </row>
    <row r="158" customHeight="1" spans="1:20">
      <c r="A158" s="44">
        <v>156</v>
      </c>
      <c r="B158" s="161">
        <v>20253000450</v>
      </c>
      <c r="C158" s="161" t="s">
        <v>1373</v>
      </c>
      <c r="D158" s="162" t="s">
        <v>3076</v>
      </c>
      <c r="E158" s="172" t="s">
        <v>3077</v>
      </c>
      <c r="F158" s="173" t="s">
        <v>416</v>
      </c>
      <c r="G158" s="92" t="s">
        <v>3078</v>
      </c>
      <c r="H158" s="174"/>
      <c r="I158" s="181"/>
      <c r="J158" s="174" t="s">
        <v>2578</v>
      </c>
      <c r="K158" s="182" t="s">
        <v>3079</v>
      </c>
      <c r="L158" s="183" t="s">
        <v>3080</v>
      </c>
      <c r="M158" s="181"/>
      <c r="N158" s="194">
        <v>45916</v>
      </c>
      <c r="O158" s="181"/>
      <c r="P158" s="174" t="s">
        <v>401</v>
      </c>
      <c r="Q158" s="50">
        <v>1</v>
      </c>
      <c r="T158" s="174" t="s">
        <v>2175</v>
      </c>
    </row>
  </sheetData>
  <autoFilter ref="A1:Z158">
    <extLst/>
  </autoFilter>
  <mergeCells count="21">
    <mergeCell ref="A1:R1"/>
    <mergeCell ref="D6:D8"/>
    <mergeCell ref="D10:D12"/>
    <mergeCell ref="D15:D16"/>
    <mergeCell ref="D17:D19"/>
    <mergeCell ref="D21:D23"/>
    <mergeCell ref="D24:D27"/>
    <mergeCell ref="D28:D29"/>
    <mergeCell ref="D30:D31"/>
    <mergeCell ref="D32:D33"/>
    <mergeCell ref="D34:D38"/>
    <mergeCell ref="D43:D45"/>
    <mergeCell ref="D46:D47"/>
    <mergeCell ref="D48:D50"/>
    <mergeCell ref="D51:D53"/>
    <mergeCell ref="D54:D55"/>
    <mergeCell ref="D58:D59"/>
    <mergeCell ref="D60:D61"/>
    <mergeCell ref="D62:D63"/>
    <mergeCell ref="D65:D67"/>
    <mergeCell ref="D87:D89"/>
  </mergeCells>
  <conditionalFormatting sqref="T3">
    <cfRule type="timePeriod" dxfId="0" priority="6" timePeriod="tomorrow">
      <formula>FLOOR(T3,1)=TODAY()+1</formula>
    </cfRule>
  </conditionalFormatting>
  <conditionalFormatting sqref="V3">
    <cfRule type="timePeriod" dxfId="0" priority="5" timePeriod="tomorrow">
      <formula>FLOOR(V3,1)=TODAY()+1</formula>
    </cfRule>
    <cfRule type="timePeriod" dxfId="0" priority="4" timePeriod="tomorrow">
      <formula>FLOOR(V3,1)=TODAY()+1</formula>
    </cfRule>
  </conditionalFormatting>
  <conditionalFormatting sqref="X3">
    <cfRule type="timePeriod" dxfId="0" priority="1" timePeriod="tomorrow">
      <formula>FLOOR(X3,1)=TODAY()+1</formula>
    </cfRule>
  </conditionalFormatting>
  <conditionalFormatting sqref="U1:X2">
    <cfRule type="timePeriod" dxfId="0" priority="7" timePeriod="tomorrow">
      <formula>FLOOR(U1,1)=TODAY()+1</formula>
    </cfRule>
  </conditionalFormatting>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75"/>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行政检查</vt:lpstr>
      <vt:lpstr>行政处罚</vt:lpstr>
      <vt:lpstr>Sheet1</vt:lpstr>
      <vt:lpstr>Sheet2</vt:lpstr>
      <vt:lpstr>2025年</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米兰1</cp:lastModifiedBy>
  <dcterms:created xsi:type="dcterms:W3CDTF">2021-05-29T06:10:00Z</dcterms:created>
  <dcterms:modified xsi:type="dcterms:W3CDTF">2025-10-27T16:15:15Z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2052-11.8.2.10912</vt:lpwstr>
  </property>
  <property fmtid="{D5CDD505-2E9C-101B-9397-08002B2CF9AE}" pid="3" name="ICV">
    <vt:lpwstr>F0EC109AB925439997E17BA4A51872B2</vt:lpwstr>
  </property>
</Properties>
</file>