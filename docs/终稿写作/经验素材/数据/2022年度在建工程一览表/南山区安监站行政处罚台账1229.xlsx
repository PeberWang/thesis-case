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activeTab="1"/>
  </bookViews>
  <sheets>
    <sheet name="行政检查" sheetId="2" r:id="rId1"/>
    <sheet name="行政处罚" sheetId="1" r:id="rId2"/>
  </sheets>
  <definedNames>
    <definedName name="_xlnm._FilterDatabase" localSheetId="0" hidden="1">行政检查!$A$2:$AA$21</definedName>
    <definedName name="_xlnm._FilterDatabase" localSheetId="1" hidden="1">行政处罚!$A$2:$Z$121</definedName>
    <definedName name="_xlnm.Print_Titles" localSheetId="1">行政处罚!$2:$2</definedName>
  </definedNames>
  <calcPr calcId="144525"/>
</workbook>
</file>

<file path=xl/sharedStrings.xml><?xml version="1.0" encoding="utf-8"?>
<sst xmlns="http://schemas.openxmlformats.org/spreadsheetml/2006/main" count="2078" uniqueCount="1045">
  <si>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</si>
  <si>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</si>
  <si>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</si>
  <si>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</si>
  <si>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</si>
  <si>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</si>
  <si>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</si>
  <si>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</si>
  <si>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</si>
  <si>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</si>
  <si>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</si>
  <si>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</si>
  <si>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</si>
  <si>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</si>
  <si>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</si>
  <si>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</si>
  <si>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</si>
  <si>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</si>
  <si>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</si>
  <si>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</si>
  <si>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</si>
  <si>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</si>
  <si>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</si>
  <si>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</si>
  <si>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</si>
  <si>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</si>
  <si>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</si>
  <si>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</si>
  <si>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</si>
  <si>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</si>
  <si>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</si>
  <si>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</si>
  <si>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</si>
  <si>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</si>
  <si>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</si>
  <si>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</si>
  <si>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</si>
  <si>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</si>
  <si>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</si>
  <si>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</si>
  <si>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</si>
  <si>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全流程系统登记</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</si>
  <si>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</si>
  <si>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</si>
  <si>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</si>
  <si>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</si>
  <si>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</si>
  <si>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</si>
  <si>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</si>
  <si>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</si>
  <si>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</si>
  <si>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</si>
  <si>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</si>
  <si>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</si>
  <si>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</si>
  <si>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</si>
  <si>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</si>
  <si>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</si>
  <si>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</si>
  <si>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</si>
  <si>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</si>
  <si>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</si>
  <si>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</si>
  <si>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</si>
  <si>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</si>
  <si>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</si>
  <si>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</si>
  <si>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</si>
  <si>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</si>
  <si>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</si>
  <si>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</si>
  <si>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</si>
  <si>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</si>
  <si>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</si>
  <si>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</si>
  <si>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</si>
  <si>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</si>
  <si>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</si>
  <si>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</si>
  <si>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</si>
  <si>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</si>
  <si>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</si>
  <si>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</si>
  <si>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</si>
  <si>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</si>
  <si>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</si>
  <si>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</si>
  <si>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</si>
  <si>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</si>
  <si>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</si>
  <si>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</si>
  <si>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</si>
  <si>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</si>
  <si>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</si>
  <si>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</si>
  <si>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</si>
  <si>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</si>
  <si>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</si>
  <si>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</si>
  <si>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</si>
  <si>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</si>
  <si>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</si>
  <si>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</si>
  <si>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</si>
  <si>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</si>
  <si>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</si>
  <si>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</si>
  <si>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</si>
  <si>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</si>
  <si>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</si>
  <si>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</si>
  <si>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</si>
  <si>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</si>
  <si>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</si>
  <si>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</si>
  <si>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</si>
  <si>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</si>
  <si>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</si>
  <si>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</si>
  <si>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</si>
  <si>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</si>
  <si>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</si>
  <si>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</si>
  <si>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2021.7.13区司法局评查</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</si>
  <si>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</si>
  <si>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</si>
  <si>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</si>
  <si>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</si>
  <si>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</si>
  <si>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</si>
  <si>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</si>
  <si>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</si>
  <si>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</si>
  <si>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</si>
  <si>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</si>
  <si>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</si>
  <si>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</si>
  <si>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</si>
  <si>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</si>
  <si>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</si>
  <si>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</si>
  <si>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</si>
  <si>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</si>
  <si>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</si>
  <si>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</si>
  <si>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</si>
  <si>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</si>
  <si>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</si>
  <si>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</si>
  <si>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</si>
  <si>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</si>
  <si>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</si>
  <si>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</si>
  <si>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宗海根，高健</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</si>
  <si>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</si>
  <si>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</si>
  <si>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</si>
  <si>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</si>
  <si>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</si>
  <si>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</si>
  <si>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</si>
  <si>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</si>
  <si>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</si>
  <si>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</si>
  <si>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</si>
  <si>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</si>
  <si>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</si>
  <si>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</si>
  <si>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</si>
  <si>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</si>
  <si>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</si>
  <si>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</si>
  <si>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</si>
  <si>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</si>
  <si>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</si>
  <si>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</si>
  <si>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</si>
  <si>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</si>
  <si>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</si>
  <si>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</si>
  <si>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</si>
  <si>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22年检查</t>
  </si>
  <si>
    <t>合计</t>
  </si>
  <si>
    <t>南山区安监站行政处罚台账（标绿为文明施工类）</t>
  </si>
  <si>
    <t>市司法局系统案件编号</t>
  </si>
  <si>
    <t>案名</t>
  </si>
  <si>
    <t>处罚企业名称/人员名称</t>
  </si>
  <si>
    <t>企业（人员）角色</t>
  </si>
  <si>
    <t>社会信用代码/个人身份证号码</t>
  </si>
  <si>
    <t>案由</t>
  </si>
  <si>
    <t>处罚原因（标绿为文明施工类）</t>
  </si>
  <si>
    <t>立案编号</t>
  </si>
  <si>
    <t>行政处罚
决定书文号</t>
  </si>
  <si>
    <t>立案时间</t>
  </si>
  <si>
    <t>处罚决定时间</t>
  </si>
  <si>
    <t>处罚金额
（万元）</t>
  </si>
  <si>
    <t>结案时间</t>
  </si>
  <si>
    <t>归档号</t>
  </si>
  <si>
    <t>经办监督组</t>
  </si>
  <si>
    <t>省执法公示
（7个工作日）</t>
  </si>
  <si>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</si>
  <si>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</si>
  <si>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市住建局智慧监管平台</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</si>
  <si>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</si>
  <si>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</si>
  <si>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</si>
  <si>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</si>
  <si>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</si>
  <si>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</si>
  <si>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</si>
  <si>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</si>
  <si>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</si>
  <si>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</si>
  <si>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</si>
  <si>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</si>
  <si>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</si>
  <si>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</si>
  <si>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</si>
  <si>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</si>
  <si>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</si>
  <si>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</si>
  <si>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</si>
  <si>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</si>
  <si>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</si>
  <si>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</si>
  <si>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</si>
  <si>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</si>
  <si>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</si>
  <si>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</si>
  <si>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</si>
  <si>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</si>
  <si>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</si>
  <si>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</si>
  <si>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</si>
  <si>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</si>
  <si>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</si>
  <si>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</si>
  <si>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</si>
  <si>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</si>
  <si>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</si>
  <si>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</si>
  <si>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</si>
  <si>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</si>
  <si>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</si>
  <si>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</si>
  <si>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</si>
  <si>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</si>
  <si>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</si>
  <si>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</si>
  <si>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</si>
  <si>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</si>
  <si>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</si>
  <si>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</si>
  <si>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</si>
  <si>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</si>
  <si>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</si>
  <si>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</si>
  <si>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</si>
  <si>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</si>
  <si>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</si>
  <si>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</si>
  <si>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</si>
  <si>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</si>
  <si>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</si>
  <si>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</si>
  <si>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</si>
  <si>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</si>
  <si>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</si>
  <si>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</si>
  <si>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</si>
  <si>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</si>
  <si>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</si>
  <si>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</si>
  <si>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</si>
  <si>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</si>
  <si>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</si>
  <si>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</si>
  <si>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</si>
  <si>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</si>
  <si>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</si>
  <si>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</si>
  <si>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</si>
  <si>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一组</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</si>
  <si>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</si>
  <si>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</si>
  <si>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</si>
  <si>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</si>
  <si>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</si>
  <si>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</si>
  <si>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</si>
  <si>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</si>
  <si>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</si>
  <si>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</si>
  <si>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</si>
  <si>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</si>
  <si>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</si>
  <si>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</si>
  <si>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</si>
  <si>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</si>
  <si>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</si>
  <si>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</si>
  <si>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</si>
  <si>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</si>
  <si>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</si>
  <si>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</si>
  <si>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</si>
  <si>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</si>
  <si>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</si>
  <si>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</si>
  <si>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</si>
  <si>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</si>
  <si>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</si>
  <si>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</si>
  <si>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</si>
  <si>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</si>
  <si>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</si>
  <si>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</si>
  <si>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</si>
  <si>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</si>
  <si>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</si>
  <si>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</si>
  <si>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</si>
  <si>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</si>
  <si>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</si>
  <si>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</si>
  <si>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</si>
  <si>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</si>
  <si>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</si>
  <si>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</si>
  <si>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</si>
  <si>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</si>
  <si>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</si>
  <si>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</si>
  <si>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</si>
  <si>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</si>
  <si>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区法制办
2018-10-31
国安委办
2019-5-13</t>
  </si>
  <si>
    <t>关于中建钢构有限公司擅自允许未密闭化车辆出场案</t>
  </si>
  <si>
    <t>南山区档案服务大厦</t>
  </si>
  <si>
    <t>914403006803525199</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</si>
  <si>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</si>
  <si>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</si>
  <si>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</si>
  <si>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</si>
  <si>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</si>
  <si>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</si>
  <si>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</si>
  <si>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</si>
  <si>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</si>
  <si>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</si>
  <si>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</si>
  <si>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</si>
  <si>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</si>
  <si>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</si>
  <si>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</si>
  <si>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</si>
  <si>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</si>
  <si>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</si>
  <si>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</si>
  <si>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</si>
  <si>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</si>
  <si>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</si>
  <si>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</si>
  <si>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</si>
  <si>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</si>
  <si>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</si>
  <si>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</si>
  <si>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</si>
  <si>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</si>
  <si>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</si>
  <si>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</si>
  <si>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</si>
  <si>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</si>
  <si>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</si>
  <si>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</si>
  <si>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</si>
  <si>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</si>
  <si>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</si>
  <si>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二组</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</si>
  <si>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</si>
  <si>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</si>
  <si>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</si>
  <si>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</si>
  <si>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</si>
  <si>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</si>
  <si>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</si>
  <si>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</si>
  <si>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</si>
  <si>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</si>
  <si>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</si>
  <si>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</si>
  <si>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</si>
  <si>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</si>
  <si>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</si>
  <si>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</si>
  <si>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</si>
  <si>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</si>
  <si>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</si>
  <si>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</si>
  <si>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</si>
  <si>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</si>
  <si>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</si>
  <si>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</si>
  <si>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</si>
  <si>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</si>
  <si>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</si>
  <si>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</si>
  <si>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</si>
  <si>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</si>
  <si>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</si>
  <si>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</si>
  <si>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</si>
  <si>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</si>
  <si>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</si>
  <si>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</si>
  <si>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</si>
  <si>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</si>
  <si>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</si>
  <si>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</si>
  <si>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</si>
  <si>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</si>
  <si>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</si>
  <si>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</si>
  <si>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</si>
  <si>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</si>
  <si>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</si>
  <si>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</si>
  <si>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</si>
  <si>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</si>
  <si>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</si>
  <si>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</si>
  <si>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</si>
  <si>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</si>
  <si>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</si>
  <si>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</si>
  <si>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</si>
  <si>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</si>
  <si>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</si>
  <si>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</si>
  <si>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</si>
  <si>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</si>
  <si>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</si>
  <si>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</si>
  <si>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</si>
  <si>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</si>
  <si>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</si>
  <si>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</si>
  <si>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</si>
  <si>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</si>
  <si>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</si>
  <si>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</si>
  <si>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</si>
  <si>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</si>
  <si>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</si>
  <si>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</si>
  <si>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</si>
  <si>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</si>
  <si>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</si>
  <si>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</si>
  <si>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</si>
  <si>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</si>
  <si>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</si>
  <si>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</si>
  <si>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</si>
  <si>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</si>
  <si>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</si>
  <si>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</si>
  <si>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</si>
  <si>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</si>
  <si>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</si>
  <si>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</si>
  <si>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</si>
  <si>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</si>
  <si>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</si>
  <si>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</si>
  <si>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</si>
  <si>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</si>
  <si>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</si>
  <si>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</si>
  <si>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</si>
  <si>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</si>
  <si>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</si>
  <si>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</si>
  <si>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</si>
  <si>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</si>
  <si>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</si>
  <si>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</si>
  <si>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</si>
  <si>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</si>
  <si>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</si>
  <si>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</si>
  <si>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</si>
  <si>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</si>
  <si>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</si>
  <si>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</si>
  <si>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</si>
  <si>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</si>
  <si>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</si>
  <si>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</si>
  <si>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</si>
  <si>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</si>
  <si>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</si>
  <si>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</si>
  <si>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</si>
  <si>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</si>
  <si>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</si>
  <si>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</si>
  <si>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</si>
  <si>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</si>
  <si>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</si>
  <si>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</si>
  <si>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</si>
  <si>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</si>
  <si>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</si>
  <si>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</si>
  <si>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</si>
  <si>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</si>
  <si>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</si>
  <si>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</si>
  <si>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</si>
  <si>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</si>
  <si>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</si>
  <si>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</si>
  <si>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</si>
  <si>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</si>
  <si>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</si>
  <si>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</si>
  <si>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</si>
  <si>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</si>
  <si>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</si>
  <si>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</si>
  <si>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</si>
  <si>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</si>
  <si>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</si>
  <si>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</si>
  <si>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</si>
  <si>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</si>
  <si>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</si>
  <si>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</si>
  <si>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</si>
  <si>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</si>
  <si>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</si>
  <si>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</si>
  <si>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</si>
  <si>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</si>
  <si>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</si>
  <si>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</si>
  <si>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</si>
  <si>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</si>
  <si>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</si>
  <si>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</si>
  <si>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</si>
  <si>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</si>
  <si>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</si>
  <si>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</si>
  <si>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</si>
  <si>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</si>
  <si>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</si>
  <si>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</si>
  <si>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</si>
  <si>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</si>
  <si>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</si>
  <si>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</si>
  <si>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</si>
  <si>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</si>
  <si>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</si>
  <si>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</si>
  <si>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</si>
  <si>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</si>
  <si>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</si>
  <si>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</si>
  <si>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</si>
  <si>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</si>
  <si>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</si>
  <si>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</si>
  <si>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</si>
  <si>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</si>
  <si>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</si>
  <si>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</si>
  <si>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</si>
  <si>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</si>
  <si>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</si>
  <si>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</si>
  <si>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</si>
  <si>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</si>
  <si>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</si>
  <si>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</si>
  <si>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</si>
  <si>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</si>
  <si>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</si>
  <si>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</si>
  <si>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</si>
  <si>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</si>
  <si>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</si>
  <si>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</si>
  <si>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</si>
  <si>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</si>
  <si>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</si>
  <si>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</si>
  <si>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</si>
  <si>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</si>
  <si>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</si>
  <si>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</si>
  <si>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</si>
  <si>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</si>
  <si>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</si>
  <si>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</si>
  <si>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</si>
  <si>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</si>
  <si>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</si>
  <si>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</si>
  <si>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</si>
  <si>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</si>
  <si>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</si>
  <si>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</si>
  <si>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</si>
  <si>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</si>
  <si>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</si>
  <si>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</si>
  <si>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</si>
  <si>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</si>
  <si>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</si>
  <si>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</si>
  <si>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</si>
  <si>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</si>
  <si>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</si>
  <si>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</si>
  <si>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</si>
  <si>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</si>
  <si>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</si>
  <si>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</si>
  <si>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</si>
  <si>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</si>
  <si>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</si>
  <si>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</si>
  <si>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</si>
  <si>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</si>
  <si>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</si>
  <si>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</si>
  <si>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</si>
  <si>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</si>
  <si>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</si>
  <si>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</si>
  <si>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</si>
  <si>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</si>
  <si>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</si>
  <si>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</si>
  <si>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</si>
  <si>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</si>
  <si>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</si>
  <si>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</si>
  <si>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</si>
  <si>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</si>
  <si>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</si>
  <si>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</si>
  <si>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</si>
  <si>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</si>
  <si>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</si>
  <si>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</si>
  <si>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</si>
  <si>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</si>
  <si>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</si>
  <si>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</si>
  <si>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</si>
  <si>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</si>
  <si>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</si>
  <si>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</si>
  <si>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</si>
  <si>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</si>
  <si>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</si>
  <si>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</si>
  <si>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</si>
  <si>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</si>
  <si>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</si>
  <si>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</si>
  <si>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</si>
  <si>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</si>
  <si>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</si>
  <si>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</si>
  <si>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</si>
  <si>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</si>
  <si>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</si>
  <si>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</si>
  <si>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</si>
  <si>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</si>
  <si>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</si>
  <si>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</si>
  <si>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</si>
  <si>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</si>
  <si>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</si>
  <si>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</si>
  <si>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</si>
  <si>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</si>
  <si>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</si>
  <si>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</si>
  <si>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</si>
  <si>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</si>
  <si>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</si>
  <si>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</si>
  <si>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</si>
  <si>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</si>
  <si>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</si>
  <si>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</si>
  <si>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</si>
  <si>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</si>
  <si>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</si>
  <si>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</si>
  <si>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管理规定》第二十条的规定。</t>
  </si>
  <si>
    <t>深南住建行罚决〔2020〕5号</t>
  </si>
  <si>
    <t>20201111111922</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</si>
  <si>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</si>
  <si>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</si>
  <si>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</si>
  <si>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</si>
  <si>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</si>
  <si>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</si>
  <si>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</si>
  <si>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</si>
  <si>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</si>
  <si>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</si>
  <si>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</si>
  <si>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</si>
  <si>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</si>
  <si>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</si>
  <si>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</si>
  <si>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</si>
  <si>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</si>
  <si>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</si>
  <si>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</si>
  <si>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</si>
  <si>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</si>
  <si>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</si>
  <si>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</si>
  <si>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</si>
  <si>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</si>
  <si>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</si>
  <si>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</si>
  <si>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</si>
  <si>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</si>
  <si>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</si>
  <si>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</si>
  <si>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</si>
  <si>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送市安委办抽检，未返还</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</si>
  <si>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</si>
  <si>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</si>
  <si>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</si>
  <si>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</si>
  <si>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</si>
  <si>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</si>
  <si>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</si>
  <si>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</si>
  <si>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</si>
  <si>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</si>
  <si>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</si>
  <si>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</si>
  <si>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</si>
  <si>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2021.7.15区司法局</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</si>
  <si>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</si>
  <si>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</si>
  <si>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</si>
  <si>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</si>
  <si>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</si>
  <si>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</si>
  <si>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</si>
  <si>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</si>
  <si>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</si>
  <si>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</si>
  <si>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</si>
  <si>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建筑施工企业在施工工地未采取有效防尘措施</t>
  </si>
  <si>
    <t>仙元路（仙茶路-同发南路）市政道路工程</t>
  </si>
  <si>
    <t>中建五局安装工程有限公司</t>
  </si>
  <si>
    <t>914300001837904624</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</si>
  <si>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</si>
  <si>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</si>
  <si>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</si>
  <si>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</si>
  <si>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</si>
  <si>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</si>
  <si>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</si>
  <si>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</si>
  <si>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</si>
  <si>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</si>
  <si>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</si>
  <si>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</si>
  <si>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南头</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</si>
  <si>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</si>
  <si>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</si>
  <si>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</si>
  <si>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</si>
  <si>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</si>
  <si>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</si>
  <si>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</si>
  <si>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</si>
  <si>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</si>
  <si>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</si>
  <si>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</si>
  <si>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</si>
  <si>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</si>
  <si>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</si>
  <si>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</si>
  <si>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</si>
  <si>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</si>
  <si>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</si>
  <si>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</si>
  <si>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</si>
  <si>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</si>
  <si>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</si>
  <si>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</si>
  <si>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</si>
  <si>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</si>
  <si>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</si>
  <si>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</si>
  <si>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</si>
  <si>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</si>
  <si>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</si>
  <si>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</si>
  <si>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</si>
  <si>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</si>
  <si>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</si>
  <si>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</si>
  <si>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</si>
  <si>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</si>
  <si>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</si>
  <si>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</si>
  <si>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</si>
  <si>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</si>
  <si>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</si>
  <si>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</si>
  <si>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</si>
  <si>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</si>
  <si>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</si>
  <si>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</si>
  <si>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</si>
  <si>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</si>
  <si>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</si>
  <si>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</si>
  <si>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</si>
  <si>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</si>
  <si>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</si>
  <si>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</si>
  <si>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</si>
  <si>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责任人、项目负责人和专职安全生产管理人员安全生产管理规定》第十一条的规定。</t>
  </si>
  <si>
    <t>深南住建行罚立〔2021〕47号</t>
  </si>
  <si>
    <t>深南住建罚〔2021〕51号</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</si>
  <si>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</si>
  <si>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</si>
  <si>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</si>
  <si>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</si>
  <si>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</si>
  <si>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</si>
  <si>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</si>
  <si>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</si>
  <si>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</si>
  <si>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</si>
  <si>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</si>
  <si>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</si>
  <si>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</si>
  <si>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</si>
  <si>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</si>
  <si>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</si>
  <si>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</si>
  <si>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</si>
  <si>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</si>
  <si>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</si>
  <si>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</si>
  <si>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</si>
  <si>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</si>
  <si>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</si>
  <si>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</si>
  <si>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</si>
  <si>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</si>
  <si>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</si>
  <si>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</si>
  <si>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</si>
  <si>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</si>
  <si>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</si>
  <si>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</si>
  <si>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</si>
  <si>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</si>
  <si>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</si>
  <si>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</si>
  <si>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</si>
  <si>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20223000013</t>
  </si>
  <si>
    <t>太子湾学校西校区施工单位未按规定建立危大工程安全管理档案</t>
  </si>
  <si>
    <t>太子湾学校西校区项目</t>
  </si>
  <si>
    <t>中建科工集团有限公司</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</si>
  <si>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</si>
  <si>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</si>
  <si>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</si>
  <si>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</si>
  <si>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</si>
  <si>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</si>
  <si>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</si>
  <si>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</si>
  <si>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</si>
  <si>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</si>
  <si>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</si>
  <si>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</si>
  <si>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</si>
  <si>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</si>
  <si>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</si>
  <si>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</si>
  <si>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</si>
  <si>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20223000017</t>
  </si>
  <si>
    <t>中建二局第二建筑工程有限公司未实施防止塔式起重机相互碰撞的安全措施案</t>
  </si>
  <si>
    <t>砺剑大厦</t>
  </si>
  <si>
    <t>中建二局第二建筑工程有限公司</t>
  </si>
  <si>
    <t>914100001710718666</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</si>
  <si>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</si>
  <si>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</si>
  <si>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</si>
  <si>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</si>
  <si>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</si>
  <si>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</si>
  <si>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</si>
  <si>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</si>
  <si>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</si>
  <si>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</si>
  <si>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</si>
  <si>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</si>
  <si>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</si>
  <si>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</si>
  <si>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</si>
  <si>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</si>
  <si>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</si>
  <si>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</si>
  <si>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</si>
  <si>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</si>
  <si>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</si>
  <si>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</si>
  <si>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</si>
  <si>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</si>
  <si>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</si>
  <si>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</si>
  <si>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</si>
  <si>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</si>
  <si>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</si>
  <si>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</si>
  <si>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</si>
  <si>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</si>
  <si>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</si>
  <si>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</si>
  <si>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</si>
  <si>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</si>
  <si>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</si>
  <si>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</si>
  <si>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</si>
  <si>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</si>
  <si>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</si>
  <si>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</si>
  <si>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</si>
  <si>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</si>
  <si>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</si>
  <si>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</si>
  <si>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</si>
  <si>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</si>
  <si>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</si>
  <si>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</si>
  <si>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</si>
  <si>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</si>
  <si>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</si>
  <si>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</si>
  <si>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</si>
  <si>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</si>
  <si>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</si>
  <si>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</si>
  <si>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</si>
  <si>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</si>
  <si>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</si>
  <si>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</si>
  <si>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</si>
  <si>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</si>
  <si>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</si>
  <si>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</si>
  <si>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</si>
  <si>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二组（付泽正协助）</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</si>
  <si>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</si>
  <si>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</si>
  <si>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</si>
  <si>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</si>
  <si>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</si>
  <si>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</si>
  <si>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</si>
  <si>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</si>
  <si>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</si>
  <si>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</si>
  <si>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</si>
  <si>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</si>
  <si>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</si>
  <si>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</si>
  <si>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</si>
  <si>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</si>
  <si>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</si>
  <si>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</si>
  <si>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</si>
  <si>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</si>
  <si>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</si>
  <si>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</si>
  <si>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</si>
  <si>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</si>
  <si>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</si>
  <si>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</si>
  <si>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</si>
  <si>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</si>
  <si>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</si>
  <si>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</si>
  <si>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</si>
  <si>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</si>
  <si>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</si>
  <si>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</si>
  <si>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</si>
  <si>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</si>
  <si>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</si>
  <si>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</si>
  <si>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</si>
  <si>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二组（宗海根协助）</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</si>
  <si>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</si>
  <si>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</si>
  <si>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</si>
  <si>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</si>
  <si>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</si>
  <si>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</si>
  <si>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</si>
  <si>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</si>
  <si>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</si>
  <si>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</si>
  <si>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</si>
  <si>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</si>
  <si>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</si>
  <si>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</si>
  <si>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</si>
  <si>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</si>
  <si>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</si>
  <si>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</si>
  <si>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</si>
  <si>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</si>
  <si>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</si>
  <si>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</si>
  <si>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</si>
  <si>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</si>
  <si>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</si>
  <si>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</si>
  <si>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</si>
  <si>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21年立案结转</t>
  </si>
  <si>
    <t>已处罚金额</t>
  </si>
  <si>
    <t>22年立案</t>
  </si>
</sst>
</file>

<file path=xl/styles.xml><?xml version="1.0" encoding="utf-8"?>
<styleSheet xmlns="http://schemas.openxmlformats.org/spreadsheetml/2006/main">
  <numFmts count="6">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 numFmtId="176" formatCode="yyyy/m/d;@"/>
    <numFmt numFmtId="177" formatCode="#,##0.0000_);[Red]\(#,##0.0000\)"/>
  </numFmts>
  <fonts count="30">
    <font>
      <sz val="12"/>
      <name val="宋体"/>
      <charset val="134"/>
    </font>
    <font>
      <b/>
      <sz val="22"/>
      <name val="宋体"/>
      <charset val="134"/>
    </font>
    <font>
      <sz val="12"/>
      <name val="黑体"/>
      <charset val="134"/>
    </font>
    <font>
      <sz val="12"/>
      <name val="楷体_GB2312"/>
      <charset val="134"/>
    </font>
    <font>
      <b/>
      <sz val="12"/>
      <name val="宋体"/>
      <charset val="134"/>
    </font>
    <font>
      <b/>
      <sz val="22"/>
      <name val="黑体"/>
      <charset val="134"/>
    </font>
    <font>
      <b/>
      <sz val="12"/>
      <name val="楷体_GB2312"/>
      <charset val="134"/>
    </font>
    <font>
      <sz val="12"/>
      <color rgb="FFFF0000"/>
      <name val="楷体_GB2312"/>
      <charset val="134"/>
    </font>
    <font>
      <b/>
      <sz val="12"/>
      <color rgb="FFFF0000"/>
      <name val="楷体_GB2312"/>
      <charset val="134"/>
    </font>
    <font>
      <sz val="11"/>
      <color theme="1"/>
      <name val="宋体"/>
      <charset val="134"/>
      <scheme val="minor"/>
    </font>
    <font>
      <i/>
      <sz val="11"/>
      <color rgb="FF7F7F7F"/>
      <name val="宋体"/>
      <charset val="0"/>
      <scheme val="minor"/>
    </font>
    <font>
      <sz val="11"/>
      <color rgb="FF9C0006"/>
      <name val="宋体"/>
      <charset val="0"/>
      <scheme val="minor"/>
    </font>
    <font>
      <sz val="11"/>
      <color rgb="FFFA7D00"/>
      <name val="宋体"/>
      <charset val="0"/>
      <scheme val="minor"/>
    </font>
    <font>
      <sz val="11"/>
      <color theme="0"/>
      <name val="宋体"/>
      <charset val="0"/>
      <scheme val="minor"/>
    </font>
    <font>
      <sz val="11"/>
      <color rgb="FF3F3F76"/>
      <name val="宋体"/>
      <charset val="0"/>
      <scheme val="minor"/>
    </font>
    <font>
      <b/>
      <sz val="11"/>
      <color rgb="FF3F3F3F"/>
      <name val="宋体"/>
      <charset val="0"/>
      <scheme val="minor"/>
    </font>
    <font>
      <b/>
      <sz val="13"/>
      <color theme="3"/>
      <name val="宋体"/>
      <charset val="134"/>
      <scheme val="minor"/>
    </font>
    <font>
      <sz val="11"/>
      <color theme="1"/>
      <name val="宋体"/>
      <charset val="0"/>
      <scheme val="minor"/>
    </font>
    <font>
      <b/>
      <sz val="11"/>
      <color rgb="FFFA7D00"/>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
      <b/>
      <sz val="11"/>
      <color theme="1"/>
      <name val="宋体"/>
      <charset val="0"/>
      <scheme val="minor"/>
    </font>
    <font>
      <sz val="11"/>
      <color rgb="FFFF0000"/>
      <name val="宋体"/>
      <charset val="0"/>
      <scheme val="minor"/>
    </font>
    <font>
      <sz val="11"/>
      <color rgb="FF006100"/>
      <name val="宋体"/>
      <charset val="0"/>
      <scheme val="minor"/>
    </font>
    <font>
      <b/>
      <sz val="18"/>
      <color theme="3"/>
      <name val="宋体"/>
      <charset val="134"/>
      <scheme val="minor"/>
    </font>
    <font>
      <sz val="11"/>
      <color rgb="FF9C6500"/>
      <name val="宋体"/>
      <charset val="0"/>
      <scheme val="minor"/>
    </font>
    <font>
      <b/>
      <sz val="15"/>
      <color theme="3"/>
      <name val="宋体"/>
      <charset val="134"/>
      <scheme val="minor"/>
    </font>
    <font>
      <b/>
      <sz val="12"/>
      <color rgb="FFFF0000"/>
      <name val="黑体"/>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7CE"/>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4"/>
        <bgColor indexed="64"/>
      </patternFill>
    </fill>
    <fill>
      <patternFill patternType="solid">
        <fgColor rgb="FFF2F2F2"/>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rgb="FFFFEB9C"/>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9" fillId="0" borderId="0" applyFont="0" applyFill="0" applyBorder="0" applyAlignment="0" applyProtection="0">
      <alignment vertical="center"/>
    </xf>
    <xf numFmtId="0" fontId="17" fillId="13" borderId="0" applyNumberFormat="0" applyBorder="0" applyAlignment="0" applyProtection="0">
      <alignment vertical="center"/>
    </xf>
    <xf numFmtId="0" fontId="14" fillId="7" borderId="7"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17" fillId="11" borderId="0" applyNumberFormat="0" applyBorder="0" applyAlignment="0" applyProtection="0">
      <alignment vertical="center"/>
    </xf>
    <xf numFmtId="0" fontId="11" fillId="4" borderId="0" applyNumberFormat="0" applyBorder="0" applyAlignment="0" applyProtection="0">
      <alignment vertical="center"/>
    </xf>
    <xf numFmtId="43" fontId="9" fillId="0" borderId="0" applyFont="0" applyFill="0" applyBorder="0" applyAlignment="0" applyProtection="0">
      <alignment vertical="center"/>
    </xf>
    <xf numFmtId="0" fontId="13" fillId="15" borderId="0" applyNumberFormat="0" applyBorder="0" applyAlignment="0" applyProtection="0">
      <alignment vertical="center"/>
    </xf>
    <xf numFmtId="0" fontId="20" fillId="0" borderId="0" applyNumberFormat="0" applyFill="0" applyBorder="0" applyAlignment="0" applyProtection="0">
      <alignment vertical="center"/>
    </xf>
    <xf numFmtId="9" fontId="9" fillId="0" borderId="0" applyFont="0" applyFill="0" applyBorder="0" applyAlignment="0" applyProtection="0">
      <alignment vertical="center"/>
    </xf>
    <xf numFmtId="0" fontId="22" fillId="0" borderId="0" applyNumberFormat="0" applyFill="0" applyBorder="0" applyAlignment="0" applyProtection="0">
      <alignment vertical="center"/>
    </xf>
    <xf numFmtId="0" fontId="9" fillId="6" borderId="6" applyNumberFormat="0" applyFont="0" applyAlignment="0" applyProtection="0">
      <alignment vertical="center"/>
    </xf>
    <xf numFmtId="0" fontId="13" fillId="21" borderId="0" applyNumberFormat="0" applyBorder="0" applyAlignment="0" applyProtection="0">
      <alignment vertical="center"/>
    </xf>
    <xf numFmtId="0" fontId="19"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8" fillId="0" borderId="9" applyNumberFormat="0" applyFill="0" applyAlignment="0" applyProtection="0">
      <alignment vertical="center"/>
    </xf>
    <xf numFmtId="0" fontId="16" fillId="0" borderId="9" applyNumberFormat="0" applyFill="0" applyAlignment="0" applyProtection="0">
      <alignment vertical="center"/>
    </xf>
    <xf numFmtId="0" fontId="13" fillId="5" borderId="0" applyNumberFormat="0" applyBorder="0" applyAlignment="0" applyProtection="0">
      <alignment vertical="center"/>
    </xf>
    <xf numFmtId="0" fontId="19" fillId="0" borderId="10" applyNumberFormat="0" applyFill="0" applyAlignment="0" applyProtection="0">
      <alignment vertical="center"/>
    </xf>
    <xf numFmtId="0" fontId="13" fillId="20" borderId="0" applyNumberFormat="0" applyBorder="0" applyAlignment="0" applyProtection="0">
      <alignment vertical="center"/>
    </xf>
    <xf numFmtId="0" fontId="15" fillId="9" borderId="8" applyNumberFormat="0" applyAlignment="0" applyProtection="0">
      <alignment vertical="center"/>
    </xf>
    <xf numFmtId="0" fontId="18" fillId="9" borderId="7" applyNumberFormat="0" applyAlignment="0" applyProtection="0">
      <alignment vertical="center"/>
    </xf>
    <xf numFmtId="0" fontId="21" fillId="18" borderId="11" applyNumberFormat="0" applyAlignment="0" applyProtection="0">
      <alignment vertical="center"/>
    </xf>
    <xf numFmtId="0" fontId="17" fillId="12" borderId="0" applyNumberFormat="0" applyBorder="0" applyAlignment="0" applyProtection="0">
      <alignment vertical="center"/>
    </xf>
    <xf numFmtId="0" fontId="13" fillId="26" borderId="0" applyNumberFormat="0" applyBorder="0" applyAlignment="0" applyProtection="0">
      <alignment vertical="center"/>
    </xf>
    <xf numFmtId="0" fontId="12" fillId="0" borderId="5" applyNumberFormat="0" applyFill="0" applyAlignment="0" applyProtection="0">
      <alignment vertical="center"/>
    </xf>
    <xf numFmtId="0" fontId="23" fillId="0" borderId="12" applyNumberFormat="0" applyFill="0" applyAlignment="0" applyProtection="0">
      <alignment vertical="center"/>
    </xf>
    <xf numFmtId="0" fontId="25" fillId="22" borderId="0" applyNumberFormat="0" applyBorder="0" applyAlignment="0" applyProtection="0">
      <alignment vertical="center"/>
    </xf>
    <xf numFmtId="0" fontId="27" fillId="23" borderId="0" applyNumberFormat="0" applyBorder="0" applyAlignment="0" applyProtection="0">
      <alignment vertical="center"/>
    </xf>
    <xf numFmtId="0" fontId="17" fillId="29" borderId="0" applyNumberFormat="0" applyBorder="0" applyAlignment="0" applyProtection="0">
      <alignment vertical="center"/>
    </xf>
    <xf numFmtId="0" fontId="13" fillId="8"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28" borderId="0" applyNumberFormat="0" applyBorder="0" applyAlignment="0" applyProtection="0">
      <alignment vertical="center"/>
    </xf>
    <xf numFmtId="0" fontId="17" fillId="32" borderId="0" applyNumberFormat="0" applyBorder="0" applyAlignment="0" applyProtection="0">
      <alignment vertical="center"/>
    </xf>
    <xf numFmtId="0" fontId="13" fillId="34" borderId="0" applyNumberFormat="0" applyBorder="0" applyAlignment="0" applyProtection="0">
      <alignment vertical="center"/>
    </xf>
    <xf numFmtId="0" fontId="13" fillId="25" borderId="0" applyNumberFormat="0" applyBorder="0" applyAlignment="0" applyProtection="0">
      <alignment vertical="center"/>
    </xf>
    <xf numFmtId="0" fontId="17" fillId="27" borderId="0" applyNumberFormat="0" applyBorder="0" applyAlignment="0" applyProtection="0">
      <alignment vertical="center"/>
    </xf>
    <xf numFmtId="0" fontId="17" fillId="31" borderId="0" applyNumberFormat="0" applyBorder="0" applyAlignment="0" applyProtection="0">
      <alignment vertical="center"/>
    </xf>
    <xf numFmtId="0" fontId="13" fillId="24" borderId="0" applyNumberFormat="0" applyBorder="0" applyAlignment="0" applyProtection="0">
      <alignment vertical="center"/>
    </xf>
    <xf numFmtId="0" fontId="17" fillId="30" borderId="0" applyNumberFormat="0" applyBorder="0" applyAlignment="0" applyProtection="0">
      <alignment vertical="center"/>
    </xf>
    <xf numFmtId="0" fontId="13" fillId="19" borderId="0" applyNumberFormat="0" applyBorder="0" applyAlignment="0" applyProtection="0">
      <alignment vertical="center"/>
    </xf>
    <xf numFmtId="0" fontId="13" fillId="33" borderId="0" applyNumberFormat="0" applyBorder="0" applyAlignment="0" applyProtection="0">
      <alignment vertical="center"/>
    </xf>
    <xf numFmtId="0" fontId="17" fillId="10" borderId="0" applyNumberFormat="0" applyBorder="0" applyAlignment="0" applyProtection="0">
      <alignment vertical="center"/>
    </xf>
    <xf numFmtId="0" fontId="13" fillId="14" borderId="0" applyNumberFormat="0" applyBorder="0" applyAlignment="0" applyProtection="0">
      <alignment vertical="center"/>
    </xf>
  </cellStyleXfs>
  <cellXfs count="104">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0" fontId="0" fillId="0" borderId="0" xfId="0" applyBorder="1" applyAlignment="1">
      <alignment horizontal="left" vertical="center" wrapText="1"/>
    </xf>
    <xf numFmtId="14" fontId="4" fillId="0" borderId="0" xfId="0" applyNumberFormat="1" applyFont="1" applyBorder="1" applyAlignment="1">
      <alignment horizontal="center" vertical="center" wrapText="1"/>
    </xf>
    <xf numFmtId="4" fontId="4"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7" fontId="4" fillId="0" borderId="0" xfId="0" applyNumberFormat="1" applyFont="1" applyBorder="1" applyAlignment="1">
      <alignment horizontal="center" vertical="center" wrapText="1"/>
    </xf>
    <xf numFmtId="176" fontId="0" fillId="0" borderId="0" xfId="0" applyNumberFormat="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0" fontId="5" fillId="0" borderId="0"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0" fontId="3"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0" fontId="3" fillId="0" borderId="1" xfId="0" applyNumberFormat="1" applyFont="1" applyBorder="1" applyAlignment="1">
      <alignment horizontal="center" vertical="center" wrapText="1"/>
    </xf>
    <xf numFmtId="177" fontId="6" fillId="0"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76" fontId="1" fillId="0" borderId="0"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14" fontId="3" fillId="2" borderId="1" xfId="0" applyNumberFormat="1" applyFont="1" applyFill="1" applyBorder="1" applyAlignment="1">
      <alignment horizontal="center" vertical="center" wrapText="1"/>
    </xf>
    <xf numFmtId="0" fontId="7" fillId="0" borderId="0" xfId="0" applyFont="1" applyFill="1" applyBorder="1" applyAlignment="1">
      <alignment horizontal="left" vertical="center" wrapText="1"/>
    </xf>
    <xf numFmtId="0" fontId="8" fillId="0" borderId="0" xfId="0" applyFont="1" applyAlignment="1">
      <alignment horizontal="center"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3"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49" fontId="3" fillId="0" borderId="1" xfId="0" applyNumberFormat="1"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177" fontId="6" fillId="2"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0" xfId="0" applyFont="1" applyBorder="1" applyAlignment="1">
      <alignment horizontal="left" vertical="center" wrapText="1"/>
    </xf>
    <xf numFmtId="14" fontId="6" fillId="0" borderId="0" xfId="0" applyNumberFormat="1" applyFont="1" applyBorder="1" applyAlignment="1">
      <alignment horizontal="center" vertical="center" wrapText="1"/>
    </xf>
    <xf numFmtId="4" fontId="6" fillId="0" borderId="0" xfId="0" applyNumberFormat="1" applyFont="1" applyBorder="1" applyAlignment="1">
      <alignment horizontal="center" vertical="center" wrapText="1"/>
    </xf>
    <xf numFmtId="0" fontId="3" fillId="0" borderId="0" xfId="0" applyNumberFormat="1" applyFont="1" applyBorder="1" applyAlignment="1">
      <alignment horizontal="center" vertical="center" wrapText="1"/>
    </xf>
    <xf numFmtId="177"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xf numFmtId="177" fontId="6" fillId="2" borderId="0" xfId="0" applyNumberFormat="1" applyFont="1" applyFill="1" applyBorder="1" applyAlignment="1">
      <alignment horizontal="center" vertical="center" wrapText="1"/>
    </xf>
    <xf numFmtId="176" fontId="3" fillId="0" borderId="1" xfId="0" applyNumberFormat="1" applyFont="1" applyBorder="1" applyAlignment="1">
      <alignment horizontal="center" vertical="center" wrapText="1"/>
    </xf>
    <xf numFmtId="176" fontId="3" fillId="2"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0" xfId="0" applyNumberFormat="1" applyFont="1" applyBorder="1" applyAlignment="1">
      <alignment horizontal="center" vertical="center" wrapText="1"/>
    </xf>
    <xf numFmtId="0" fontId="2" fillId="0" borderId="0" xfId="0" applyFont="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4" fontId="0" fillId="0" borderId="0" xfId="0" applyNumberFormat="1" applyFont="1" applyBorder="1" applyAlignment="1">
      <alignment horizontal="center" vertical="center" wrapText="1"/>
    </xf>
    <xf numFmtId="0" fontId="3" fillId="0" borderId="4"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176" fontId="6" fillId="0" borderId="1" xfId="0" applyNumberFormat="1" applyFont="1" applyFill="1" applyBorder="1" applyAlignment="1">
      <alignment horizontal="center" vertical="center" wrapText="1"/>
    </xf>
    <xf numFmtId="0" fontId="3" fillId="0" borderId="1" xfId="0" applyNumberFormat="1" applyFont="1" applyBorder="1" applyAlignment="1">
      <alignment horizontal="left" vertical="center" wrapText="1"/>
    </xf>
    <xf numFmtId="176" fontId="6" fillId="0" borderId="1" xfId="0" applyNumberFormat="1" applyFont="1" applyBorder="1" applyAlignment="1">
      <alignment horizontal="center" vertical="center" wrapText="1"/>
    </xf>
    <xf numFmtId="0" fontId="3" fillId="0" borderId="0" xfId="0" applyNumberFormat="1" applyFont="1" applyBorder="1" applyAlignment="1">
      <alignment horizontal="left" vertical="center" wrapText="1"/>
    </xf>
    <xf numFmtId="0" fontId="3" fillId="0"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177" fontId="3" fillId="0" borderId="1" xfId="0" applyNumberFormat="1" applyFont="1" applyBorder="1" applyAlignment="1">
      <alignment horizontal="center" vertical="center" wrapText="1"/>
    </xf>
    <xf numFmtId="4" fontId="3" fillId="0" borderId="0" xfId="0" applyNumberFormat="1" applyFont="1" applyBorder="1" applyAlignment="1">
      <alignment horizontal="center" vertical="center" wrapText="1"/>
    </xf>
    <xf numFmtId="4" fontId="3" fillId="2" borderId="0" xfId="0" applyNumberFormat="1" applyFont="1" applyFill="1" applyBorder="1" applyAlignment="1">
      <alignment horizontal="center" vertical="center" wrapText="1"/>
    </xf>
    <xf numFmtId="0" fontId="3" fillId="0" borderId="1" xfId="0" applyFont="1" applyFill="1" applyBorder="1" applyAlignment="1" quotePrefix="1">
      <alignment horizontal="center" vertical="center" wrapText="1"/>
    </xf>
    <xf numFmtId="0" fontId="3" fillId="0" borderId="1" xfId="0" applyFont="1" applyBorder="1" applyAlignment="1" quotePrefix="1">
      <alignment horizontal="center" vertical="center" wrapText="1"/>
    </xf>
    <xf numFmtId="0" fontId="3" fillId="2" borderId="1" xfId="0" applyFont="1" applyFill="1" applyBorder="1" applyAlignment="1" quotePrefix="1">
      <alignment horizontal="center" vertical="center" wrapText="1"/>
    </xf>
    <xf numFmtId="0" fontId="3" fillId="0" borderId="1" xfId="0" applyNumberFormat="1" applyFont="1" applyBorder="1" applyAlignment="1" quotePrefix="1">
      <alignment horizontal="center" vertical="center" wrapText="1"/>
    </xf>
    <xf numFmtId="14" fontId="3" fillId="0" borderId="1" xfId="0" applyNumberFormat="1" applyFont="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7ED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B24"/>
  <sheetViews>
    <sheetView zoomScale="80" zoomScaleNormal="80" workbookViewId="0">
      <pane ySplit="2" topLeftCell="A17" activePane="bottomLeft" state="frozen"/>
      <selection/>
      <selection pane="bottomLeft" activeCell="AC3" sqref="AC3"/>
    </sheetView>
  </sheetViews>
  <sheetFormatPr defaultColWidth="8.66666666666667" defaultRowHeight="14.25"/>
  <cols>
    <col min="1" max="1" width="6.91666666666667" style="7" customWidth="1"/>
    <col min="2" max="2" width="6.90833333333333" style="82" customWidth="1"/>
    <col min="3" max="3" width="15.25" style="9" customWidth="1"/>
    <col min="4" max="4" width="15.2583333333333" style="83" customWidth="1"/>
    <col min="5" max="6" width="9.99166666666667" style="7" customWidth="1"/>
    <col min="7" max="7" width="20.5833333333333" style="7" customWidth="1"/>
    <col min="8" max="8" width="10.5833333333333" style="7" customWidth="1"/>
    <col min="9" max="9" width="9.99166666666667" style="8" customWidth="1"/>
    <col min="10" max="11" width="10.5833333333333" style="84" customWidth="1"/>
    <col min="12" max="12" width="30.9166666666667" style="85" customWidth="1"/>
    <col min="13" max="13" width="9.99166666666667" style="85" customWidth="1"/>
    <col min="14" max="14" width="9.99166666666667" style="86" customWidth="1"/>
    <col min="15" max="15" width="13.6666666666667" style="11" customWidth="1"/>
    <col min="16" max="16" width="13.6666666666667" style="12" customWidth="1"/>
    <col min="17" max="17" width="13.6666666666667" style="87" customWidth="1"/>
    <col min="18" max="18" width="13.6666666666667" style="14" customWidth="1"/>
    <col min="19" max="20" width="13.6666666666667" style="11" customWidth="1"/>
    <col min="21" max="21" width="12.625" style="7" customWidth="1"/>
    <col min="22" max="22" width="13.6666666666667" style="15" customWidth="1"/>
    <col min="23" max="26" width="13.6666666666667" style="7" customWidth="1"/>
    <col min="27" max="27" width="13.6666666666667" style="11" customWidth="1"/>
    <col min="28" max="28" width="9" style="7"/>
    <col min="29" max="16384" width="8.66666666666667" style="7"/>
  </cols>
  <sheetData>
    <row r="1" s="1" customFormat="1" ht="40" customHeight="1" spans="1:22">
      <c r="A1" s="16" t="s">
        <v>0</v>
      </c>
      <c r="B1" s="17"/>
      <c r="C1" s="16"/>
      <c r="D1" s="31"/>
      <c r="E1" s="16"/>
      <c r="F1" s="16"/>
      <c r="G1" s="16"/>
      <c r="H1" s="16"/>
      <c r="I1" s="17"/>
      <c r="J1" s="32"/>
      <c r="K1" s="32"/>
      <c r="L1" s="91"/>
      <c r="M1" s="91"/>
      <c r="N1" s="92"/>
      <c r="O1" s="16"/>
      <c r="P1" s="16"/>
      <c r="Q1" s="16"/>
      <c r="R1" s="16"/>
      <c r="S1" s="16"/>
      <c r="T1" s="16"/>
      <c r="V1" s="48"/>
    </row>
    <row r="2" s="2" customFormat="1" ht="39.65" customHeight="1" spans="1:27">
      <c r="A2" s="18" t="s">
        <v>1</v>
      </c>
      <c r="B2" s="19" t="s">
        <v>2</v>
      </c>
      <c r="C2" s="18" t="s">
        <v>3</v>
      </c>
      <c r="D2" s="33" t="s">
        <v>4</v>
      </c>
      <c r="E2" s="18" t="s">
        <v>5</v>
      </c>
      <c r="F2" s="18" t="s">
        <v>6</v>
      </c>
      <c r="G2" s="18" t="s">
        <v>7</v>
      </c>
      <c r="H2" s="18" t="s">
        <v>8</v>
      </c>
      <c r="I2" s="19" t="s">
        <v>9</v>
      </c>
      <c r="J2" s="35" t="s">
        <v>10</v>
      </c>
      <c r="K2" s="35" t="s">
        <v>11</v>
      </c>
      <c r="L2" s="35" t="s">
        <v>12</v>
      </c>
      <c r="M2" s="93" t="s">
        <v>13</v>
      </c>
      <c r="N2" s="93" t="s">
        <v>14</v>
      </c>
      <c r="O2" s="34" t="s">
        <v>15</v>
      </c>
      <c r="P2" s="34" t="s">
        <v>16</v>
      </c>
      <c r="Q2" s="34" t="s">
        <v>17</v>
      </c>
      <c r="R2" s="36" t="s">
        <v>18</v>
      </c>
      <c r="S2" s="34" t="s">
        <v>19</v>
      </c>
      <c r="T2" s="34" t="s">
        <v>20</v>
      </c>
      <c r="U2" s="18" t="s">
        <v>21</v>
      </c>
      <c r="V2" s="49" t="s">
        <v>22</v>
      </c>
      <c r="W2" s="18" t="s">
        <v>23</v>
      </c>
      <c r="X2" s="18" t="s">
        <v>24</v>
      </c>
      <c r="Y2" s="18" t="s">
        <v>25</v>
      </c>
      <c r="Z2" s="18" t="s">
        <v>26</v>
      </c>
      <c r="AA2" s="34" t="s">
        <v>27</v>
      </c>
    </row>
    <row r="3" s="81" customFormat="1" ht="85.5" spans="1:28">
      <c r="A3" s="28">
        <v>1</v>
      </c>
      <c r="B3" s="55" t="s">
        <v>28</v>
      </c>
      <c r="C3" s="27" t="s">
        <v>29</v>
      </c>
      <c r="D3" s="27" t="s">
        <v>30</v>
      </c>
      <c r="E3" s="27" t="s">
        <v>31</v>
      </c>
      <c r="F3" s="20" t="s">
        <v>32</v>
      </c>
      <c r="G3" s="20" t="s">
        <v>33</v>
      </c>
      <c r="H3" s="20" t="s">
        <v>34</v>
      </c>
      <c r="I3" s="27">
        <v>13950235268</v>
      </c>
      <c r="J3" s="66" t="s">
        <v>35</v>
      </c>
      <c r="K3" s="66" t="s">
        <v>36</v>
      </c>
      <c r="L3" s="94" t="s">
        <v>37</v>
      </c>
      <c r="M3" s="94" t="s">
        <v>38</v>
      </c>
      <c r="N3" s="66" t="s">
        <v>39</v>
      </c>
      <c r="O3" s="95">
        <v>44119</v>
      </c>
      <c r="P3" s="43" t="s">
        <v>40</v>
      </c>
      <c r="Q3" s="47" t="s">
        <v>40</v>
      </c>
      <c r="R3" s="101" t="s">
        <v>40</v>
      </c>
      <c r="S3" s="43" t="s">
        <v>40</v>
      </c>
      <c r="T3" s="47">
        <v>44120</v>
      </c>
      <c r="U3" s="20">
        <v>3</v>
      </c>
      <c r="V3" s="77">
        <v>44124</v>
      </c>
      <c r="W3" s="77">
        <v>44124</v>
      </c>
      <c r="X3" s="77" t="s">
        <v>41</v>
      </c>
      <c r="Y3" s="28" t="s">
        <v>40</v>
      </c>
      <c r="Z3" s="77">
        <v>44124</v>
      </c>
      <c r="AA3" s="43"/>
      <c r="AB3" s="7"/>
    </row>
    <row r="4" s="81" customFormat="1" ht="114" spans="1:28">
      <c r="A4" s="28">
        <v>2</v>
      </c>
      <c r="B4" s="55" t="s">
        <v>42</v>
      </c>
      <c r="C4" s="27" t="s">
        <v>43</v>
      </c>
      <c r="D4" s="27" t="s">
        <v>44</v>
      </c>
      <c r="E4" s="27" t="s">
        <v>45</v>
      </c>
      <c r="F4" s="104" t="s">
        <v>46</v>
      </c>
      <c r="G4" s="20" t="s">
        <v>47</v>
      </c>
      <c r="H4" s="20" t="s">
        <v>48</v>
      </c>
      <c r="I4" s="27">
        <v>18277195178</v>
      </c>
      <c r="J4" s="66" t="s">
        <v>35</v>
      </c>
      <c r="K4" s="66" t="s">
        <v>49</v>
      </c>
      <c r="L4" s="94" t="s">
        <v>50</v>
      </c>
      <c r="M4" s="94" t="s">
        <v>38</v>
      </c>
      <c r="N4" s="66" t="s">
        <v>51</v>
      </c>
      <c r="O4" s="95">
        <v>44119</v>
      </c>
      <c r="P4" s="43" t="s">
        <v>40</v>
      </c>
      <c r="Q4" s="47" t="s">
        <v>40</v>
      </c>
      <c r="R4" s="101" t="s">
        <v>40</v>
      </c>
      <c r="S4" s="43" t="s">
        <v>40</v>
      </c>
      <c r="T4" s="47">
        <v>44120</v>
      </c>
      <c r="U4" s="20">
        <v>1</v>
      </c>
      <c r="V4" s="77">
        <v>44124</v>
      </c>
      <c r="W4" s="77">
        <v>44124</v>
      </c>
      <c r="X4" s="77" t="s">
        <v>41</v>
      </c>
      <c r="Y4" s="28" t="s">
        <v>40</v>
      </c>
      <c r="Z4" s="77">
        <v>44124</v>
      </c>
      <c r="AA4" s="43"/>
      <c r="AB4" s="7"/>
    </row>
    <row r="5" s="81" customFormat="1" ht="128.25" spans="1:28">
      <c r="A5" s="28">
        <v>3</v>
      </c>
      <c r="B5" s="55">
        <v>20201000016</v>
      </c>
      <c r="C5" s="28" t="s">
        <v>52</v>
      </c>
      <c r="D5" s="20" t="s">
        <v>53</v>
      </c>
      <c r="E5" s="28" t="s">
        <v>54</v>
      </c>
      <c r="F5" s="28" t="s">
        <v>55</v>
      </c>
      <c r="G5" s="28" t="s">
        <v>56</v>
      </c>
      <c r="H5" s="28" t="s">
        <v>57</v>
      </c>
      <c r="I5" s="55">
        <v>18152657658</v>
      </c>
      <c r="J5" s="40" t="s">
        <v>35</v>
      </c>
      <c r="K5" s="40" t="s">
        <v>58</v>
      </c>
      <c r="L5" s="96" t="s">
        <v>59</v>
      </c>
      <c r="M5" s="94" t="s">
        <v>38</v>
      </c>
      <c r="N5" s="66" t="s">
        <v>60</v>
      </c>
      <c r="O5" s="95">
        <v>44125</v>
      </c>
      <c r="P5" s="43" t="s">
        <v>40</v>
      </c>
      <c r="Q5" s="47" t="s">
        <v>40</v>
      </c>
      <c r="R5" s="101" t="s">
        <v>40</v>
      </c>
      <c r="S5" s="43" t="s">
        <v>40</v>
      </c>
      <c r="T5" s="47">
        <v>44125</v>
      </c>
      <c r="U5" s="28">
        <v>1</v>
      </c>
      <c r="V5" s="77">
        <v>44134</v>
      </c>
      <c r="W5" s="77">
        <v>44134</v>
      </c>
      <c r="X5" s="77" t="s">
        <v>41</v>
      </c>
      <c r="Y5" s="28" t="s">
        <v>40</v>
      </c>
      <c r="Z5" s="77">
        <v>44132</v>
      </c>
      <c r="AA5" s="43"/>
      <c r="AB5" s="7"/>
    </row>
    <row r="6" s="81" customFormat="1" ht="85.5" spans="1:28">
      <c r="A6" s="28">
        <v>4</v>
      </c>
      <c r="B6" s="55">
        <v>20201000017</v>
      </c>
      <c r="C6" s="28" t="s">
        <v>61</v>
      </c>
      <c r="D6" s="20" t="s">
        <v>62</v>
      </c>
      <c r="E6" s="27" t="s">
        <v>63</v>
      </c>
      <c r="F6" s="28" t="s">
        <v>64</v>
      </c>
      <c r="G6" s="28" t="s">
        <v>65</v>
      </c>
      <c r="H6" s="28" t="s">
        <v>66</v>
      </c>
      <c r="I6" s="55">
        <v>15173201116</v>
      </c>
      <c r="J6" s="40" t="s">
        <v>35</v>
      </c>
      <c r="K6" s="40" t="s">
        <v>67</v>
      </c>
      <c r="L6" s="96" t="s">
        <v>68</v>
      </c>
      <c r="M6" s="94" t="s">
        <v>38</v>
      </c>
      <c r="N6" s="66" t="s">
        <v>69</v>
      </c>
      <c r="O6" s="97">
        <v>44126</v>
      </c>
      <c r="P6" s="43" t="s">
        <v>40</v>
      </c>
      <c r="Q6" s="47" t="s">
        <v>40</v>
      </c>
      <c r="R6" s="101" t="s">
        <v>40</v>
      </c>
      <c r="S6" s="43" t="s">
        <v>40</v>
      </c>
      <c r="T6" s="47">
        <v>44126</v>
      </c>
      <c r="U6" s="28">
        <v>1</v>
      </c>
      <c r="V6" s="77">
        <v>44134</v>
      </c>
      <c r="W6" s="77">
        <v>44134</v>
      </c>
      <c r="X6" s="77" t="s">
        <v>41</v>
      </c>
      <c r="Y6" s="28" t="s">
        <v>40</v>
      </c>
      <c r="Z6" s="77">
        <v>44132</v>
      </c>
      <c r="AA6" s="47"/>
      <c r="AB6" s="7"/>
    </row>
    <row r="7" s="81" customFormat="1" ht="85.5" spans="1:28">
      <c r="A7" s="28">
        <v>5</v>
      </c>
      <c r="B7" s="55">
        <v>20201000018</v>
      </c>
      <c r="C7" s="28" t="s">
        <v>70</v>
      </c>
      <c r="D7" s="20" t="s">
        <v>70</v>
      </c>
      <c r="E7" s="28" t="s">
        <v>71</v>
      </c>
      <c r="F7" s="28" t="s">
        <v>72</v>
      </c>
      <c r="G7" s="28" t="s">
        <v>73</v>
      </c>
      <c r="H7" s="28" t="s">
        <v>74</v>
      </c>
      <c r="I7" s="55">
        <v>13670165487</v>
      </c>
      <c r="J7" s="40" t="s">
        <v>35</v>
      </c>
      <c r="K7" s="40" t="s">
        <v>49</v>
      </c>
      <c r="L7" s="96" t="s">
        <v>50</v>
      </c>
      <c r="M7" s="94" t="s">
        <v>38</v>
      </c>
      <c r="N7" s="66" t="s">
        <v>75</v>
      </c>
      <c r="O7" s="45">
        <v>44126</v>
      </c>
      <c r="P7" s="43" t="s">
        <v>40</v>
      </c>
      <c r="Q7" s="47" t="s">
        <v>40</v>
      </c>
      <c r="R7" s="101" t="s">
        <v>40</v>
      </c>
      <c r="S7" s="43" t="s">
        <v>40</v>
      </c>
      <c r="T7" s="47">
        <v>44126</v>
      </c>
      <c r="U7" s="28">
        <v>2</v>
      </c>
      <c r="V7" s="77">
        <v>44132</v>
      </c>
      <c r="W7" s="77">
        <v>44134</v>
      </c>
      <c r="X7" s="77" t="s">
        <v>41</v>
      </c>
      <c r="Y7" s="28" t="s">
        <v>40</v>
      </c>
      <c r="Z7" s="77">
        <v>44132</v>
      </c>
      <c r="AA7" s="47"/>
      <c r="AB7" s="7"/>
    </row>
    <row r="8" s="81" customFormat="1" ht="99.75" spans="1:28">
      <c r="A8" s="28">
        <v>6</v>
      </c>
      <c r="B8" s="55">
        <v>20201000019</v>
      </c>
      <c r="C8" s="28" t="s">
        <v>76</v>
      </c>
      <c r="D8" s="20" t="s">
        <v>76</v>
      </c>
      <c r="E8" s="28" t="s">
        <v>77</v>
      </c>
      <c r="F8" s="105" t="s">
        <v>78</v>
      </c>
      <c r="G8" s="28" t="s">
        <v>79</v>
      </c>
      <c r="H8" s="28" t="s">
        <v>80</v>
      </c>
      <c r="I8" s="55">
        <v>15072618173</v>
      </c>
      <c r="J8" s="40" t="s">
        <v>35</v>
      </c>
      <c r="K8" s="40" t="s">
        <v>49</v>
      </c>
      <c r="L8" s="96" t="s">
        <v>81</v>
      </c>
      <c r="M8" s="94" t="s">
        <v>38</v>
      </c>
      <c r="N8" s="66" t="s">
        <v>82</v>
      </c>
      <c r="O8" s="45">
        <v>44126</v>
      </c>
      <c r="P8" s="43" t="s">
        <v>40</v>
      </c>
      <c r="Q8" s="47" t="s">
        <v>40</v>
      </c>
      <c r="R8" s="101" t="s">
        <v>40</v>
      </c>
      <c r="S8" s="43" t="s">
        <v>40</v>
      </c>
      <c r="T8" s="47">
        <v>44127</v>
      </c>
      <c r="U8" s="28">
        <v>2</v>
      </c>
      <c r="V8" s="77">
        <v>44132</v>
      </c>
      <c r="W8" s="77">
        <v>44134</v>
      </c>
      <c r="X8" s="77" t="s">
        <v>41</v>
      </c>
      <c r="Y8" s="28" t="s">
        <v>40</v>
      </c>
      <c r="Z8" s="77">
        <v>44132</v>
      </c>
      <c r="AA8" s="47"/>
      <c r="AB8" s="7"/>
    </row>
    <row r="9" s="81" customFormat="1" ht="99.75" spans="1:28">
      <c r="A9" s="28">
        <v>7</v>
      </c>
      <c r="B9" s="55">
        <v>20201000020</v>
      </c>
      <c r="C9" s="28" t="s">
        <v>83</v>
      </c>
      <c r="D9" s="20" t="s">
        <v>84</v>
      </c>
      <c r="E9" s="27" t="s">
        <v>85</v>
      </c>
      <c r="F9" s="88" t="s">
        <v>86</v>
      </c>
      <c r="G9" s="28" t="s">
        <v>87</v>
      </c>
      <c r="H9" s="28" t="s">
        <v>88</v>
      </c>
      <c r="I9" s="55">
        <v>18675566487</v>
      </c>
      <c r="J9" s="40" t="s">
        <v>35</v>
      </c>
      <c r="K9" s="40" t="s">
        <v>49</v>
      </c>
      <c r="L9" s="96" t="s">
        <v>89</v>
      </c>
      <c r="M9" s="94" t="s">
        <v>38</v>
      </c>
      <c r="N9" s="66" t="s">
        <v>90</v>
      </c>
      <c r="O9" s="97">
        <v>44126</v>
      </c>
      <c r="P9" s="43" t="s">
        <v>40</v>
      </c>
      <c r="Q9" s="47" t="s">
        <v>40</v>
      </c>
      <c r="R9" s="101" t="s">
        <v>40</v>
      </c>
      <c r="S9" s="43" t="s">
        <v>40</v>
      </c>
      <c r="T9" s="47">
        <v>44126</v>
      </c>
      <c r="U9" s="28">
        <v>3</v>
      </c>
      <c r="V9" s="77">
        <v>44134</v>
      </c>
      <c r="W9" s="77">
        <v>44134</v>
      </c>
      <c r="X9" s="77" t="s">
        <v>41</v>
      </c>
      <c r="Y9" s="28" t="s">
        <v>40</v>
      </c>
      <c r="Z9" s="77">
        <v>44132</v>
      </c>
      <c r="AA9" s="47"/>
      <c r="AB9" s="7"/>
    </row>
    <row r="10" s="81" customFormat="1" ht="71.25" spans="1:28">
      <c r="A10" s="28">
        <v>8</v>
      </c>
      <c r="B10" s="55">
        <v>20201000021</v>
      </c>
      <c r="C10" s="28" t="s">
        <v>91</v>
      </c>
      <c r="D10" s="20" t="s">
        <v>92</v>
      </c>
      <c r="E10" s="28" t="s">
        <v>93</v>
      </c>
      <c r="F10" s="28" t="s">
        <v>94</v>
      </c>
      <c r="G10" s="28" t="s">
        <v>95</v>
      </c>
      <c r="H10" s="28" t="s">
        <v>96</v>
      </c>
      <c r="I10" s="55">
        <v>13342994277</v>
      </c>
      <c r="J10" s="40" t="s">
        <v>35</v>
      </c>
      <c r="K10" s="40" t="s">
        <v>49</v>
      </c>
      <c r="L10" s="96" t="s">
        <v>97</v>
      </c>
      <c r="M10" s="94" t="s">
        <v>38</v>
      </c>
      <c r="N10" s="66" t="s">
        <v>98</v>
      </c>
      <c r="O10" s="97">
        <v>44126</v>
      </c>
      <c r="P10" s="43" t="s">
        <v>40</v>
      </c>
      <c r="Q10" s="47" t="s">
        <v>40</v>
      </c>
      <c r="R10" s="101" t="s">
        <v>40</v>
      </c>
      <c r="S10" s="43" t="s">
        <v>40</v>
      </c>
      <c r="T10" s="47">
        <v>44126</v>
      </c>
      <c r="U10" s="28">
        <v>3</v>
      </c>
      <c r="V10" s="77">
        <v>44134</v>
      </c>
      <c r="W10" s="77">
        <v>44134</v>
      </c>
      <c r="X10" s="77" t="s">
        <v>41</v>
      </c>
      <c r="Y10" s="28" t="s">
        <v>40</v>
      </c>
      <c r="Z10" s="77">
        <v>44132</v>
      </c>
      <c r="AA10" s="43"/>
      <c r="AB10" s="7"/>
    </row>
    <row r="11" ht="71.25" spans="1:27">
      <c r="A11" s="28">
        <v>1</v>
      </c>
      <c r="B11" s="55">
        <v>20211000010</v>
      </c>
      <c r="C11" s="27" t="s">
        <v>99</v>
      </c>
      <c r="D11" s="27" t="s">
        <v>100</v>
      </c>
      <c r="E11" s="27" t="s">
        <v>101</v>
      </c>
      <c r="F11" s="20" t="s">
        <v>102</v>
      </c>
      <c r="G11" s="20" t="s">
        <v>103</v>
      </c>
      <c r="H11" s="20" t="s">
        <v>104</v>
      </c>
      <c r="I11" s="27">
        <v>13312915836</v>
      </c>
      <c r="J11" s="66" t="s">
        <v>35</v>
      </c>
      <c r="K11" s="40" t="s">
        <v>58</v>
      </c>
      <c r="L11" s="94" t="s">
        <v>105</v>
      </c>
      <c r="M11" s="94" t="s">
        <v>38</v>
      </c>
      <c r="N11" s="66" t="s">
        <v>106</v>
      </c>
      <c r="O11" s="39">
        <v>44305</v>
      </c>
      <c r="P11" s="43" t="s">
        <v>40</v>
      </c>
      <c r="Q11" s="47" t="s">
        <v>40</v>
      </c>
      <c r="R11" s="101" t="s">
        <v>40</v>
      </c>
      <c r="S11" s="43" t="s">
        <v>40</v>
      </c>
      <c r="T11" s="47" t="s">
        <v>40</v>
      </c>
      <c r="U11" s="20">
        <v>1</v>
      </c>
      <c r="V11" s="77">
        <v>44308</v>
      </c>
      <c r="W11" s="77">
        <v>44312</v>
      </c>
      <c r="X11" s="77" t="s">
        <v>41</v>
      </c>
      <c r="Y11" s="77">
        <v>44316</v>
      </c>
      <c r="Z11" s="77">
        <v>44322</v>
      </c>
      <c r="AA11" s="43"/>
    </row>
    <row r="12" ht="57" spans="1:27">
      <c r="A12" s="28">
        <v>2</v>
      </c>
      <c r="B12" s="55">
        <v>20211000013</v>
      </c>
      <c r="C12" s="27" t="s">
        <v>107</v>
      </c>
      <c r="D12" s="27" t="s">
        <v>108</v>
      </c>
      <c r="E12" s="27" t="s">
        <v>109</v>
      </c>
      <c r="F12" s="20" t="s">
        <v>110</v>
      </c>
      <c r="G12" s="20" t="s">
        <v>111</v>
      </c>
      <c r="H12" s="20" t="s">
        <v>112</v>
      </c>
      <c r="I12" s="27">
        <v>13590432422</v>
      </c>
      <c r="J12" s="66" t="s">
        <v>35</v>
      </c>
      <c r="K12" s="66" t="s">
        <v>113</v>
      </c>
      <c r="L12" s="94" t="s">
        <v>81</v>
      </c>
      <c r="M12" s="94" t="s">
        <v>38</v>
      </c>
      <c r="N12" s="66" t="s">
        <v>114</v>
      </c>
      <c r="O12" s="39">
        <v>44305</v>
      </c>
      <c r="P12" s="43" t="s">
        <v>40</v>
      </c>
      <c r="Q12" s="47" t="s">
        <v>40</v>
      </c>
      <c r="R12" s="101" t="s">
        <v>40</v>
      </c>
      <c r="S12" s="43" t="s">
        <v>40</v>
      </c>
      <c r="T12" s="47" t="s">
        <v>40</v>
      </c>
      <c r="U12" s="20">
        <v>2</v>
      </c>
      <c r="V12" s="77">
        <v>44308</v>
      </c>
      <c r="W12" s="77">
        <v>44312</v>
      </c>
      <c r="X12" s="77" t="s">
        <v>41</v>
      </c>
      <c r="Y12" s="77">
        <v>44316</v>
      </c>
      <c r="Z12" s="77">
        <v>44322</v>
      </c>
      <c r="AA12" s="43"/>
    </row>
    <row r="13" ht="71.25" spans="1:27">
      <c r="A13" s="28">
        <v>3</v>
      </c>
      <c r="B13" s="55">
        <v>20211000016</v>
      </c>
      <c r="C13" s="28" t="s">
        <v>115</v>
      </c>
      <c r="D13" s="20" t="s">
        <v>116</v>
      </c>
      <c r="E13" s="28" t="s">
        <v>117</v>
      </c>
      <c r="F13" s="28" t="s">
        <v>118</v>
      </c>
      <c r="G13" s="28" t="s">
        <v>119</v>
      </c>
      <c r="H13" s="28" t="s">
        <v>120</v>
      </c>
      <c r="I13" s="55">
        <v>13482562706</v>
      </c>
      <c r="J13" s="66" t="s">
        <v>35</v>
      </c>
      <c r="K13" s="40" t="s">
        <v>58</v>
      </c>
      <c r="L13" s="96" t="s">
        <v>121</v>
      </c>
      <c r="M13" s="94" t="s">
        <v>38</v>
      </c>
      <c r="N13" s="66" t="s">
        <v>122</v>
      </c>
      <c r="O13" s="39">
        <v>44307</v>
      </c>
      <c r="P13" s="43" t="s">
        <v>40</v>
      </c>
      <c r="Q13" s="47" t="s">
        <v>40</v>
      </c>
      <c r="R13" s="101" t="s">
        <v>40</v>
      </c>
      <c r="S13" s="43" t="s">
        <v>40</v>
      </c>
      <c r="T13" s="47" t="s">
        <v>40</v>
      </c>
      <c r="U13" s="28">
        <v>3</v>
      </c>
      <c r="V13" s="77">
        <v>44309</v>
      </c>
      <c r="W13" s="77">
        <v>44312</v>
      </c>
      <c r="X13" s="77" t="s">
        <v>41</v>
      </c>
      <c r="Y13" s="77">
        <v>44316</v>
      </c>
      <c r="Z13" s="77">
        <v>44322</v>
      </c>
      <c r="AA13" s="43" t="s">
        <v>123</v>
      </c>
    </row>
    <row r="14" ht="71.25" spans="1:27">
      <c r="A14" s="28">
        <v>1</v>
      </c>
      <c r="B14" s="55" t="s">
        <v>124</v>
      </c>
      <c r="C14" s="28" t="s">
        <v>125</v>
      </c>
      <c r="D14" s="20" t="s">
        <v>126</v>
      </c>
      <c r="E14" s="28" t="s">
        <v>127</v>
      </c>
      <c r="F14" s="105" t="s">
        <v>128</v>
      </c>
      <c r="G14" s="28" t="s">
        <v>129</v>
      </c>
      <c r="H14" s="28" t="s">
        <v>130</v>
      </c>
      <c r="I14" s="55">
        <v>13537672830</v>
      </c>
      <c r="J14" s="66" t="s">
        <v>35</v>
      </c>
      <c r="K14" s="40" t="s">
        <v>58</v>
      </c>
      <c r="L14" s="96" t="s">
        <v>131</v>
      </c>
      <c r="M14" s="94" t="s">
        <v>38</v>
      </c>
      <c r="N14" s="66" t="s">
        <v>132</v>
      </c>
      <c r="O14" s="45">
        <v>44844</v>
      </c>
      <c r="P14" s="43" t="s">
        <v>40</v>
      </c>
      <c r="Q14" s="47" t="s">
        <v>40</v>
      </c>
      <c r="R14" s="101" t="s">
        <v>40</v>
      </c>
      <c r="S14" s="43" t="s">
        <v>40</v>
      </c>
      <c r="T14" s="47" t="s">
        <v>40</v>
      </c>
      <c r="U14" s="28" t="s">
        <v>133</v>
      </c>
      <c r="V14" s="77">
        <v>44853</v>
      </c>
      <c r="W14" s="77">
        <v>44854</v>
      </c>
      <c r="X14" s="77" t="s">
        <v>41</v>
      </c>
      <c r="Y14" s="28" t="s">
        <v>40</v>
      </c>
      <c r="Z14" s="77">
        <v>44845</v>
      </c>
      <c r="AA14" s="47"/>
    </row>
    <row r="15" ht="99.75" spans="1:27">
      <c r="A15" s="28">
        <v>2</v>
      </c>
      <c r="B15" s="55" t="s">
        <v>134</v>
      </c>
      <c r="C15" s="28" t="s">
        <v>135</v>
      </c>
      <c r="D15" s="20" t="s">
        <v>136</v>
      </c>
      <c r="E15" s="28" t="s">
        <v>137</v>
      </c>
      <c r="F15" s="105" t="s">
        <v>138</v>
      </c>
      <c r="G15" s="28" t="s">
        <v>139</v>
      </c>
      <c r="H15" s="28" t="s">
        <v>140</v>
      </c>
      <c r="I15" s="55" t="s">
        <v>141</v>
      </c>
      <c r="J15" s="66" t="s">
        <v>35</v>
      </c>
      <c r="K15" s="40" t="s">
        <v>49</v>
      </c>
      <c r="L15" s="96" t="s">
        <v>131</v>
      </c>
      <c r="M15" s="94" t="s">
        <v>38</v>
      </c>
      <c r="N15" s="66" t="s">
        <v>142</v>
      </c>
      <c r="O15" s="45">
        <v>44844</v>
      </c>
      <c r="P15" s="43" t="s">
        <v>40</v>
      </c>
      <c r="Q15" s="47" t="s">
        <v>40</v>
      </c>
      <c r="R15" s="101" t="s">
        <v>40</v>
      </c>
      <c r="S15" s="43" t="s">
        <v>40</v>
      </c>
      <c r="T15" s="47" t="s">
        <v>40</v>
      </c>
      <c r="U15" s="28" t="s">
        <v>143</v>
      </c>
      <c r="V15" s="77">
        <v>44853</v>
      </c>
      <c r="W15" s="77">
        <v>44854</v>
      </c>
      <c r="X15" s="77" t="s">
        <v>41</v>
      </c>
      <c r="Y15" s="28" t="s">
        <v>40</v>
      </c>
      <c r="Z15" s="77">
        <v>44845</v>
      </c>
      <c r="AA15" s="47"/>
    </row>
    <row r="16" ht="71.25" spans="1:27">
      <c r="A16" s="28">
        <v>3</v>
      </c>
      <c r="B16" s="55" t="s">
        <v>144</v>
      </c>
      <c r="C16" s="28" t="s">
        <v>145</v>
      </c>
      <c r="D16" s="20" t="s">
        <v>146</v>
      </c>
      <c r="E16" s="28" t="s">
        <v>147</v>
      </c>
      <c r="F16" s="105" t="s">
        <v>148</v>
      </c>
      <c r="G16" s="28" t="s">
        <v>149</v>
      </c>
      <c r="H16" s="28" t="s">
        <v>150</v>
      </c>
      <c r="I16" s="55">
        <v>13713687895</v>
      </c>
      <c r="J16" s="66" t="s">
        <v>35</v>
      </c>
      <c r="K16" s="40" t="s">
        <v>151</v>
      </c>
      <c r="L16" s="96" t="s">
        <v>131</v>
      </c>
      <c r="M16" s="94" t="s">
        <v>38</v>
      </c>
      <c r="N16" s="66" t="s">
        <v>152</v>
      </c>
      <c r="O16" s="45">
        <v>44844</v>
      </c>
      <c r="P16" s="43" t="s">
        <v>40</v>
      </c>
      <c r="Q16" s="47" t="s">
        <v>40</v>
      </c>
      <c r="R16" s="101" t="s">
        <v>40</v>
      </c>
      <c r="S16" s="43" t="s">
        <v>40</v>
      </c>
      <c r="T16" s="47" t="s">
        <v>40</v>
      </c>
      <c r="U16" s="28" t="s">
        <v>153</v>
      </c>
      <c r="V16" s="77">
        <v>44853</v>
      </c>
      <c r="W16" s="77">
        <v>44854</v>
      </c>
      <c r="X16" s="77" t="s">
        <v>41</v>
      </c>
      <c r="Y16" s="28" t="s">
        <v>40</v>
      </c>
      <c r="Z16" s="77">
        <v>44845</v>
      </c>
      <c r="AA16" s="47"/>
    </row>
    <row r="17" ht="114" spans="1:27">
      <c r="A17" s="28">
        <v>4</v>
      </c>
      <c r="B17" s="55" t="s">
        <v>154</v>
      </c>
      <c r="C17" s="28" t="s">
        <v>155</v>
      </c>
      <c r="D17" s="20" t="s">
        <v>156</v>
      </c>
      <c r="E17" s="28" t="s">
        <v>157</v>
      </c>
      <c r="F17" s="105" t="s">
        <v>158</v>
      </c>
      <c r="G17" s="28" t="s">
        <v>159</v>
      </c>
      <c r="H17" s="28" t="s">
        <v>160</v>
      </c>
      <c r="I17" s="55">
        <v>13590375377</v>
      </c>
      <c r="J17" s="66" t="s">
        <v>35</v>
      </c>
      <c r="K17" s="40" t="s">
        <v>113</v>
      </c>
      <c r="L17" s="96" t="s">
        <v>131</v>
      </c>
      <c r="M17" s="94" t="s">
        <v>38</v>
      </c>
      <c r="N17" s="66" t="s">
        <v>161</v>
      </c>
      <c r="O17" s="45">
        <v>44844</v>
      </c>
      <c r="P17" s="43" t="s">
        <v>40</v>
      </c>
      <c r="Q17" s="47" t="s">
        <v>40</v>
      </c>
      <c r="R17" s="101" t="s">
        <v>40</v>
      </c>
      <c r="S17" s="43" t="s">
        <v>40</v>
      </c>
      <c r="T17" s="47" t="s">
        <v>40</v>
      </c>
      <c r="U17" s="28" t="s">
        <v>162</v>
      </c>
      <c r="V17" s="77">
        <v>44853</v>
      </c>
      <c r="W17" s="77">
        <v>44854</v>
      </c>
      <c r="X17" s="77" t="s">
        <v>41</v>
      </c>
      <c r="Y17" s="28" t="s">
        <v>40</v>
      </c>
      <c r="Z17" s="77">
        <v>44845</v>
      </c>
      <c r="AA17" s="47"/>
    </row>
    <row r="18" ht="71.25" spans="1:27">
      <c r="A18" s="28">
        <v>5</v>
      </c>
      <c r="B18" s="55" t="s">
        <v>163</v>
      </c>
      <c r="C18" s="28" t="s">
        <v>164</v>
      </c>
      <c r="D18" s="20" t="s">
        <v>165</v>
      </c>
      <c r="E18" s="28" t="s">
        <v>166</v>
      </c>
      <c r="F18" s="105" t="s">
        <v>167</v>
      </c>
      <c r="G18" s="28" t="s">
        <v>168</v>
      </c>
      <c r="H18" s="28" t="s">
        <v>169</v>
      </c>
      <c r="I18" s="55">
        <v>18200980752</v>
      </c>
      <c r="J18" s="66" t="s">
        <v>35</v>
      </c>
      <c r="K18" s="40" t="s">
        <v>151</v>
      </c>
      <c r="L18" s="96" t="s">
        <v>131</v>
      </c>
      <c r="M18" s="94" t="s">
        <v>38</v>
      </c>
      <c r="N18" s="66" t="s">
        <v>170</v>
      </c>
      <c r="O18" s="45">
        <v>44844</v>
      </c>
      <c r="P18" s="43" t="s">
        <v>40</v>
      </c>
      <c r="Q18" s="47" t="s">
        <v>40</v>
      </c>
      <c r="R18" s="101" t="s">
        <v>40</v>
      </c>
      <c r="S18" s="43" t="s">
        <v>40</v>
      </c>
      <c r="T18" s="47" t="s">
        <v>40</v>
      </c>
      <c r="U18" s="28" t="s">
        <v>171</v>
      </c>
      <c r="V18" s="77">
        <v>44853</v>
      </c>
      <c r="W18" s="77">
        <v>44854</v>
      </c>
      <c r="X18" s="77" t="s">
        <v>41</v>
      </c>
      <c r="Y18" s="28" t="s">
        <v>40</v>
      </c>
      <c r="Z18" s="77">
        <v>44845</v>
      </c>
      <c r="AA18" s="47"/>
    </row>
    <row r="19" ht="71.25" spans="1:27">
      <c r="A19" s="28">
        <v>6</v>
      </c>
      <c r="B19" s="55" t="s">
        <v>172</v>
      </c>
      <c r="C19" s="28" t="s">
        <v>173</v>
      </c>
      <c r="D19" s="20" t="s">
        <v>174</v>
      </c>
      <c r="E19" s="28" t="s">
        <v>175</v>
      </c>
      <c r="F19" s="105" t="s">
        <v>176</v>
      </c>
      <c r="G19" s="28" t="s">
        <v>177</v>
      </c>
      <c r="H19" s="28" t="s">
        <v>178</v>
      </c>
      <c r="I19" s="55">
        <v>13603063782</v>
      </c>
      <c r="J19" s="66" t="s">
        <v>35</v>
      </c>
      <c r="K19" s="40" t="s">
        <v>49</v>
      </c>
      <c r="L19" s="96" t="s">
        <v>131</v>
      </c>
      <c r="M19" s="94" t="s">
        <v>38</v>
      </c>
      <c r="N19" s="66" t="s">
        <v>179</v>
      </c>
      <c r="O19" s="45">
        <v>44844</v>
      </c>
      <c r="P19" s="43" t="s">
        <v>40</v>
      </c>
      <c r="Q19" s="47" t="s">
        <v>40</v>
      </c>
      <c r="R19" s="101" t="s">
        <v>40</v>
      </c>
      <c r="S19" s="43" t="s">
        <v>40</v>
      </c>
      <c r="T19" s="47" t="s">
        <v>40</v>
      </c>
      <c r="U19" s="28" t="s">
        <v>180</v>
      </c>
      <c r="V19" s="77">
        <v>44853</v>
      </c>
      <c r="W19" s="77">
        <v>44854</v>
      </c>
      <c r="X19" s="77" t="s">
        <v>41</v>
      </c>
      <c r="Y19" s="28" t="s">
        <v>40</v>
      </c>
      <c r="Z19" s="77">
        <v>44845</v>
      </c>
      <c r="AA19" s="47"/>
    </row>
    <row r="20" ht="39" customHeight="1" spans="1:27">
      <c r="A20" s="28"/>
      <c r="B20" s="55"/>
      <c r="C20" s="28"/>
      <c r="D20" s="20"/>
      <c r="E20" s="28"/>
      <c r="F20" s="28"/>
      <c r="G20" s="28"/>
      <c r="H20" s="28"/>
      <c r="I20" s="55"/>
      <c r="J20" s="40"/>
      <c r="K20" s="40"/>
      <c r="L20" s="96"/>
      <c r="M20" s="94"/>
      <c r="N20" s="66"/>
      <c r="O20" s="45"/>
      <c r="P20" s="43"/>
      <c r="Q20" s="47"/>
      <c r="R20" s="101"/>
      <c r="S20" s="43"/>
      <c r="T20" s="47"/>
      <c r="U20" s="28"/>
      <c r="V20" s="77"/>
      <c r="W20" s="77"/>
      <c r="X20" s="28"/>
      <c r="Y20" s="28"/>
      <c r="Z20" s="77"/>
      <c r="AA20" s="47"/>
    </row>
    <row r="21" ht="39" customHeight="1" spans="1:27">
      <c r="A21" s="28"/>
      <c r="B21" s="55"/>
      <c r="C21" s="28"/>
      <c r="D21" s="20"/>
      <c r="E21" s="28"/>
      <c r="F21" s="28"/>
      <c r="G21" s="28"/>
      <c r="H21" s="28"/>
      <c r="I21" s="55"/>
      <c r="J21" s="40"/>
      <c r="K21" s="40"/>
      <c r="L21" s="96"/>
      <c r="M21" s="94"/>
      <c r="N21" s="66"/>
      <c r="O21" s="45"/>
      <c r="P21" s="43"/>
      <c r="Q21" s="47"/>
      <c r="R21" s="101"/>
      <c r="S21" s="43"/>
      <c r="T21" s="47"/>
      <c r="U21" s="28"/>
      <c r="V21" s="77"/>
      <c r="W21" s="77"/>
      <c r="X21" s="28"/>
      <c r="Y21" s="28"/>
      <c r="Z21" s="77"/>
      <c r="AA21" s="47"/>
    </row>
    <row r="22" ht="30" customHeight="1" spans="1:27">
      <c r="A22" s="5"/>
      <c r="B22" s="89"/>
      <c r="C22" s="61"/>
      <c r="D22" s="90"/>
      <c r="E22" s="5"/>
      <c r="F22" s="5"/>
      <c r="G22" s="5"/>
      <c r="H22" s="5"/>
      <c r="I22" s="60"/>
      <c r="J22" s="70"/>
      <c r="K22" s="70"/>
      <c r="L22" s="98"/>
      <c r="M22" s="98"/>
      <c r="N22" s="99"/>
      <c r="O22" s="68"/>
      <c r="P22" s="69"/>
      <c r="Q22" s="102"/>
      <c r="R22" s="71"/>
      <c r="S22" s="68"/>
      <c r="T22" s="68"/>
      <c r="U22" s="5"/>
      <c r="V22" s="80"/>
      <c r="W22" s="5"/>
      <c r="X22" s="5"/>
      <c r="Y22" s="5"/>
      <c r="Z22" s="5"/>
      <c r="AA22" s="68"/>
    </row>
    <row r="23" ht="30" customHeight="1" spans="1:27">
      <c r="A23" s="5"/>
      <c r="B23" s="89"/>
      <c r="C23" s="61"/>
      <c r="D23" s="90"/>
      <c r="E23" s="5"/>
      <c r="F23" s="5"/>
      <c r="G23" s="5"/>
      <c r="H23" s="5"/>
      <c r="I23" s="60"/>
      <c r="J23" s="70"/>
      <c r="K23" s="70"/>
      <c r="L23" s="98"/>
      <c r="M23" s="98"/>
      <c r="N23" s="100" t="s">
        <v>181</v>
      </c>
      <c r="O23" s="73">
        <f>COUNTA(O14:O19)</f>
        <v>6</v>
      </c>
      <c r="P23" s="74"/>
      <c r="Q23" s="103"/>
      <c r="R23" s="76"/>
      <c r="S23" s="68"/>
      <c r="T23" s="68"/>
      <c r="U23" s="5"/>
      <c r="V23" s="80"/>
      <c r="W23" s="5"/>
      <c r="X23" s="5"/>
      <c r="Y23" s="5"/>
      <c r="Z23" s="5"/>
      <c r="AA23" s="68"/>
    </row>
    <row r="24" ht="30" customHeight="1" spans="1:27">
      <c r="A24" s="5"/>
      <c r="B24" s="89"/>
      <c r="C24" s="61"/>
      <c r="D24" s="90"/>
      <c r="E24" s="5"/>
      <c r="F24" s="5"/>
      <c r="G24" s="5"/>
      <c r="H24" s="5"/>
      <c r="I24" s="60"/>
      <c r="J24" s="70"/>
      <c r="K24" s="70"/>
      <c r="L24" s="98"/>
      <c r="M24" s="98"/>
      <c r="N24" s="100" t="s">
        <v>182</v>
      </c>
      <c r="O24" s="73">
        <f>SUM(O23:O23)</f>
        <v>6</v>
      </c>
      <c r="P24" s="74"/>
      <c r="Q24" s="103"/>
      <c r="R24" s="76"/>
      <c r="S24" s="68"/>
      <c r="T24" s="68"/>
      <c r="U24" s="5"/>
      <c r="V24" s="80"/>
      <c r="W24" s="5"/>
      <c r="X24" s="5"/>
      <c r="Y24" s="5"/>
      <c r="Z24" s="5"/>
      <c r="AA24" s="68"/>
    </row>
  </sheetData>
  <autoFilter ref="A2:AA21">
    <extLst/>
  </autoFilter>
  <mergeCells count="1">
    <mergeCell ref="A1:S1"/>
  </mergeCells>
  <conditionalFormatting sqref="Z2">
    <cfRule type="timePeriod" dxfId="0" priority="6" timePeriod="tomorrow">
      <formula>FLOOR(Z2,1)=TODAY()+1</formula>
    </cfRule>
  </conditionalFormatting>
  <conditionalFormatting sqref="X3:X19">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21">
    <cfRule type="timePeriod" dxfId="0" priority="9" timePeriod="tomorrow">
      <formula>FLOOR(Z11,1)=TODAY()+1</formula>
    </cfRule>
  </conditionalFormatting>
  <conditionalFormatting sqref="V1:Y2 V11:W19 Y14:Y19 V20:Y104857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4"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Z125"/>
  <sheetViews>
    <sheetView tabSelected="1" zoomScale="90" zoomScaleNormal="90" workbookViewId="0">
      <pane xSplit="5" ySplit="2" topLeftCell="I117" activePane="bottomRight" state="frozen"/>
      <selection/>
      <selection pane="topRight"/>
      <selection pane="bottomLeft"/>
      <selection pane="bottomRight" activeCell="P120" sqref="P120"/>
    </sheetView>
  </sheetViews>
  <sheetFormatPr defaultColWidth="8.66666666666667" defaultRowHeight="14.25"/>
  <cols>
    <col min="1" max="1" width="6.91666666666667" style="7" customWidth="1"/>
    <col min="2" max="2" width="6.90833333333333" style="8" customWidth="1"/>
    <col min="3" max="3" width="15.2583333333333" style="9" customWidth="1"/>
    <col min="4" max="4" width="12.625" style="9" customWidth="1"/>
    <col min="5" max="7" width="9.99166666666667" style="7" customWidth="1"/>
    <col min="8" max="8" width="15.25" style="7" customWidth="1"/>
    <col min="9" max="9" width="69.25" style="10" customWidth="1"/>
    <col min="10" max="10" width="9.99166666666667" style="10" customWidth="1"/>
    <col min="11" max="11" width="9.99166666666667" style="6" customWidth="1"/>
    <col min="12" max="12" width="13.6666666666667" style="11" customWidth="1"/>
    <col min="13" max="13" width="13.6666666666667" style="12" customWidth="1"/>
    <col min="14" max="14" width="13.6666666666667" style="13" customWidth="1"/>
    <col min="15" max="15" width="13.6666666666667" style="14" customWidth="1"/>
    <col min="16" max="16" width="13.6666666666667" style="11" customWidth="1"/>
    <col min="17" max="17" width="9.99166666666667" style="11" customWidth="1"/>
    <col min="18" max="18" width="9" style="7" customWidth="1"/>
    <col min="19" max="19" width="13.6666666666667" style="15" customWidth="1"/>
    <col min="20" max="23" width="13.6666666666667" style="7" customWidth="1"/>
    <col min="24" max="24" width="13.6666666666667" style="11" customWidth="1"/>
    <col min="25" max="25" width="9" style="7" customWidth="1"/>
    <col min="26" max="16384" width="8.66666666666667" style="7"/>
  </cols>
  <sheetData>
    <row r="1" s="1" customFormat="1" ht="40" customHeight="1" spans="1:19">
      <c r="A1" s="16" t="s">
        <v>183</v>
      </c>
      <c r="B1" s="17"/>
      <c r="C1" s="16"/>
      <c r="D1" s="16"/>
      <c r="E1" s="16"/>
      <c r="F1" s="16"/>
      <c r="G1" s="16"/>
      <c r="H1" s="16"/>
      <c r="I1" s="30"/>
      <c r="J1" s="30"/>
      <c r="K1" s="31"/>
      <c r="L1" s="16"/>
      <c r="M1" s="16"/>
      <c r="N1" s="32"/>
      <c r="O1" s="16"/>
      <c r="P1" s="16"/>
      <c r="Q1" s="16"/>
      <c r="S1" s="48"/>
    </row>
    <row r="2" s="2" customFormat="1" ht="39.65" customHeight="1" spans="1:24">
      <c r="A2" s="18" t="s">
        <v>1</v>
      </c>
      <c r="B2" s="19" t="s">
        <v>184</v>
      </c>
      <c r="C2" s="18" t="s">
        <v>185</v>
      </c>
      <c r="D2" s="18" t="s">
        <v>4</v>
      </c>
      <c r="E2" s="18" t="s">
        <v>186</v>
      </c>
      <c r="F2" s="18" t="s">
        <v>187</v>
      </c>
      <c r="G2" s="18" t="s">
        <v>188</v>
      </c>
      <c r="H2" s="18" t="s">
        <v>189</v>
      </c>
      <c r="I2" s="18" t="s">
        <v>190</v>
      </c>
      <c r="J2" s="33" t="s">
        <v>191</v>
      </c>
      <c r="K2" s="33" t="s">
        <v>192</v>
      </c>
      <c r="L2" s="34" t="s">
        <v>193</v>
      </c>
      <c r="M2" s="34" t="s">
        <v>194</v>
      </c>
      <c r="N2" s="35" t="s">
        <v>17</v>
      </c>
      <c r="O2" s="36" t="s">
        <v>195</v>
      </c>
      <c r="P2" s="34" t="s">
        <v>196</v>
      </c>
      <c r="Q2" s="34" t="s">
        <v>197</v>
      </c>
      <c r="R2" s="18" t="s">
        <v>198</v>
      </c>
      <c r="S2" s="49" t="s">
        <v>199</v>
      </c>
      <c r="T2" s="18" t="s">
        <v>23</v>
      </c>
      <c r="U2" s="18" t="s">
        <v>200</v>
      </c>
      <c r="V2" s="49" t="s">
        <v>201</v>
      </c>
      <c r="W2" s="49" t="s">
        <v>202</v>
      </c>
      <c r="X2" s="34" t="s">
        <v>27</v>
      </c>
    </row>
    <row r="3" s="3" customFormat="1" ht="57" spans="1:24">
      <c r="A3" s="20">
        <v>1</v>
      </c>
      <c r="B3" s="20" t="s">
        <v>40</v>
      </c>
      <c r="C3" s="21"/>
      <c r="D3" s="22" t="s">
        <v>203</v>
      </c>
      <c r="E3" s="20" t="s">
        <v>204</v>
      </c>
      <c r="F3" s="21"/>
      <c r="G3" s="21"/>
      <c r="H3" s="21"/>
      <c r="I3" s="37" t="s">
        <v>205</v>
      </c>
      <c r="J3" s="38"/>
      <c r="K3" s="20" t="s">
        <v>206</v>
      </c>
      <c r="L3" s="39">
        <v>42712</v>
      </c>
      <c r="M3" s="39">
        <v>42744</v>
      </c>
      <c r="N3" s="40" t="s">
        <v>207</v>
      </c>
      <c r="O3" s="41">
        <v>0.3</v>
      </c>
      <c r="P3" s="21"/>
      <c r="Q3" s="21"/>
      <c r="R3" s="21"/>
      <c r="S3" s="20" t="s">
        <v>40</v>
      </c>
      <c r="T3" s="20" t="s">
        <v>40</v>
      </c>
      <c r="U3" s="20" t="s">
        <v>40</v>
      </c>
      <c r="V3" s="20" t="s">
        <v>40</v>
      </c>
      <c r="W3" s="20" t="s">
        <v>40</v>
      </c>
      <c r="X3" s="20"/>
    </row>
    <row r="4" s="3" customFormat="1" ht="135.75" customHeight="1" spans="1:24">
      <c r="A4" s="20">
        <v>2</v>
      </c>
      <c r="B4" s="20" t="s">
        <v>40</v>
      </c>
      <c r="C4" s="21"/>
      <c r="D4" s="22" t="s">
        <v>208</v>
      </c>
      <c r="E4" s="20" t="s">
        <v>209</v>
      </c>
      <c r="F4" s="21"/>
      <c r="G4" s="21"/>
      <c r="H4" s="21"/>
      <c r="I4" s="37" t="s">
        <v>210</v>
      </c>
      <c r="J4" s="38"/>
      <c r="K4" s="20" t="s">
        <v>211</v>
      </c>
      <c r="L4" s="39">
        <v>42740</v>
      </c>
      <c r="M4" s="39">
        <v>42753</v>
      </c>
      <c r="N4" s="40" t="s">
        <v>207</v>
      </c>
      <c r="O4" s="41">
        <v>0.3</v>
      </c>
      <c r="P4" s="21"/>
      <c r="Q4" s="21"/>
      <c r="R4" s="21"/>
      <c r="S4" s="20" t="s">
        <v>40</v>
      </c>
      <c r="T4" s="20" t="s">
        <v>40</v>
      </c>
      <c r="U4" s="20" t="s">
        <v>40</v>
      </c>
      <c r="V4" s="20" t="s">
        <v>40</v>
      </c>
      <c r="W4" s="20" t="s">
        <v>40</v>
      </c>
      <c r="X4" s="20"/>
    </row>
    <row r="5" s="3" customFormat="1" ht="57" spans="1:24">
      <c r="A5" s="20">
        <v>3</v>
      </c>
      <c r="B5" s="20" t="s">
        <v>40</v>
      </c>
      <c r="C5" s="21"/>
      <c r="D5" s="23" t="s">
        <v>212</v>
      </c>
      <c r="E5" s="20" t="s">
        <v>213</v>
      </c>
      <c r="F5" s="20" t="s">
        <v>214</v>
      </c>
      <c r="G5" s="21"/>
      <c r="H5" s="21"/>
      <c r="I5" s="37" t="s">
        <v>215</v>
      </c>
      <c r="J5" s="38"/>
      <c r="K5" s="20" t="s">
        <v>216</v>
      </c>
      <c r="L5" s="39">
        <v>42740</v>
      </c>
      <c r="M5" s="39">
        <v>42789</v>
      </c>
      <c r="N5" s="40" t="s">
        <v>207</v>
      </c>
      <c r="O5" s="41">
        <v>2</v>
      </c>
      <c r="P5" s="21"/>
      <c r="Q5" s="21"/>
      <c r="R5" s="21"/>
      <c r="S5" s="20" t="s">
        <v>40</v>
      </c>
      <c r="T5" s="20" t="s">
        <v>40</v>
      </c>
      <c r="U5" s="20" t="s">
        <v>40</v>
      </c>
      <c r="V5" s="20" t="s">
        <v>40</v>
      </c>
      <c r="W5" s="20" t="s">
        <v>40</v>
      </c>
      <c r="X5" s="20"/>
    </row>
    <row r="6" s="3" customFormat="1" ht="57" spans="1:24">
      <c r="A6" s="20">
        <v>4</v>
      </c>
      <c r="B6" s="20" t="s">
        <v>40</v>
      </c>
      <c r="C6" s="21"/>
      <c r="D6" s="24"/>
      <c r="E6" s="20" t="s">
        <v>217</v>
      </c>
      <c r="F6" s="20" t="s">
        <v>218</v>
      </c>
      <c r="G6" s="21"/>
      <c r="H6" s="21"/>
      <c r="I6" s="37" t="s">
        <v>219</v>
      </c>
      <c r="J6" s="38"/>
      <c r="K6" s="20" t="s">
        <v>220</v>
      </c>
      <c r="L6" s="39">
        <v>42740</v>
      </c>
      <c r="M6" s="39">
        <v>42789</v>
      </c>
      <c r="N6" s="40" t="s">
        <v>207</v>
      </c>
      <c r="O6" s="41">
        <v>1</v>
      </c>
      <c r="P6" s="21"/>
      <c r="Q6" s="21"/>
      <c r="R6" s="21"/>
      <c r="S6" s="20" t="s">
        <v>40</v>
      </c>
      <c r="T6" s="20" t="s">
        <v>40</v>
      </c>
      <c r="U6" s="20" t="s">
        <v>40</v>
      </c>
      <c r="V6" s="20" t="s">
        <v>40</v>
      </c>
      <c r="W6" s="20" t="s">
        <v>40</v>
      </c>
      <c r="X6" s="20"/>
    </row>
    <row r="7" s="3" customFormat="1" ht="57" spans="1:24">
      <c r="A7" s="20">
        <v>5</v>
      </c>
      <c r="B7" s="20" t="s">
        <v>40</v>
      </c>
      <c r="C7" s="21"/>
      <c r="D7" s="25"/>
      <c r="E7" s="20" t="s">
        <v>221</v>
      </c>
      <c r="F7" s="20" t="s">
        <v>222</v>
      </c>
      <c r="G7" s="21"/>
      <c r="H7" s="21"/>
      <c r="I7" s="37" t="s">
        <v>223</v>
      </c>
      <c r="J7" s="38"/>
      <c r="K7" s="20" t="s">
        <v>224</v>
      </c>
      <c r="L7" s="39">
        <v>42740</v>
      </c>
      <c r="M7" s="39">
        <v>42789</v>
      </c>
      <c r="N7" s="40" t="s">
        <v>207</v>
      </c>
      <c r="O7" s="41">
        <v>1</v>
      </c>
      <c r="P7" s="21"/>
      <c r="Q7" s="21"/>
      <c r="R7" s="21"/>
      <c r="S7" s="20" t="s">
        <v>40</v>
      </c>
      <c r="T7" s="20" t="s">
        <v>40</v>
      </c>
      <c r="U7" s="20" t="s">
        <v>40</v>
      </c>
      <c r="V7" s="20" t="s">
        <v>40</v>
      </c>
      <c r="W7" s="20" t="s">
        <v>40</v>
      </c>
      <c r="X7" s="20"/>
    </row>
    <row r="8" s="3" customFormat="1" ht="57" spans="1:24">
      <c r="A8" s="20">
        <v>6</v>
      </c>
      <c r="B8" s="20" t="s">
        <v>40</v>
      </c>
      <c r="C8" s="21"/>
      <c r="D8" s="23" t="s">
        <v>225</v>
      </c>
      <c r="E8" s="20" t="s">
        <v>217</v>
      </c>
      <c r="F8" s="20" t="s">
        <v>218</v>
      </c>
      <c r="G8" s="21"/>
      <c r="H8" s="21"/>
      <c r="I8" s="37" t="s">
        <v>226</v>
      </c>
      <c r="J8" s="38"/>
      <c r="K8" s="20" t="s">
        <v>227</v>
      </c>
      <c r="L8" s="39">
        <v>42831</v>
      </c>
      <c r="M8" s="39">
        <v>42860</v>
      </c>
      <c r="N8" s="40" t="s">
        <v>207</v>
      </c>
      <c r="O8" s="41">
        <v>2</v>
      </c>
      <c r="P8" s="21"/>
      <c r="Q8" s="21"/>
      <c r="R8" s="21"/>
      <c r="S8" s="20" t="s">
        <v>40</v>
      </c>
      <c r="T8" s="20" t="s">
        <v>40</v>
      </c>
      <c r="U8" s="20" t="s">
        <v>40</v>
      </c>
      <c r="V8" s="20" t="s">
        <v>40</v>
      </c>
      <c r="W8" s="20" t="s">
        <v>40</v>
      </c>
      <c r="X8" s="20"/>
    </row>
    <row r="9" s="3" customFormat="1" ht="57" spans="1:24">
      <c r="A9" s="20">
        <v>7</v>
      </c>
      <c r="B9" s="20" t="s">
        <v>40</v>
      </c>
      <c r="C9" s="21"/>
      <c r="D9" s="24"/>
      <c r="E9" s="20" t="s">
        <v>221</v>
      </c>
      <c r="F9" s="20" t="s">
        <v>222</v>
      </c>
      <c r="G9" s="21"/>
      <c r="H9" s="21"/>
      <c r="I9" s="37" t="s">
        <v>228</v>
      </c>
      <c r="J9" s="38"/>
      <c r="K9" s="20" t="s">
        <v>229</v>
      </c>
      <c r="L9" s="39">
        <v>42831</v>
      </c>
      <c r="M9" s="39">
        <v>42860</v>
      </c>
      <c r="N9" s="40" t="s">
        <v>207</v>
      </c>
      <c r="O9" s="41">
        <v>3</v>
      </c>
      <c r="P9" s="21"/>
      <c r="Q9" s="21"/>
      <c r="R9" s="21"/>
      <c r="S9" s="20" t="s">
        <v>40</v>
      </c>
      <c r="T9" s="20" t="s">
        <v>40</v>
      </c>
      <c r="U9" s="20" t="s">
        <v>40</v>
      </c>
      <c r="V9" s="20" t="s">
        <v>40</v>
      </c>
      <c r="W9" s="20" t="s">
        <v>40</v>
      </c>
      <c r="X9" s="20"/>
    </row>
    <row r="10" s="3" customFormat="1" ht="57" spans="1:24">
      <c r="A10" s="20">
        <v>8</v>
      </c>
      <c r="B10" s="20" t="s">
        <v>40</v>
      </c>
      <c r="C10" s="21"/>
      <c r="D10" s="24"/>
      <c r="E10" s="20" t="s">
        <v>230</v>
      </c>
      <c r="F10" s="20" t="s">
        <v>231</v>
      </c>
      <c r="G10" s="21"/>
      <c r="H10" s="21"/>
      <c r="I10" s="37" t="s">
        <v>232</v>
      </c>
      <c r="J10" s="38"/>
      <c r="K10" s="20" t="s">
        <v>233</v>
      </c>
      <c r="L10" s="39">
        <v>42831</v>
      </c>
      <c r="M10" s="39">
        <v>42860</v>
      </c>
      <c r="N10" s="40" t="s">
        <v>207</v>
      </c>
      <c r="O10" s="41">
        <v>1</v>
      </c>
      <c r="P10" s="21"/>
      <c r="Q10" s="21"/>
      <c r="R10" s="21"/>
      <c r="S10" s="20" t="s">
        <v>40</v>
      </c>
      <c r="T10" s="20" t="s">
        <v>40</v>
      </c>
      <c r="U10" s="20" t="s">
        <v>40</v>
      </c>
      <c r="V10" s="20" t="s">
        <v>40</v>
      </c>
      <c r="W10" s="20" t="s">
        <v>40</v>
      </c>
      <c r="X10" s="20"/>
    </row>
    <row r="11" s="3" customFormat="1" ht="57" spans="1:24">
      <c r="A11" s="20">
        <v>9</v>
      </c>
      <c r="B11" s="20" t="s">
        <v>40</v>
      </c>
      <c r="C11" s="21"/>
      <c r="D11" s="25"/>
      <c r="E11" s="20" t="s">
        <v>234</v>
      </c>
      <c r="F11" s="20" t="s">
        <v>214</v>
      </c>
      <c r="G11" s="21"/>
      <c r="H11" s="21"/>
      <c r="I11" s="37" t="s">
        <v>235</v>
      </c>
      <c r="J11" s="38"/>
      <c r="K11" s="20" t="s">
        <v>236</v>
      </c>
      <c r="L11" s="39">
        <v>42831</v>
      </c>
      <c r="M11" s="39">
        <v>42860</v>
      </c>
      <c r="N11" s="40" t="s">
        <v>207</v>
      </c>
      <c r="O11" s="41">
        <v>3</v>
      </c>
      <c r="P11" s="21"/>
      <c r="Q11" s="21"/>
      <c r="R11" s="21"/>
      <c r="S11" s="20" t="s">
        <v>40</v>
      </c>
      <c r="T11" s="20" t="s">
        <v>40</v>
      </c>
      <c r="U11" s="20" t="s">
        <v>40</v>
      </c>
      <c r="V11" s="20" t="s">
        <v>40</v>
      </c>
      <c r="W11" s="20" t="s">
        <v>40</v>
      </c>
      <c r="X11" s="20"/>
    </row>
    <row r="12" s="3" customFormat="1" ht="57" spans="1:24">
      <c r="A12" s="20">
        <v>10</v>
      </c>
      <c r="B12" s="20" t="s">
        <v>40</v>
      </c>
      <c r="C12" s="21"/>
      <c r="D12" s="22" t="s">
        <v>237</v>
      </c>
      <c r="E12" s="20" t="s">
        <v>238</v>
      </c>
      <c r="F12" s="20" t="s">
        <v>222</v>
      </c>
      <c r="G12" s="21"/>
      <c r="H12" s="21"/>
      <c r="I12" s="42" t="s">
        <v>239</v>
      </c>
      <c r="J12" s="38"/>
      <c r="K12" s="20" t="s">
        <v>240</v>
      </c>
      <c r="L12" s="39">
        <v>42989</v>
      </c>
      <c r="M12" s="39">
        <v>43020</v>
      </c>
      <c r="N12" s="40" t="s">
        <v>207</v>
      </c>
      <c r="O12" s="41">
        <v>1</v>
      </c>
      <c r="P12" s="21"/>
      <c r="Q12" s="21"/>
      <c r="R12" s="21"/>
      <c r="S12" s="20" t="s">
        <v>40</v>
      </c>
      <c r="T12" s="20" t="s">
        <v>40</v>
      </c>
      <c r="U12" s="20" t="s">
        <v>40</v>
      </c>
      <c r="V12" s="20" t="s">
        <v>40</v>
      </c>
      <c r="W12" s="20" t="s">
        <v>40</v>
      </c>
      <c r="X12" s="20"/>
    </row>
    <row r="13" s="3" customFormat="1" ht="57" spans="1:24">
      <c r="A13" s="20">
        <v>11</v>
      </c>
      <c r="B13" s="20" t="s">
        <v>40</v>
      </c>
      <c r="C13" s="21"/>
      <c r="D13" s="22" t="s">
        <v>241</v>
      </c>
      <c r="E13" s="20" t="s">
        <v>242</v>
      </c>
      <c r="F13" s="20" t="s">
        <v>222</v>
      </c>
      <c r="G13" s="21"/>
      <c r="H13" s="21"/>
      <c r="I13" s="37" t="s">
        <v>243</v>
      </c>
      <c r="J13" s="38"/>
      <c r="K13" s="20" t="s">
        <v>244</v>
      </c>
      <c r="L13" s="39">
        <v>43033</v>
      </c>
      <c r="M13" s="39">
        <v>43056</v>
      </c>
      <c r="N13" s="40" t="s">
        <v>207</v>
      </c>
      <c r="O13" s="41">
        <v>5</v>
      </c>
      <c r="P13" s="21"/>
      <c r="Q13" s="21"/>
      <c r="R13" s="21"/>
      <c r="S13" s="20" t="s">
        <v>40</v>
      </c>
      <c r="T13" s="20" t="s">
        <v>40</v>
      </c>
      <c r="U13" s="20" t="s">
        <v>40</v>
      </c>
      <c r="V13" s="20" t="s">
        <v>40</v>
      </c>
      <c r="W13" s="20" t="s">
        <v>40</v>
      </c>
      <c r="X13" s="20"/>
    </row>
    <row r="14" s="3" customFormat="1" ht="71.25" spans="1:24">
      <c r="A14" s="20">
        <v>12</v>
      </c>
      <c r="B14" s="20" t="s">
        <v>40</v>
      </c>
      <c r="C14" s="21"/>
      <c r="D14" s="22" t="s">
        <v>245</v>
      </c>
      <c r="E14" s="20" t="s">
        <v>238</v>
      </c>
      <c r="F14" s="20" t="s">
        <v>222</v>
      </c>
      <c r="G14" s="21"/>
      <c r="H14" s="21"/>
      <c r="I14" s="37" t="s">
        <v>246</v>
      </c>
      <c r="J14" s="38"/>
      <c r="K14" s="20" t="s">
        <v>247</v>
      </c>
      <c r="L14" s="39">
        <v>43018</v>
      </c>
      <c r="M14" s="39">
        <v>43056</v>
      </c>
      <c r="N14" s="40" t="s">
        <v>207</v>
      </c>
      <c r="O14" s="41">
        <v>6.5</v>
      </c>
      <c r="P14" s="21"/>
      <c r="Q14" s="21"/>
      <c r="R14" s="21"/>
      <c r="S14" s="20" t="s">
        <v>40</v>
      </c>
      <c r="T14" s="20" t="s">
        <v>40</v>
      </c>
      <c r="U14" s="20" t="s">
        <v>40</v>
      </c>
      <c r="V14" s="20" t="s">
        <v>40</v>
      </c>
      <c r="W14" s="20" t="s">
        <v>40</v>
      </c>
      <c r="X14" s="20"/>
    </row>
    <row r="15" s="3" customFormat="1" ht="57" spans="1:24">
      <c r="A15" s="20">
        <v>13</v>
      </c>
      <c r="B15" s="20" t="s">
        <v>40</v>
      </c>
      <c r="C15" s="21"/>
      <c r="D15" s="22" t="s">
        <v>248</v>
      </c>
      <c r="E15" s="20" t="s">
        <v>249</v>
      </c>
      <c r="F15" s="20" t="s">
        <v>222</v>
      </c>
      <c r="G15" s="21"/>
      <c r="H15" s="21"/>
      <c r="I15" s="37" t="s">
        <v>250</v>
      </c>
      <c r="J15" s="38"/>
      <c r="K15" s="20" t="s">
        <v>251</v>
      </c>
      <c r="L15" s="39">
        <v>43034</v>
      </c>
      <c r="M15" s="39">
        <v>43084</v>
      </c>
      <c r="N15" s="40" t="s">
        <v>207</v>
      </c>
      <c r="O15" s="41">
        <v>5</v>
      </c>
      <c r="P15" s="21"/>
      <c r="Q15" s="21"/>
      <c r="R15" s="21"/>
      <c r="S15" s="20" t="s">
        <v>40</v>
      </c>
      <c r="T15" s="20" t="s">
        <v>40</v>
      </c>
      <c r="U15" s="20" t="s">
        <v>40</v>
      </c>
      <c r="V15" s="20" t="s">
        <v>40</v>
      </c>
      <c r="W15" s="20" t="s">
        <v>40</v>
      </c>
      <c r="X15" s="20"/>
    </row>
    <row r="16" s="3" customFormat="1" ht="114" spans="1:25">
      <c r="A16" s="20">
        <v>1</v>
      </c>
      <c r="B16" s="20" t="s">
        <v>40</v>
      </c>
      <c r="C16" s="21"/>
      <c r="D16" s="22" t="s">
        <v>252</v>
      </c>
      <c r="E16" s="20" t="s">
        <v>253</v>
      </c>
      <c r="F16" s="20" t="s">
        <v>214</v>
      </c>
      <c r="G16" s="21"/>
      <c r="H16" s="21"/>
      <c r="I16" s="37" t="s">
        <v>254</v>
      </c>
      <c r="J16" s="38"/>
      <c r="K16" s="20" t="s">
        <v>255</v>
      </c>
      <c r="L16" s="39">
        <v>43088</v>
      </c>
      <c r="M16" s="39">
        <v>43124</v>
      </c>
      <c r="N16" s="40" t="s">
        <v>207</v>
      </c>
      <c r="O16" s="41">
        <v>3</v>
      </c>
      <c r="P16" s="43">
        <v>43131</v>
      </c>
      <c r="Q16" s="50"/>
      <c r="R16" s="20" t="s">
        <v>256</v>
      </c>
      <c r="S16" s="20" t="s">
        <v>40</v>
      </c>
      <c r="T16" s="20" t="s">
        <v>40</v>
      </c>
      <c r="U16" s="20" t="s">
        <v>40</v>
      </c>
      <c r="V16" s="20" t="s">
        <v>40</v>
      </c>
      <c r="W16" s="20" t="s">
        <v>40</v>
      </c>
      <c r="X16" s="43"/>
      <c r="Y16" s="51"/>
    </row>
    <row r="17" s="3" customFormat="1" ht="99.75" spans="1:25">
      <c r="A17" s="20">
        <v>2</v>
      </c>
      <c r="B17" s="20" t="s">
        <v>40</v>
      </c>
      <c r="C17" s="21"/>
      <c r="D17" s="22"/>
      <c r="E17" s="20" t="s">
        <v>257</v>
      </c>
      <c r="F17" s="20" t="s">
        <v>222</v>
      </c>
      <c r="G17" s="21"/>
      <c r="H17" s="21"/>
      <c r="I17" s="37" t="s">
        <v>258</v>
      </c>
      <c r="J17" s="38"/>
      <c r="K17" s="20" t="s">
        <v>259</v>
      </c>
      <c r="L17" s="39">
        <v>43088</v>
      </c>
      <c r="M17" s="39">
        <v>43124</v>
      </c>
      <c r="N17" s="40" t="s">
        <v>207</v>
      </c>
      <c r="O17" s="41">
        <v>3</v>
      </c>
      <c r="P17" s="43">
        <v>43131</v>
      </c>
      <c r="Q17" s="50"/>
      <c r="R17" s="20" t="s">
        <v>256</v>
      </c>
      <c r="S17" s="20" t="s">
        <v>40</v>
      </c>
      <c r="T17" s="20" t="s">
        <v>40</v>
      </c>
      <c r="U17" s="20" t="s">
        <v>40</v>
      </c>
      <c r="V17" s="20" t="s">
        <v>40</v>
      </c>
      <c r="W17" s="20" t="s">
        <v>40</v>
      </c>
      <c r="X17" s="43"/>
      <c r="Y17" s="51"/>
    </row>
    <row r="18" s="3" customFormat="1" ht="142.5" spans="1:25">
      <c r="A18" s="20">
        <v>3</v>
      </c>
      <c r="B18" s="20" t="s">
        <v>40</v>
      </c>
      <c r="C18" s="21"/>
      <c r="D18" s="22"/>
      <c r="E18" s="20" t="s">
        <v>260</v>
      </c>
      <c r="F18" s="20" t="s">
        <v>231</v>
      </c>
      <c r="G18" s="21"/>
      <c r="H18" s="21"/>
      <c r="I18" s="37" t="s">
        <v>261</v>
      </c>
      <c r="J18" s="38"/>
      <c r="K18" s="20" t="s">
        <v>262</v>
      </c>
      <c r="L18" s="39">
        <v>43088</v>
      </c>
      <c r="M18" s="39">
        <v>43124</v>
      </c>
      <c r="N18" s="40" t="s">
        <v>207</v>
      </c>
      <c r="O18" s="41">
        <v>1</v>
      </c>
      <c r="P18" s="43">
        <v>43131</v>
      </c>
      <c r="Q18" s="50"/>
      <c r="R18" s="20" t="s">
        <v>256</v>
      </c>
      <c r="S18" s="20" t="s">
        <v>40</v>
      </c>
      <c r="T18" s="20" t="s">
        <v>40</v>
      </c>
      <c r="U18" s="20" t="s">
        <v>40</v>
      </c>
      <c r="V18" s="20" t="s">
        <v>40</v>
      </c>
      <c r="W18" s="20" t="s">
        <v>40</v>
      </c>
      <c r="X18" s="43" t="s">
        <v>263</v>
      </c>
      <c r="Y18" s="51"/>
    </row>
    <row r="19" s="3" customFormat="1" ht="114" spans="1:25">
      <c r="A19" s="20">
        <v>4</v>
      </c>
      <c r="B19" s="20" t="s">
        <v>40</v>
      </c>
      <c r="C19" s="21"/>
      <c r="D19" s="26" t="s">
        <v>264</v>
      </c>
      <c r="E19" s="20" t="s">
        <v>265</v>
      </c>
      <c r="F19" s="20" t="s">
        <v>214</v>
      </c>
      <c r="G19" s="21"/>
      <c r="H19" s="21"/>
      <c r="I19" s="37" t="s">
        <v>266</v>
      </c>
      <c r="J19" s="38"/>
      <c r="K19" s="20" t="s">
        <v>267</v>
      </c>
      <c r="L19" s="39">
        <v>43095</v>
      </c>
      <c r="M19" s="39">
        <v>43118</v>
      </c>
      <c r="N19" s="40" t="s">
        <v>207</v>
      </c>
      <c r="O19" s="41">
        <v>3</v>
      </c>
      <c r="P19" s="43">
        <v>43129</v>
      </c>
      <c r="Q19" s="50"/>
      <c r="R19" s="20" t="s">
        <v>256</v>
      </c>
      <c r="S19" s="20" t="s">
        <v>40</v>
      </c>
      <c r="T19" s="20" t="s">
        <v>40</v>
      </c>
      <c r="U19" s="20" t="s">
        <v>40</v>
      </c>
      <c r="V19" s="20" t="s">
        <v>40</v>
      </c>
      <c r="W19" s="20" t="s">
        <v>40</v>
      </c>
      <c r="X19" s="43"/>
      <c r="Y19" s="51"/>
    </row>
    <row r="20" s="3" customFormat="1" ht="71.25" spans="1:25">
      <c r="A20" s="20">
        <v>5</v>
      </c>
      <c r="B20" s="20" t="s">
        <v>40</v>
      </c>
      <c r="C20" s="21"/>
      <c r="D20" s="26"/>
      <c r="E20" s="20" t="s">
        <v>268</v>
      </c>
      <c r="F20" s="20" t="s">
        <v>231</v>
      </c>
      <c r="G20" s="21"/>
      <c r="H20" s="21"/>
      <c r="I20" s="37" t="s">
        <v>269</v>
      </c>
      <c r="J20" s="38"/>
      <c r="K20" s="20" t="s">
        <v>270</v>
      </c>
      <c r="L20" s="39">
        <v>43095</v>
      </c>
      <c r="M20" s="39">
        <v>43118</v>
      </c>
      <c r="N20" s="40" t="s">
        <v>207</v>
      </c>
      <c r="O20" s="41">
        <v>1</v>
      </c>
      <c r="P20" s="43">
        <v>43129</v>
      </c>
      <c r="Q20" s="50"/>
      <c r="R20" s="20" t="s">
        <v>256</v>
      </c>
      <c r="S20" s="20" t="s">
        <v>40</v>
      </c>
      <c r="T20" s="20" t="s">
        <v>40</v>
      </c>
      <c r="U20" s="20" t="s">
        <v>40</v>
      </c>
      <c r="V20" s="20" t="s">
        <v>40</v>
      </c>
      <c r="W20" s="20" t="s">
        <v>40</v>
      </c>
      <c r="X20" s="43"/>
      <c r="Y20" s="51"/>
    </row>
    <row r="21" s="3" customFormat="1" ht="99.75" spans="1:25">
      <c r="A21" s="20">
        <v>6</v>
      </c>
      <c r="B21" s="20" t="s">
        <v>40</v>
      </c>
      <c r="C21" s="21"/>
      <c r="D21" s="26"/>
      <c r="E21" s="20" t="s">
        <v>271</v>
      </c>
      <c r="F21" s="20" t="s">
        <v>218</v>
      </c>
      <c r="G21" s="21"/>
      <c r="H21" s="21"/>
      <c r="I21" s="37" t="s">
        <v>272</v>
      </c>
      <c r="J21" s="38"/>
      <c r="K21" s="20" t="s">
        <v>273</v>
      </c>
      <c r="L21" s="39">
        <v>43095</v>
      </c>
      <c r="M21" s="39">
        <v>43118</v>
      </c>
      <c r="N21" s="40" t="s">
        <v>207</v>
      </c>
      <c r="O21" s="41">
        <v>3</v>
      </c>
      <c r="P21" s="43">
        <v>43129</v>
      </c>
      <c r="Q21" s="50"/>
      <c r="R21" s="20" t="s">
        <v>256</v>
      </c>
      <c r="S21" s="20" t="s">
        <v>40</v>
      </c>
      <c r="T21" s="20" t="s">
        <v>40</v>
      </c>
      <c r="U21" s="20" t="s">
        <v>40</v>
      </c>
      <c r="V21" s="20" t="s">
        <v>40</v>
      </c>
      <c r="W21" s="20" t="s">
        <v>40</v>
      </c>
      <c r="X21" s="43"/>
      <c r="Y21" s="51"/>
    </row>
    <row r="22" s="3" customFormat="1" ht="85.5" spans="1:25">
      <c r="A22" s="20">
        <v>7</v>
      </c>
      <c r="B22" s="20" t="s">
        <v>40</v>
      </c>
      <c r="C22" s="20" t="s">
        <v>274</v>
      </c>
      <c r="D22" s="26" t="s">
        <v>275</v>
      </c>
      <c r="E22" s="20" t="s">
        <v>276</v>
      </c>
      <c r="F22" s="20" t="s">
        <v>214</v>
      </c>
      <c r="G22" s="104" t="s">
        <v>277</v>
      </c>
      <c r="H22" s="20" t="s">
        <v>278</v>
      </c>
      <c r="I22" s="37" t="s">
        <v>279</v>
      </c>
      <c r="J22" s="37" t="s">
        <v>280</v>
      </c>
      <c r="K22" s="20" t="s">
        <v>281</v>
      </c>
      <c r="L22" s="39">
        <v>43132</v>
      </c>
      <c r="M22" s="39">
        <v>43175</v>
      </c>
      <c r="N22" s="40" t="s">
        <v>207</v>
      </c>
      <c r="O22" s="41">
        <v>1</v>
      </c>
      <c r="P22" s="43">
        <v>43182</v>
      </c>
      <c r="Q22" s="50"/>
      <c r="R22" s="20" t="s">
        <v>282</v>
      </c>
      <c r="S22" s="21"/>
      <c r="T22" s="20" t="s">
        <v>40</v>
      </c>
      <c r="U22" s="20" t="s">
        <v>283</v>
      </c>
      <c r="V22" s="20" t="s">
        <v>40</v>
      </c>
      <c r="W22" s="20" t="s">
        <v>40</v>
      </c>
      <c r="X22" s="43"/>
      <c r="Y22" s="51"/>
    </row>
    <row r="23" s="3" customFormat="1" ht="85.5" spans="1:25">
      <c r="A23" s="20">
        <v>8</v>
      </c>
      <c r="B23" s="20" t="s">
        <v>40</v>
      </c>
      <c r="C23" s="20" t="s">
        <v>284</v>
      </c>
      <c r="D23" s="26"/>
      <c r="E23" s="27" t="s">
        <v>285</v>
      </c>
      <c r="F23" s="20" t="s">
        <v>231</v>
      </c>
      <c r="G23" s="104" t="s">
        <v>286</v>
      </c>
      <c r="H23" s="20" t="s">
        <v>287</v>
      </c>
      <c r="I23" s="37" t="s">
        <v>288</v>
      </c>
      <c r="J23" s="37" t="s">
        <v>289</v>
      </c>
      <c r="K23" s="20" t="s">
        <v>290</v>
      </c>
      <c r="L23" s="39">
        <v>43132</v>
      </c>
      <c r="M23" s="39">
        <v>43167</v>
      </c>
      <c r="N23" s="40" t="s">
        <v>207</v>
      </c>
      <c r="O23" s="41">
        <v>1</v>
      </c>
      <c r="P23" s="43">
        <v>43182</v>
      </c>
      <c r="Q23" s="50"/>
      <c r="R23" s="20" t="s">
        <v>282</v>
      </c>
      <c r="S23" s="21"/>
      <c r="T23" s="20" t="s">
        <v>40</v>
      </c>
      <c r="U23" s="20" t="s">
        <v>283</v>
      </c>
      <c r="V23" s="20" t="s">
        <v>40</v>
      </c>
      <c r="W23" s="20" t="s">
        <v>40</v>
      </c>
      <c r="X23" s="43"/>
      <c r="Y23" s="51"/>
    </row>
    <row r="24" s="3" customFormat="1" ht="99.75" spans="1:25">
      <c r="A24" s="20">
        <v>9</v>
      </c>
      <c r="B24" s="20" t="s">
        <v>40</v>
      </c>
      <c r="C24" s="20" t="s">
        <v>291</v>
      </c>
      <c r="D24" s="26"/>
      <c r="E24" s="20" t="s">
        <v>292</v>
      </c>
      <c r="F24" s="20" t="s">
        <v>222</v>
      </c>
      <c r="G24" s="104" t="s">
        <v>293</v>
      </c>
      <c r="H24" s="20" t="s">
        <v>294</v>
      </c>
      <c r="I24" s="37" t="s">
        <v>295</v>
      </c>
      <c r="J24" s="37" t="s">
        <v>296</v>
      </c>
      <c r="K24" s="20" t="s">
        <v>297</v>
      </c>
      <c r="L24" s="39">
        <v>43132</v>
      </c>
      <c r="M24" s="39">
        <v>43167</v>
      </c>
      <c r="N24" s="40" t="s">
        <v>207</v>
      </c>
      <c r="O24" s="41">
        <v>1</v>
      </c>
      <c r="P24" s="43">
        <v>43182</v>
      </c>
      <c r="Q24" s="50"/>
      <c r="R24" s="20" t="s">
        <v>282</v>
      </c>
      <c r="S24" s="21"/>
      <c r="T24" s="20" t="s">
        <v>40</v>
      </c>
      <c r="U24" s="20" t="s">
        <v>283</v>
      </c>
      <c r="V24" s="20" t="s">
        <v>40</v>
      </c>
      <c r="W24" s="20" t="s">
        <v>40</v>
      </c>
      <c r="X24" s="43"/>
      <c r="Y24" s="51"/>
    </row>
    <row r="25" s="3" customFormat="1" ht="85.5" spans="1:25">
      <c r="A25" s="20">
        <v>10</v>
      </c>
      <c r="B25" s="20" t="s">
        <v>40</v>
      </c>
      <c r="C25" s="20" t="s">
        <v>298</v>
      </c>
      <c r="D25" s="22" t="s">
        <v>299</v>
      </c>
      <c r="E25" s="20" t="s">
        <v>300</v>
      </c>
      <c r="F25" s="20" t="s">
        <v>222</v>
      </c>
      <c r="G25" s="104" t="s">
        <v>301</v>
      </c>
      <c r="H25" s="20" t="s">
        <v>302</v>
      </c>
      <c r="I25" s="37" t="s">
        <v>303</v>
      </c>
      <c r="J25" s="37" t="s">
        <v>304</v>
      </c>
      <c r="K25" s="20" t="s">
        <v>305</v>
      </c>
      <c r="L25" s="39">
        <v>43179</v>
      </c>
      <c r="M25" s="39">
        <v>43202</v>
      </c>
      <c r="N25" s="40" t="s">
        <v>207</v>
      </c>
      <c r="O25" s="41">
        <v>5</v>
      </c>
      <c r="P25" s="43">
        <v>43214</v>
      </c>
      <c r="Q25" s="50"/>
      <c r="R25" s="20" t="s">
        <v>282</v>
      </c>
      <c r="S25" s="21"/>
      <c r="T25" s="20" t="s">
        <v>40</v>
      </c>
      <c r="U25" s="20" t="s">
        <v>283</v>
      </c>
      <c r="V25" s="20" t="s">
        <v>40</v>
      </c>
      <c r="W25" s="20" t="s">
        <v>40</v>
      </c>
      <c r="X25" s="43" t="s">
        <v>306</v>
      </c>
      <c r="Y25" s="51"/>
    </row>
    <row r="26" s="3" customFormat="1" ht="99.75" spans="1:25">
      <c r="A26" s="20">
        <v>11</v>
      </c>
      <c r="B26" s="20" t="s">
        <v>40</v>
      </c>
      <c r="C26" s="20" t="s">
        <v>307</v>
      </c>
      <c r="D26" s="26" t="s">
        <v>308</v>
      </c>
      <c r="E26" s="20" t="s">
        <v>292</v>
      </c>
      <c r="F26" s="20" t="s">
        <v>222</v>
      </c>
      <c r="G26" s="104" t="s">
        <v>293</v>
      </c>
      <c r="H26" s="20" t="s">
        <v>309</v>
      </c>
      <c r="I26" s="37" t="s">
        <v>310</v>
      </c>
      <c r="J26" s="37" t="s">
        <v>311</v>
      </c>
      <c r="K26" s="20" t="s">
        <v>312</v>
      </c>
      <c r="L26" s="39">
        <v>43273</v>
      </c>
      <c r="M26" s="39">
        <v>43293</v>
      </c>
      <c r="N26" s="40" t="s">
        <v>207</v>
      </c>
      <c r="O26" s="41">
        <v>3</v>
      </c>
      <c r="P26" s="43">
        <v>43314</v>
      </c>
      <c r="Q26" s="50"/>
      <c r="R26" s="20" t="s">
        <v>282</v>
      </c>
      <c r="S26" s="21"/>
      <c r="T26" s="20" t="s">
        <v>40</v>
      </c>
      <c r="U26" s="20" t="s">
        <v>283</v>
      </c>
      <c r="V26" s="20" t="s">
        <v>40</v>
      </c>
      <c r="W26" s="20" t="s">
        <v>40</v>
      </c>
      <c r="X26" s="43"/>
      <c r="Y26" s="51"/>
    </row>
    <row r="27" s="3" customFormat="1" ht="99.75" spans="1:25">
      <c r="A27" s="20">
        <v>12</v>
      </c>
      <c r="B27" s="20" t="s">
        <v>40</v>
      </c>
      <c r="C27" s="20" t="s">
        <v>313</v>
      </c>
      <c r="D27" s="26"/>
      <c r="E27" s="20" t="s">
        <v>314</v>
      </c>
      <c r="F27" s="20" t="s">
        <v>315</v>
      </c>
      <c r="G27" s="104" t="s">
        <v>316</v>
      </c>
      <c r="H27" s="20" t="s">
        <v>317</v>
      </c>
      <c r="I27" s="37" t="s">
        <v>310</v>
      </c>
      <c r="J27" s="37" t="s">
        <v>318</v>
      </c>
      <c r="K27" s="20" t="s">
        <v>319</v>
      </c>
      <c r="L27" s="39">
        <v>43273</v>
      </c>
      <c r="M27" s="39">
        <v>43293</v>
      </c>
      <c r="N27" s="40" t="s">
        <v>207</v>
      </c>
      <c r="O27" s="41">
        <v>0.5</v>
      </c>
      <c r="P27" s="43">
        <v>43314</v>
      </c>
      <c r="Q27" s="50"/>
      <c r="R27" s="20" t="s">
        <v>282</v>
      </c>
      <c r="S27" s="21"/>
      <c r="T27" s="20" t="s">
        <v>40</v>
      </c>
      <c r="U27" s="20" t="s">
        <v>283</v>
      </c>
      <c r="V27" s="20" t="s">
        <v>40</v>
      </c>
      <c r="W27" s="20" t="s">
        <v>40</v>
      </c>
      <c r="X27" s="43"/>
      <c r="Y27" s="51"/>
    </row>
    <row r="28" s="3" customFormat="1" ht="99.75" spans="1:25">
      <c r="A28" s="20">
        <v>13</v>
      </c>
      <c r="B28" s="20" t="s">
        <v>40</v>
      </c>
      <c r="C28" s="20" t="s">
        <v>320</v>
      </c>
      <c r="D28" s="26"/>
      <c r="E28" s="20" t="s">
        <v>321</v>
      </c>
      <c r="F28" s="20" t="s">
        <v>322</v>
      </c>
      <c r="G28" s="104" t="s">
        <v>323</v>
      </c>
      <c r="H28" s="20" t="s">
        <v>324</v>
      </c>
      <c r="I28" s="37" t="s">
        <v>310</v>
      </c>
      <c r="J28" s="37" t="s">
        <v>325</v>
      </c>
      <c r="K28" s="20" t="s">
        <v>326</v>
      </c>
      <c r="L28" s="39">
        <v>43273</v>
      </c>
      <c r="M28" s="39">
        <v>43293</v>
      </c>
      <c r="N28" s="40" t="s">
        <v>207</v>
      </c>
      <c r="O28" s="41">
        <v>0.5</v>
      </c>
      <c r="P28" s="43">
        <v>43314</v>
      </c>
      <c r="Q28" s="50"/>
      <c r="R28" s="20" t="s">
        <v>282</v>
      </c>
      <c r="S28" s="21"/>
      <c r="T28" s="20" t="s">
        <v>40</v>
      </c>
      <c r="U28" s="20" t="s">
        <v>283</v>
      </c>
      <c r="V28" s="20" t="s">
        <v>40</v>
      </c>
      <c r="W28" s="20" t="s">
        <v>40</v>
      </c>
      <c r="X28" s="43"/>
      <c r="Y28" s="51"/>
    </row>
    <row r="29" s="3" customFormat="1" ht="128.25" spans="1:25">
      <c r="A29" s="20">
        <v>14</v>
      </c>
      <c r="B29" s="20" t="s">
        <v>40</v>
      </c>
      <c r="C29" s="20" t="s">
        <v>327</v>
      </c>
      <c r="D29" s="26" t="s">
        <v>328</v>
      </c>
      <c r="E29" s="20" t="s">
        <v>329</v>
      </c>
      <c r="F29" s="20" t="s">
        <v>222</v>
      </c>
      <c r="G29" s="104" t="s">
        <v>330</v>
      </c>
      <c r="H29" s="20" t="s">
        <v>331</v>
      </c>
      <c r="I29" s="37" t="s">
        <v>332</v>
      </c>
      <c r="J29" s="37" t="s">
        <v>333</v>
      </c>
      <c r="K29" s="20" t="s">
        <v>334</v>
      </c>
      <c r="L29" s="39">
        <v>43322</v>
      </c>
      <c r="M29" s="39">
        <v>43335</v>
      </c>
      <c r="N29" s="40" t="s">
        <v>207</v>
      </c>
      <c r="O29" s="41">
        <v>2.9999</v>
      </c>
      <c r="P29" s="43">
        <v>43360</v>
      </c>
      <c r="Q29" s="50"/>
      <c r="R29" s="20" t="s">
        <v>256</v>
      </c>
      <c r="S29" s="21"/>
      <c r="T29" s="20" t="s">
        <v>40</v>
      </c>
      <c r="U29" s="20" t="s">
        <v>283</v>
      </c>
      <c r="V29" s="20" t="s">
        <v>40</v>
      </c>
      <c r="W29" s="20" t="s">
        <v>40</v>
      </c>
      <c r="X29" s="43" t="s">
        <v>335</v>
      </c>
      <c r="Y29" s="51"/>
    </row>
    <row r="30" s="3" customFormat="1" ht="128.25" spans="1:25">
      <c r="A30" s="20">
        <v>15</v>
      </c>
      <c r="B30" s="20" t="s">
        <v>40</v>
      </c>
      <c r="C30" s="20" t="s">
        <v>336</v>
      </c>
      <c r="D30" s="26" t="s">
        <v>337</v>
      </c>
      <c r="E30" s="27" t="s">
        <v>238</v>
      </c>
      <c r="F30" s="20" t="s">
        <v>222</v>
      </c>
      <c r="G30" s="104" t="s">
        <v>338</v>
      </c>
      <c r="H30" s="20" t="s">
        <v>339</v>
      </c>
      <c r="I30" s="42" t="s">
        <v>340</v>
      </c>
      <c r="J30" s="37" t="s">
        <v>341</v>
      </c>
      <c r="K30" s="20" t="s">
        <v>342</v>
      </c>
      <c r="L30" s="39">
        <v>43335</v>
      </c>
      <c r="M30" s="39">
        <v>43355</v>
      </c>
      <c r="N30" s="40" t="s">
        <v>207</v>
      </c>
      <c r="O30" s="41">
        <v>1</v>
      </c>
      <c r="P30" s="43">
        <v>43373</v>
      </c>
      <c r="Q30" s="50"/>
      <c r="R30" s="20" t="s">
        <v>256</v>
      </c>
      <c r="S30" s="21"/>
      <c r="T30" s="20" t="s">
        <v>40</v>
      </c>
      <c r="U30" s="20" t="s">
        <v>283</v>
      </c>
      <c r="V30" s="20" t="s">
        <v>40</v>
      </c>
      <c r="W30" s="20" t="s">
        <v>40</v>
      </c>
      <c r="X30" s="43" t="s">
        <v>343</v>
      </c>
      <c r="Y30" s="51"/>
    </row>
    <row r="31" s="3" customFormat="1" ht="85.5" spans="1:25">
      <c r="A31" s="20">
        <v>16</v>
      </c>
      <c r="B31" s="20" t="s">
        <v>40</v>
      </c>
      <c r="C31" s="20" t="s">
        <v>344</v>
      </c>
      <c r="D31" s="22" t="s">
        <v>345</v>
      </c>
      <c r="E31" s="20" t="s">
        <v>346</v>
      </c>
      <c r="F31" s="20" t="s">
        <v>214</v>
      </c>
      <c r="G31" s="104" t="s">
        <v>347</v>
      </c>
      <c r="H31" s="20" t="s">
        <v>278</v>
      </c>
      <c r="I31" s="37" t="s">
        <v>348</v>
      </c>
      <c r="J31" s="37" t="s">
        <v>349</v>
      </c>
      <c r="K31" s="43" t="s">
        <v>350</v>
      </c>
      <c r="L31" s="39">
        <v>43321</v>
      </c>
      <c r="M31" s="39">
        <v>43348</v>
      </c>
      <c r="N31" s="40" t="s">
        <v>207</v>
      </c>
      <c r="O31" s="41">
        <v>1</v>
      </c>
      <c r="P31" s="43">
        <v>43370</v>
      </c>
      <c r="Q31" s="50"/>
      <c r="R31" s="20" t="s">
        <v>282</v>
      </c>
      <c r="S31" s="21"/>
      <c r="T31" s="20" t="s">
        <v>40</v>
      </c>
      <c r="U31" s="20" t="s">
        <v>283</v>
      </c>
      <c r="V31" s="20" t="s">
        <v>40</v>
      </c>
      <c r="W31" s="20" t="s">
        <v>40</v>
      </c>
      <c r="X31" s="43"/>
      <c r="Y31" s="51"/>
    </row>
    <row r="32" s="3" customFormat="1" ht="85.5" spans="1:25">
      <c r="A32" s="20">
        <v>17</v>
      </c>
      <c r="B32" s="20" t="s">
        <v>40</v>
      </c>
      <c r="C32" s="20" t="s">
        <v>351</v>
      </c>
      <c r="D32" s="22"/>
      <c r="E32" s="27" t="s">
        <v>352</v>
      </c>
      <c r="F32" s="20" t="s">
        <v>214</v>
      </c>
      <c r="G32" s="104" t="s">
        <v>353</v>
      </c>
      <c r="H32" s="20" t="s">
        <v>278</v>
      </c>
      <c r="I32" s="37" t="s">
        <v>354</v>
      </c>
      <c r="J32" s="37" t="s">
        <v>355</v>
      </c>
      <c r="K32" s="43" t="s">
        <v>356</v>
      </c>
      <c r="L32" s="39">
        <v>43321</v>
      </c>
      <c r="M32" s="39">
        <v>43348</v>
      </c>
      <c r="N32" s="40" t="s">
        <v>207</v>
      </c>
      <c r="O32" s="41">
        <v>2</v>
      </c>
      <c r="P32" s="43">
        <v>43370</v>
      </c>
      <c r="Q32" s="50"/>
      <c r="R32" s="20" t="s">
        <v>282</v>
      </c>
      <c r="S32" s="21"/>
      <c r="T32" s="20" t="s">
        <v>40</v>
      </c>
      <c r="U32" s="20" t="s">
        <v>283</v>
      </c>
      <c r="V32" s="20" t="s">
        <v>40</v>
      </c>
      <c r="W32" s="20" t="s">
        <v>40</v>
      </c>
      <c r="X32" s="43" t="s">
        <v>306</v>
      </c>
      <c r="Y32" s="51"/>
    </row>
    <row r="33" s="3" customFormat="1" ht="71.25" spans="1:25">
      <c r="A33" s="20">
        <v>18</v>
      </c>
      <c r="B33" s="20" t="s">
        <v>40</v>
      </c>
      <c r="C33" s="20" t="s">
        <v>357</v>
      </c>
      <c r="D33" s="22"/>
      <c r="E33" s="27" t="s">
        <v>271</v>
      </c>
      <c r="F33" s="20" t="s">
        <v>218</v>
      </c>
      <c r="G33" s="104" t="s">
        <v>358</v>
      </c>
      <c r="H33" s="20" t="s">
        <v>359</v>
      </c>
      <c r="I33" s="37" t="s">
        <v>360</v>
      </c>
      <c r="J33" s="37" t="s">
        <v>361</v>
      </c>
      <c r="K33" s="43" t="s">
        <v>362</v>
      </c>
      <c r="L33" s="39">
        <v>43321</v>
      </c>
      <c r="M33" s="39">
        <v>43348</v>
      </c>
      <c r="N33" s="40" t="s">
        <v>207</v>
      </c>
      <c r="O33" s="41">
        <v>1</v>
      </c>
      <c r="P33" s="43">
        <v>43370</v>
      </c>
      <c r="Q33" s="50"/>
      <c r="R33" s="20" t="s">
        <v>282</v>
      </c>
      <c r="S33" s="21"/>
      <c r="T33" s="20" t="s">
        <v>40</v>
      </c>
      <c r="U33" s="20" t="s">
        <v>283</v>
      </c>
      <c r="V33" s="20" t="s">
        <v>40</v>
      </c>
      <c r="W33" s="20" t="s">
        <v>40</v>
      </c>
      <c r="X33" s="43"/>
      <c r="Y33" s="51"/>
    </row>
    <row r="34" s="3" customFormat="1" ht="71.25" spans="1:25">
      <c r="A34" s="20">
        <v>19</v>
      </c>
      <c r="B34" s="20" t="s">
        <v>40</v>
      </c>
      <c r="C34" s="20" t="s">
        <v>363</v>
      </c>
      <c r="D34" s="22"/>
      <c r="E34" s="27" t="s">
        <v>268</v>
      </c>
      <c r="F34" s="20" t="s">
        <v>231</v>
      </c>
      <c r="G34" s="104" t="s">
        <v>364</v>
      </c>
      <c r="H34" s="20" t="s">
        <v>287</v>
      </c>
      <c r="I34" s="37" t="s">
        <v>365</v>
      </c>
      <c r="J34" s="37" t="s">
        <v>366</v>
      </c>
      <c r="K34" s="43" t="s">
        <v>367</v>
      </c>
      <c r="L34" s="39">
        <v>43321</v>
      </c>
      <c r="M34" s="39">
        <v>43348</v>
      </c>
      <c r="N34" s="40" t="s">
        <v>207</v>
      </c>
      <c r="O34" s="41">
        <v>1</v>
      </c>
      <c r="P34" s="43">
        <v>43370</v>
      </c>
      <c r="Q34" s="50"/>
      <c r="R34" s="20" t="s">
        <v>282</v>
      </c>
      <c r="S34" s="21"/>
      <c r="T34" s="20" t="s">
        <v>40</v>
      </c>
      <c r="U34" s="20" t="s">
        <v>283</v>
      </c>
      <c r="V34" s="20" t="s">
        <v>40</v>
      </c>
      <c r="W34" s="20" t="s">
        <v>40</v>
      </c>
      <c r="X34" s="43" t="s">
        <v>368</v>
      </c>
      <c r="Y34" s="51"/>
    </row>
    <row r="35" s="3" customFormat="1" ht="71.25" spans="1:25">
      <c r="A35" s="20">
        <v>20</v>
      </c>
      <c r="B35" s="20" t="s">
        <v>40</v>
      </c>
      <c r="C35" s="20" t="s">
        <v>369</v>
      </c>
      <c r="D35" s="26" t="s">
        <v>370</v>
      </c>
      <c r="E35" s="20" t="s">
        <v>371</v>
      </c>
      <c r="F35" s="20" t="s">
        <v>222</v>
      </c>
      <c r="G35" s="104" t="s">
        <v>372</v>
      </c>
      <c r="H35" s="20" t="s">
        <v>373</v>
      </c>
      <c r="I35" s="42" t="s">
        <v>374</v>
      </c>
      <c r="J35" s="37" t="s">
        <v>375</v>
      </c>
      <c r="K35" s="43" t="s">
        <v>376</v>
      </c>
      <c r="L35" s="39">
        <v>43273</v>
      </c>
      <c r="M35" s="39">
        <v>43304</v>
      </c>
      <c r="N35" s="40" t="s">
        <v>207</v>
      </c>
      <c r="O35" s="41">
        <v>10</v>
      </c>
      <c r="P35" s="43">
        <v>43306</v>
      </c>
      <c r="Q35" s="50"/>
      <c r="R35" s="20" t="s">
        <v>377</v>
      </c>
      <c r="S35" s="21"/>
      <c r="T35" s="20" t="s">
        <v>40</v>
      </c>
      <c r="U35" s="20" t="s">
        <v>283</v>
      </c>
      <c r="V35" s="20" t="s">
        <v>40</v>
      </c>
      <c r="W35" s="20" t="s">
        <v>40</v>
      </c>
      <c r="X35" s="43"/>
      <c r="Y35" s="51"/>
    </row>
    <row r="36" s="3" customFormat="1" ht="85.5" spans="1:25">
      <c r="A36" s="20">
        <v>21</v>
      </c>
      <c r="B36" s="20" t="s">
        <v>40</v>
      </c>
      <c r="C36" s="20" t="s">
        <v>344</v>
      </c>
      <c r="D36" s="26" t="s">
        <v>378</v>
      </c>
      <c r="E36" s="20" t="s">
        <v>346</v>
      </c>
      <c r="F36" s="20" t="s">
        <v>214</v>
      </c>
      <c r="G36" s="104" t="s">
        <v>347</v>
      </c>
      <c r="H36" s="20" t="s">
        <v>278</v>
      </c>
      <c r="I36" s="37" t="s">
        <v>379</v>
      </c>
      <c r="J36" s="37" t="s">
        <v>380</v>
      </c>
      <c r="K36" s="20" t="s">
        <v>381</v>
      </c>
      <c r="L36" s="39">
        <v>43311</v>
      </c>
      <c r="M36" s="39">
        <v>43332</v>
      </c>
      <c r="N36" s="40" t="s">
        <v>207</v>
      </c>
      <c r="O36" s="41">
        <v>2</v>
      </c>
      <c r="P36" s="43">
        <v>43360</v>
      </c>
      <c r="Q36" s="50"/>
      <c r="R36" s="20" t="s">
        <v>377</v>
      </c>
      <c r="S36" s="21"/>
      <c r="T36" s="20" t="s">
        <v>40</v>
      </c>
      <c r="U36" s="20" t="s">
        <v>283</v>
      </c>
      <c r="V36" s="20" t="s">
        <v>40</v>
      </c>
      <c r="W36" s="20" t="s">
        <v>40</v>
      </c>
      <c r="X36" s="43"/>
      <c r="Y36" s="51"/>
    </row>
    <row r="37" s="3" customFormat="1" ht="71.25" spans="1:25">
      <c r="A37" s="20">
        <v>22</v>
      </c>
      <c r="B37" s="20" t="s">
        <v>40</v>
      </c>
      <c r="C37" s="20" t="s">
        <v>382</v>
      </c>
      <c r="D37" s="26"/>
      <c r="E37" s="20" t="s">
        <v>268</v>
      </c>
      <c r="F37" s="20" t="s">
        <v>231</v>
      </c>
      <c r="G37" s="104" t="s">
        <v>364</v>
      </c>
      <c r="H37" s="20" t="s">
        <v>287</v>
      </c>
      <c r="I37" s="37" t="s">
        <v>383</v>
      </c>
      <c r="J37" s="37" t="s">
        <v>384</v>
      </c>
      <c r="K37" s="20" t="s">
        <v>385</v>
      </c>
      <c r="L37" s="39">
        <v>43311</v>
      </c>
      <c r="M37" s="39">
        <v>43332</v>
      </c>
      <c r="N37" s="40" t="s">
        <v>207</v>
      </c>
      <c r="O37" s="41">
        <v>1</v>
      </c>
      <c r="P37" s="43">
        <v>43360</v>
      </c>
      <c r="Q37" s="50"/>
      <c r="R37" s="20" t="s">
        <v>377</v>
      </c>
      <c r="S37" s="21"/>
      <c r="T37" s="20" t="s">
        <v>40</v>
      </c>
      <c r="U37" s="20" t="s">
        <v>283</v>
      </c>
      <c r="V37" s="20" t="s">
        <v>40</v>
      </c>
      <c r="W37" s="20" t="s">
        <v>40</v>
      </c>
      <c r="X37" s="43" t="s">
        <v>306</v>
      </c>
      <c r="Y37" s="51"/>
    </row>
    <row r="38" s="3" customFormat="1" ht="85.5" spans="1:25">
      <c r="A38" s="20">
        <v>23</v>
      </c>
      <c r="B38" s="20" t="s">
        <v>40</v>
      </c>
      <c r="C38" s="20" t="s">
        <v>357</v>
      </c>
      <c r="D38" s="26"/>
      <c r="E38" s="20" t="s">
        <v>271</v>
      </c>
      <c r="F38" s="20" t="s">
        <v>218</v>
      </c>
      <c r="G38" s="104" t="s">
        <v>358</v>
      </c>
      <c r="H38" s="20" t="s">
        <v>359</v>
      </c>
      <c r="I38" s="37" t="s">
        <v>386</v>
      </c>
      <c r="J38" s="37" t="s">
        <v>387</v>
      </c>
      <c r="K38" s="20" t="s">
        <v>388</v>
      </c>
      <c r="L38" s="39">
        <v>43313</v>
      </c>
      <c r="M38" s="39">
        <v>43332</v>
      </c>
      <c r="N38" s="40" t="s">
        <v>207</v>
      </c>
      <c r="O38" s="41">
        <v>1</v>
      </c>
      <c r="P38" s="43">
        <v>43360</v>
      </c>
      <c r="Q38" s="50"/>
      <c r="R38" s="20" t="s">
        <v>377</v>
      </c>
      <c r="S38" s="21"/>
      <c r="T38" s="20" t="s">
        <v>40</v>
      </c>
      <c r="U38" s="20" t="s">
        <v>283</v>
      </c>
      <c r="V38" s="20" t="s">
        <v>40</v>
      </c>
      <c r="W38" s="20" t="s">
        <v>40</v>
      </c>
      <c r="X38" s="43"/>
      <c r="Y38" s="51"/>
    </row>
    <row r="39" s="3" customFormat="1" ht="85.5" spans="1:25">
      <c r="A39" s="20">
        <v>24</v>
      </c>
      <c r="B39" s="20" t="s">
        <v>40</v>
      </c>
      <c r="C39" s="20" t="s">
        <v>389</v>
      </c>
      <c r="D39" s="26"/>
      <c r="E39" s="20" t="s">
        <v>390</v>
      </c>
      <c r="F39" s="20" t="s">
        <v>214</v>
      </c>
      <c r="G39" s="104" t="s">
        <v>391</v>
      </c>
      <c r="H39" s="20" t="s">
        <v>278</v>
      </c>
      <c r="I39" s="37" t="s">
        <v>392</v>
      </c>
      <c r="J39" s="37" t="s">
        <v>393</v>
      </c>
      <c r="K39" s="20" t="s">
        <v>394</v>
      </c>
      <c r="L39" s="39">
        <v>43313</v>
      </c>
      <c r="M39" s="39">
        <v>43332</v>
      </c>
      <c r="N39" s="40" t="s">
        <v>207</v>
      </c>
      <c r="O39" s="41">
        <v>3</v>
      </c>
      <c r="P39" s="43">
        <v>43360</v>
      </c>
      <c r="Q39" s="50"/>
      <c r="R39" s="20" t="s">
        <v>377</v>
      </c>
      <c r="S39" s="21"/>
      <c r="T39" s="20" t="s">
        <v>40</v>
      </c>
      <c r="U39" s="20" t="s">
        <v>283</v>
      </c>
      <c r="V39" s="20" t="s">
        <v>40</v>
      </c>
      <c r="W39" s="20" t="s">
        <v>40</v>
      </c>
      <c r="X39" s="43" t="s">
        <v>306</v>
      </c>
      <c r="Y39" s="51"/>
    </row>
    <row r="40" s="3" customFormat="1" ht="71.25" spans="1:25">
      <c r="A40" s="20">
        <v>25</v>
      </c>
      <c r="B40" s="20" t="s">
        <v>40</v>
      </c>
      <c r="C40" s="20" t="s">
        <v>395</v>
      </c>
      <c r="D40" s="22" t="s">
        <v>396</v>
      </c>
      <c r="E40" s="20" t="s">
        <v>397</v>
      </c>
      <c r="F40" s="20" t="s">
        <v>214</v>
      </c>
      <c r="G40" s="104" t="s">
        <v>398</v>
      </c>
      <c r="H40" s="20" t="s">
        <v>278</v>
      </c>
      <c r="I40" s="37" t="s">
        <v>399</v>
      </c>
      <c r="J40" s="37" t="s">
        <v>400</v>
      </c>
      <c r="K40" s="20" t="s">
        <v>401</v>
      </c>
      <c r="L40" s="39">
        <v>43368</v>
      </c>
      <c r="M40" s="39">
        <v>43399</v>
      </c>
      <c r="N40" s="40" t="s">
        <v>207</v>
      </c>
      <c r="O40" s="41">
        <v>1</v>
      </c>
      <c r="P40" s="43">
        <v>43419</v>
      </c>
      <c r="Q40" s="50"/>
      <c r="R40" s="20" t="s">
        <v>282</v>
      </c>
      <c r="S40" s="21"/>
      <c r="T40" s="20" t="s">
        <v>40</v>
      </c>
      <c r="U40" s="20" t="s">
        <v>283</v>
      </c>
      <c r="V40" s="20" t="s">
        <v>40</v>
      </c>
      <c r="W40" s="20" t="s">
        <v>40</v>
      </c>
      <c r="X40" s="43" t="s">
        <v>306</v>
      </c>
      <c r="Y40" s="51"/>
    </row>
    <row r="41" s="3" customFormat="1" ht="71.25" spans="1:25">
      <c r="A41" s="20">
        <v>26</v>
      </c>
      <c r="B41" s="20" t="s">
        <v>40</v>
      </c>
      <c r="C41" s="20" t="s">
        <v>402</v>
      </c>
      <c r="D41" s="22"/>
      <c r="E41" s="20" t="s">
        <v>403</v>
      </c>
      <c r="F41" s="20" t="s">
        <v>214</v>
      </c>
      <c r="G41" s="104" t="s">
        <v>404</v>
      </c>
      <c r="H41" s="20" t="s">
        <v>278</v>
      </c>
      <c r="I41" s="37" t="s">
        <v>405</v>
      </c>
      <c r="J41" s="37" t="s">
        <v>406</v>
      </c>
      <c r="K41" s="20" t="s">
        <v>407</v>
      </c>
      <c r="L41" s="39">
        <v>43368</v>
      </c>
      <c r="M41" s="39">
        <v>43399</v>
      </c>
      <c r="N41" s="40" t="s">
        <v>207</v>
      </c>
      <c r="O41" s="41">
        <v>3</v>
      </c>
      <c r="P41" s="43">
        <v>43419</v>
      </c>
      <c r="Q41" s="50"/>
      <c r="R41" s="20" t="s">
        <v>282</v>
      </c>
      <c r="S41" s="21"/>
      <c r="T41" s="20" t="s">
        <v>40</v>
      </c>
      <c r="U41" s="20" t="s">
        <v>283</v>
      </c>
      <c r="V41" s="20" t="s">
        <v>40</v>
      </c>
      <c r="W41" s="20" t="s">
        <v>40</v>
      </c>
      <c r="X41" s="43" t="s">
        <v>306</v>
      </c>
      <c r="Y41" s="51"/>
    </row>
    <row r="42" s="3" customFormat="1" ht="71.25" spans="1:25">
      <c r="A42" s="20">
        <v>27</v>
      </c>
      <c r="B42" s="20" t="s">
        <v>40</v>
      </c>
      <c r="C42" s="20" t="s">
        <v>363</v>
      </c>
      <c r="D42" s="22"/>
      <c r="E42" s="20" t="s">
        <v>268</v>
      </c>
      <c r="F42" s="20" t="s">
        <v>231</v>
      </c>
      <c r="G42" s="104" t="s">
        <v>364</v>
      </c>
      <c r="H42" s="20" t="s">
        <v>287</v>
      </c>
      <c r="I42" s="37" t="s">
        <v>408</v>
      </c>
      <c r="J42" s="37" t="s">
        <v>409</v>
      </c>
      <c r="K42" s="20" t="s">
        <v>410</v>
      </c>
      <c r="L42" s="39">
        <v>43368</v>
      </c>
      <c r="M42" s="39">
        <v>43399</v>
      </c>
      <c r="N42" s="40" t="s">
        <v>207</v>
      </c>
      <c r="O42" s="41">
        <v>1</v>
      </c>
      <c r="P42" s="43">
        <v>43419</v>
      </c>
      <c r="Q42" s="50"/>
      <c r="R42" s="20" t="s">
        <v>282</v>
      </c>
      <c r="S42" s="21"/>
      <c r="T42" s="20" t="s">
        <v>40</v>
      </c>
      <c r="U42" s="20" t="s">
        <v>283</v>
      </c>
      <c r="V42" s="20" t="s">
        <v>40</v>
      </c>
      <c r="W42" s="20" t="s">
        <v>40</v>
      </c>
      <c r="X42" s="43" t="s">
        <v>306</v>
      </c>
      <c r="Y42" s="51"/>
    </row>
    <row r="43" s="3" customFormat="1" ht="71.25" spans="1:25">
      <c r="A43" s="20">
        <v>28</v>
      </c>
      <c r="B43" s="20" t="s">
        <v>40</v>
      </c>
      <c r="C43" s="20" t="s">
        <v>411</v>
      </c>
      <c r="D43" s="22"/>
      <c r="E43" s="20" t="s">
        <v>412</v>
      </c>
      <c r="F43" s="20" t="s">
        <v>218</v>
      </c>
      <c r="G43" s="104" t="s">
        <v>413</v>
      </c>
      <c r="H43" s="20" t="s">
        <v>359</v>
      </c>
      <c r="I43" s="37" t="s">
        <v>414</v>
      </c>
      <c r="J43" s="37" t="s">
        <v>415</v>
      </c>
      <c r="K43" s="20" t="s">
        <v>416</v>
      </c>
      <c r="L43" s="39">
        <v>43368</v>
      </c>
      <c r="M43" s="39">
        <v>43399</v>
      </c>
      <c r="N43" s="40" t="s">
        <v>207</v>
      </c>
      <c r="O43" s="41">
        <v>2</v>
      </c>
      <c r="P43" s="43">
        <v>43419</v>
      </c>
      <c r="Q43" s="50"/>
      <c r="R43" s="20" t="s">
        <v>282</v>
      </c>
      <c r="S43" s="21"/>
      <c r="T43" s="20" t="s">
        <v>40</v>
      </c>
      <c r="U43" s="20" t="s">
        <v>283</v>
      </c>
      <c r="V43" s="20" t="s">
        <v>40</v>
      </c>
      <c r="W43" s="20" t="s">
        <v>40</v>
      </c>
      <c r="X43" s="43" t="s">
        <v>306</v>
      </c>
      <c r="Y43" s="51"/>
    </row>
    <row r="44" s="3" customFormat="1" ht="71.25" spans="1:25">
      <c r="A44" s="20">
        <v>29</v>
      </c>
      <c r="B44" s="20" t="s">
        <v>40</v>
      </c>
      <c r="C44" s="20" t="s">
        <v>417</v>
      </c>
      <c r="D44" s="22"/>
      <c r="E44" s="20" t="s">
        <v>418</v>
      </c>
      <c r="F44" s="20" t="s">
        <v>222</v>
      </c>
      <c r="G44" s="104" t="s">
        <v>419</v>
      </c>
      <c r="H44" s="20" t="s">
        <v>420</v>
      </c>
      <c r="I44" s="37" t="s">
        <v>421</v>
      </c>
      <c r="J44" s="37" t="s">
        <v>422</v>
      </c>
      <c r="K44" s="20" t="s">
        <v>423</v>
      </c>
      <c r="L44" s="39">
        <v>43368</v>
      </c>
      <c r="M44" s="39">
        <v>43399</v>
      </c>
      <c r="N44" s="40" t="s">
        <v>207</v>
      </c>
      <c r="O44" s="41">
        <v>3</v>
      </c>
      <c r="P44" s="43">
        <v>43419</v>
      </c>
      <c r="Q44" s="50"/>
      <c r="R44" s="20" t="s">
        <v>282</v>
      </c>
      <c r="S44" s="21"/>
      <c r="T44" s="20" t="s">
        <v>40</v>
      </c>
      <c r="U44" s="20" t="s">
        <v>283</v>
      </c>
      <c r="V44" s="20" t="s">
        <v>40</v>
      </c>
      <c r="W44" s="20" t="s">
        <v>40</v>
      </c>
      <c r="X44" s="43" t="s">
        <v>306</v>
      </c>
      <c r="Y44" s="51"/>
    </row>
    <row r="45" s="4" customFormat="1" ht="71.25" spans="1:25">
      <c r="A45" s="28">
        <v>1</v>
      </c>
      <c r="B45" s="20" t="s">
        <v>40</v>
      </c>
      <c r="C45" s="27" t="s">
        <v>424</v>
      </c>
      <c r="D45" s="26" t="s">
        <v>345</v>
      </c>
      <c r="E45" s="27" t="s">
        <v>346</v>
      </c>
      <c r="F45" s="28" t="s">
        <v>222</v>
      </c>
      <c r="G45" s="104" t="s">
        <v>347</v>
      </c>
      <c r="H45" s="20" t="s">
        <v>425</v>
      </c>
      <c r="I45" s="44" t="s">
        <v>426</v>
      </c>
      <c r="J45" s="37" t="s">
        <v>427</v>
      </c>
      <c r="K45" s="20" t="s">
        <v>428</v>
      </c>
      <c r="L45" s="45">
        <v>43483</v>
      </c>
      <c r="M45" s="45">
        <v>43490</v>
      </c>
      <c r="N45" s="40" t="s">
        <v>207</v>
      </c>
      <c r="O45" s="46">
        <v>1</v>
      </c>
      <c r="P45" s="47">
        <v>43510</v>
      </c>
      <c r="Q45" s="47" t="s">
        <v>429</v>
      </c>
      <c r="R45" s="20" t="s">
        <v>377</v>
      </c>
      <c r="S45" s="28" t="s">
        <v>430</v>
      </c>
      <c r="T45" s="20" t="s">
        <v>40</v>
      </c>
      <c r="U45" s="20" t="s">
        <v>283</v>
      </c>
      <c r="V45" s="20" t="s">
        <v>40</v>
      </c>
      <c r="W45" s="20" t="s">
        <v>40</v>
      </c>
      <c r="X45" s="47" t="s">
        <v>431</v>
      </c>
      <c r="Y45" s="5"/>
    </row>
    <row r="46" s="4" customFormat="1" ht="71.25" spans="1:25">
      <c r="A46" s="28">
        <v>2</v>
      </c>
      <c r="B46" s="20" t="s">
        <v>40</v>
      </c>
      <c r="C46" s="28" t="s">
        <v>432</v>
      </c>
      <c r="D46" s="26" t="s">
        <v>433</v>
      </c>
      <c r="E46" s="28" t="s">
        <v>434</v>
      </c>
      <c r="F46" s="28" t="s">
        <v>218</v>
      </c>
      <c r="G46" s="104" t="s">
        <v>435</v>
      </c>
      <c r="H46" s="20" t="s">
        <v>436</v>
      </c>
      <c r="I46" s="44" t="s">
        <v>437</v>
      </c>
      <c r="J46" s="37" t="s">
        <v>438</v>
      </c>
      <c r="K46" s="20" t="s">
        <v>439</v>
      </c>
      <c r="L46" s="45">
        <v>43553</v>
      </c>
      <c r="M46" s="45">
        <v>43563</v>
      </c>
      <c r="N46" s="40" t="s">
        <v>440</v>
      </c>
      <c r="O46" s="46">
        <v>1</v>
      </c>
      <c r="P46" s="47">
        <v>43614</v>
      </c>
      <c r="Q46" s="47" t="s">
        <v>441</v>
      </c>
      <c r="R46" s="20" t="s">
        <v>377</v>
      </c>
      <c r="S46" s="28" t="s">
        <v>442</v>
      </c>
      <c r="T46" s="20" t="s">
        <v>40</v>
      </c>
      <c r="U46" s="20" t="s">
        <v>283</v>
      </c>
      <c r="V46" s="20" t="s">
        <v>40</v>
      </c>
      <c r="W46" s="20" t="s">
        <v>40</v>
      </c>
      <c r="X46" s="47" t="s">
        <v>431</v>
      </c>
      <c r="Y46" s="5"/>
    </row>
    <row r="47" s="4" customFormat="1" ht="71.25" spans="1:25">
      <c r="A47" s="28">
        <v>3</v>
      </c>
      <c r="B47" s="20" t="s">
        <v>40</v>
      </c>
      <c r="C47" s="28" t="s">
        <v>443</v>
      </c>
      <c r="D47" s="26" t="s">
        <v>444</v>
      </c>
      <c r="E47" s="28" t="s">
        <v>445</v>
      </c>
      <c r="F47" s="20" t="s">
        <v>315</v>
      </c>
      <c r="G47" s="104" t="s">
        <v>446</v>
      </c>
      <c r="H47" s="20" t="s">
        <v>447</v>
      </c>
      <c r="I47" s="44" t="s">
        <v>448</v>
      </c>
      <c r="J47" s="37" t="s">
        <v>449</v>
      </c>
      <c r="K47" s="20" t="s">
        <v>450</v>
      </c>
      <c r="L47" s="45">
        <v>43595</v>
      </c>
      <c r="M47" s="45">
        <v>43616</v>
      </c>
      <c r="N47" s="40" t="s">
        <v>207</v>
      </c>
      <c r="O47" s="46">
        <v>0.5</v>
      </c>
      <c r="P47" s="47">
        <v>43627</v>
      </c>
      <c r="Q47" s="47" t="s">
        <v>451</v>
      </c>
      <c r="R47" s="20" t="s">
        <v>256</v>
      </c>
      <c r="S47" s="28" t="s">
        <v>442</v>
      </c>
      <c r="T47" s="20" t="s">
        <v>40</v>
      </c>
      <c r="U47" s="20" t="s">
        <v>283</v>
      </c>
      <c r="V47" s="20" t="s">
        <v>40</v>
      </c>
      <c r="W47" s="20" t="s">
        <v>40</v>
      </c>
      <c r="X47" s="47" t="s">
        <v>431</v>
      </c>
      <c r="Y47" s="5"/>
    </row>
    <row r="48" s="4" customFormat="1" ht="85.5" spans="1:25">
      <c r="A48" s="28">
        <v>4</v>
      </c>
      <c r="B48" s="20" t="s">
        <v>40</v>
      </c>
      <c r="C48" s="28" t="s">
        <v>452</v>
      </c>
      <c r="D48" s="29" t="s">
        <v>453</v>
      </c>
      <c r="E48" s="28" t="s">
        <v>454</v>
      </c>
      <c r="F48" s="28" t="s">
        <v>222</v>
      </c>
      <c r="G48" s="104" t="s">
        <v>455</v>
      </c>
      <c r="H48" s="20" t="s">
        <v>456</v>
      </c>
      <c r="I48" s="44" t="s">
        <v>457</v>
      </c>
      <c r="J48" s="37" t="s">
        <v>458</v>
      </c>
      <c r="K48" s="20" t="s">
        <v>459</v>
      </c>
      <c r="L48" s="45">
        <v>43640</v>
      </c>
      <c r="M48" s="45">
        <v>43677</v>
      </c>
      <c r="N48" s="40" t="s">
        <v>207</v>
      </c>
      <c r="O48" s="46">
        <v>2.5</v>
      </c>
      <c r="P48" s="47">
        <v>43699</v>
      </c>
      <c r="Q48" s="47" t="s">
        <v>460</v>
      </c>
      <c r="R48" s="20" t="s">
        <v>377</v>
      </c>
      <c r="S48" s="28" t="s">
        <v>442</v>
      </c>
      <c r="T48" s="20" t="s">
        <v>40</v>
      </c>
      <c r="U48" s="28" t="s">
        <v>461</v>
      </c>
      <c r="V48" s="20" t="s">
        <v>40</v>
      </c>
      <c r="W48" s="20" t="s">
        <v>40</v>
      </c>
      <c r="X48" s="47"/>
      <c r="Y48" s="5"/>
    </row>
    <row r="49" s="4" customFormat="1" ht="85.5" spans="1:25">
      <c r="A49" s="28">
        <v>5</v>
      </c>
      <c r="B49" s="20" t="s">
        <v>40</v>
      </c>
      <c r="C49" s="28" t="s">
        <v>462</v>
      </c>
      <c r="D49" s="29" t="s">
        <v>463</v>
      </c>
      <c r="E49" s="27" t="s">
        <v>464</v>
      </c>
      <c r="F49" s="28" t="s">
        <v>222</v>
      </c>
      <c r="G49" s="104" t="s">
        <v>465</v>
      </c>
      <c r="H49" s="20" t="s">
        <v>466</v>
      </c>
      <c r="I49" s="44" t="s">
        <v>467</v>
      </c>
      <c r="J49" s="37" t="s">
        <v>468</v>
      </c>
      <c r="K49" s="20" t="s">
        <v>469</v>
      </c>
      <c r="L49" s="45">
        <v>43647</v>
      </c>
      <c r="M49" s="45">
        <v>43676</v>
      </c>
      <c r="N49" s="40" t="s">
        <v>207</v>
      </c>
      <c r="O49" s="46">
        <v>3</v>
      </c>
      <c r="P49" s="47">
        <v>43685</v>
      </c>
      <c r="Q49" s="47" t="s">
        <v>470</v>
      </c>
      <c r="R49" s="20" t="s">
        <v>282</v>
      </c>
      <c r="S49" s="28" t="s">
        <v>442</v>
      </c>
      <c r="T49" s="20" t="s">
        <v>40</v>
      </c>
      <c r="U49" s="28" t="s">
        <v>461</v>
      </c>
      <c r="V49" s="20" t="s">
        <v>40</v>
      </c>
      <c r="W49" s="20" t="s">
        <v>40</v>
      </c>
      <c r="X49" s="47" t="s">
        <v>471</v>
      </c>
      <c r="Y49" s="5"/>
    </row>
    <row r="50" s="4" customFormat="1" ht="85.5" spans="1:25">
      <c r="A50" s="28">
        <v>6</v>
      </c>
      <c r="B50" s="20" t="s">
        <v>40</v>
      </c>
      <c r="C50" s="28" t="s">
        <v>472</v>
      </c>
      <c r="D50" s="29"/>
      <c r="E50" s="28" t="s">
        <v>473</v>
      </c>
      <c r="F50" s="20" t="s">
        <v>315</v>
      </c>
      <c r="G50" s="104" t="s">
        <v>474</v>
      </c>
      <c r="H50" s="20" t="s">
        <v>466</v>
      </c>
      <c r="I50" s="44" t="s">
        <v>475</v>
      </c>
      <c r="J50" s="37" t="s">
        <v>476</v>
      </c>
      <c r="K50" s="20" t="s">
        <v>477</v>
      </c>
      <c r="L50" s="45">
        <v>43647</v>
      </c>
      <c r="M50" s="45">
        <v>43676</v>
      </c>
      <c r="N50" s="40" t="s">
        <v>207</v>
      </c>
      <c r="O50" s="46">
        <v>0.5</v>
      </c>
      <c r="P50" s="47">
        <v>43685</v>
      </c>
      <c r="Q50" s="47" t="s">
        <v>478</v>
      </c>
      <c r="R50" s="20" t="s">
        <v>282</v>
      </c>
      <c r="S50" s="28" t="s">
        <v>442</v>
      </c>
      <c r="T50" s="20" t="s">
        <v>40</v>
      </c>
      <c r="U50" s="28" t="s">
        <v>461</v>
      </c>
      <c r="V50" s="20" t="s">
        <v>40</v>
      </c>
      <c r="W50" s="20" t="s">
        <v>40</v>
      </c>
      <c r="X50" s="47" t="s">
        <v>471</v>
      </c>
      <c r="Y50" s="5"/>
    </row>
    <row r="51" s="4" customFormat="1" ht="85.5" spans="1:25">
      <c r="A51" s="28">
        <v>7</v>
      </c>
      <c r="B51" s="20" t="s">
        <v>40</v>
      </c>
      <c r="C51" s="28" t="s">
        <v>479</v>
      </c>
      <c r="D51" s="29"/>
      <c r="E51" s="28" t="s">
        <v>480</v>
      </c>
      <c r="F51" s="28" t="s">
        <v>322</v>
      </c>
      <c r="G51" s="104" t="s">
        <v>481</v>
      </c>
      <c r="H51" s="20" t="s">
        <v>466</v>
      </c>
      <c r="I51" s="44" t="s">
        <v>482</v>
      </c>
      <c r="J51" s="37" t="s">
        <v>483</v>
      </c>
      <c r="K51" s="20" t="s">
        <v>484</v>
      </c>
      <c r="L51" s="45">
        <v>43647</v>
      </c>
      <c r="M51" s="45">
        <v>43676</v>
      </c>
      <c r="N51" s="40" t="s">
        <v>207</v>
      </c>
      <c r="O51" s="46">
        <v>0.5</v>
      </c>
      <c r="P51" s="47">
        <v>43685</v>
      </c>
      <c r="Q51" s="47" t="s">
        <v>485</v>
      </c>
      <c r="R51" s="20" t="s">
        <v>282</v>
      </c>
      <c r="S51" s="28" t="s">
        <v>442</v>
      </c>
      <c r="T51" s="20" t="s">
        <v>40</v>
      </c>
      <c r="U51" s="28" t="s">
        <v>461</v>
      </c>
      <c r="V51" s="20" t="s">
        <v>40</v>
      </c>
      <c r="W51" s="20" t="s">
        <v>40</v>
      </c>
      <c r="X51" s="47"/>
      <c r="Y51" s="5"/>
    </row>
    <row r="52" s="4" customFormat="1" ht="71.25" spans="1:25">
      <c r="A52" s="28">
        <v>8</v>
      </c>
      <c r="B52" s="20" t="s">
        <v>40</v>
      </c>
      <c r="C52" s="27" t="s">
        <v>486</v>
      </c>
      <c r="D52" s="26" t="s">
        <v>487</v>
      </c>
      <c r="E52" s="27" t="s">
        <v>488</v>
      </c>
      <c r="F52" s="28" t="s">
        <v>222</v>
      </c>
      <c r="G52" s="104" t="s">
        <v>489</v>
      </c>
      <c r="H52" s="20" t="s">
        <v>490</v>
      </c>
      <c r="I52" s="42" t="s">
        <v>491</v>
      </c>
      <c r="J52" s="37" t="s">
        <v>492</v>
      </c>
      <c r="K52" s="20" t="s">
        <v>493</v>
      </c>
      <c r="L52" s="45">
        <v>43685</v>
      </c>
      <c r="M52" s="45">
        <v>43717</v>
      </c>
      <c r="N52" s="40" t="s">
        <v>207</v>
      </c>
      <c r="O52" s="46">
        <v>10</v>
      </c>
      <c r="P52" s="47">
        <v>43735</v>
      </c>
      <c r="Q52" s="47" t="s">
        <v>494</v>
      </c>
      <c r="R52" s="20" t="s">
        <v>282</v>
      </c>
      <c r="S52" s="28" t="s">
        <v>442</v>
      </c>
      <c r="T52" s="20" t="s">
        <v>40</v>
      </c>
      <c r="U52" s="28" t="s">
        <v>461</v>
      </c>
      <c r="V52" s="43" t="s">
        <v>495</v>
      </c>
      <c r="W52" s="21"/>
      <c r="X52" s="47"/>
      <c r="Y52" s="5"/>
    </row>
    <row r="53" s="4" customFormat="1" ht="71.25" spans="1:26">
      <c r="A53" s="28">
        <v>9</v>
      </c>
      <c r="B53" s="20" t="s">
        <v>40</v>
      </c>
      <c r="C53" s="28" t="s">
        <v>496</v>
      </c>
      <c r="D53" s="29" t="s">
        <v>497</v>
      </c>
      <c r="E53" s="28" t="s">
        <v>498</v>
      </c>
      <c r="F53" s="28" t="s">
        <v>222</v>
      </c>
      <c r="G53" s="104" t="s">
        <v>499</v>
      </c>
      <c r="H53" s="20" t="s">
        <v>500</v>
      </c>
      <c r="I53" s="44" t="s">
        <v>501</v>
      </c>
      <c r="J53" s="37" t="s">
        <v>502</v>
      </c>
      <c r="K53" s="20" t="s">
        <v>503</v>
      </c>
      <c r="L53" s="45">
        <v>43692</v>
      </c>
      <c r="M53" s="45">
        <v>43717</v>
      </c>
      <c r="N53" s="40" t="s">
        <v>207</v>
      </c>
      <c r="O53" s="46">
        <v>3</v>
      </c>
      <c r="P53" s="47">
        <v>43735</v>
      </c>
      <c r="Q53" s="47" t="s">
        <v>504</v>
      </c>
      <c r="R53" s="20" t="s">
        <v>282</v>
      </c>
      <c r="S53" s="28" t="s">
        <v>442</v>
      </c>
      <c r="T53" s="20" t="s">
        <v>40</v>
      </c>
      <c r="U53" s="28" t="s">
        <v>461</v>
      </c>
      <c r="V53" s="43" t="s">
        <v>495</v>
      </c>
      <c r="W53" s="21"/>
      <c r="X53" s="43" t="s">
        <v>505</v>
      </c>
      <c r="Y53" s="5"/>
      <c r="Z53" s="52"/>
    </row>
    <row r="54" s="4" customFormat="1" ht="57" spans="1:26">
      <c r="A54" s="28">
        <v>10</v>
      </c>
      <c r="B54" s="20" t="s">
        <v>40</v>
      </c>
      <c r="C54" s="28" t="s">
        <v>506</v>
      </c>
      <c r="D54" s="29"/>
      <c r="E54" s="28" t="s">
        <v>507</v>
      </c>
      <c r="F54" s="20" t="s">
        <v>315</v>
      </c>
      <c r="G54" s="104" t="s">
        <v>508</v>
      </c>
      <c r="H54" s="20" t="s">
        <v>500</v>
      </c>
      <c r="I54" s="44" t="s">
        <v>509</v>
      </c>
      <c r="J54" s="37" t="s">
        <v>510</v>
      </c>
      <c r="K54" s="20" t="s">
        <v>511</v>
      </c>
      <c r="L54" s="45">
        <v>43692</v>
      </c>
      <c r="M54" s="45">
        <v>43717</v>
      </c>
      <c r="N54" s="40" t="s">
        <v>207</v>
      </c>
      <c r="O54" s="46">
        <v>0.5</v>
      </c>
      <c r="P54" s="47">
        <v>43735</v>
      </c>
      <c r="Q54" s="47" t="s">
        <v>512</v>
      </c>
      <c r="R54" s="20" t="s">
        <v>282</v>
      </c>
      <c r="S54" s="28" t="s">
        <v>442</v>
      </c>
      <c r="T54" s="20" t="s">
        <v>40</v>
      </c>
      <c r="U54" s="28" t="s">
        <v>461</v>
      </c>
      <c r="V54" s="43" t="s">
        <v>495</v>
      </c>
      <c r="W54" s="21"/>
      <c r="X54" s="43" t="s">
        <v>505</v>
      </c>
      <c r="Y54" s="5"/>
      <c r="Z54" s="52"/>
    </row>
    <row r="55" s="4" customFormat="1" ht="71.25" spans="1:25">
      <c r="A55" s="28">
        <v>11</v>
      </c>
      <c r="B55" s="20" t="s">
        <v>40</v>
      </c>
      <c r="C55" s="28" t="s">
        <v>513</v>
      </c>
      <c r="D55" s="29"/>
      <c r="E55" s="28" t="s">
        <v>514</v>
      </c>
      <c r="F55" s="28" t="s">
        <v>322</v>
      </c>
      <c r="G55" s="104" t="s">
        <v>515</v>
      </c>
      <c r="H55" s="20" t="s">
        <v>500</v>
      </c>
      <c r="I55" s="44" t="s">
        <v>516</v>
      </c>
      <c r="J55" s="37" t="s">
        <v>517</v>
      </c>
      <c r="K55" s="20" t="s">
        <v>518</v>
      </c>
      <c r="L55" s="45">
        <v>43692</v>
      </c>
      <c r="M55" s="45">
        <v>43717</v>
      </c>
      <c r="N55" s="40" t="s">
        <v>207</v>
      </c>
      <c r="O55" s="46">
        <v>0.5</v>
      </c>
      <c r="P55" s="47">
        <v>43735</v>
      </c>
      <c r="Q55" s="47" t="s">
        <v>519</v>
      </c>
      <c r="R55" s="20" t="s">
        <v>282</v>
      </c>
      <c r="S55" s="28" t="s">
        <v>442</v>
      </c>
      <c r="T55" s="20" t="s">
        <v>40</v>
      </c>
      <c r="U55" s="28" t="s">
        <v>461</v>
      </c>
      <c r="V55" s="43" t="s">
        <v>495</v>
      </c>
      <c r="W55" s="21"/>
      <c r="X55" s="47"/>
      <c r="Y55" s="5"/>
    </row>
    <row r="56" s="4" customFormat="1" ht="114" spans="1:25">
      <c r="A56" s="28">
        <v>12</v>
      </c>
      <c r="B56" s="20" t="s">
        <v>40</v>
      </c>
      <c r="C56" s="28" t="s">
        <v>520</v>
      </c>
      <c r="D56" s="29" t="s">
        <v>521</v>
      </c>
      <c r="E56" s="28" t="s">
        <v>522</v>
      </c>
      <c r="F56" s="28" t="s">
        <v>222</v>
      </c>
      <c r="G56" s="104" t="s">
        <v>523</v>
      </c>
      <c r="H56" s="20" t="s">
        <v>524</v>
      </c>
      <c r="I56" s="44" t="s">
        <v>525</v>
      </c>
      <c r="J56" s="37" t="s">
        <v>526</v>
      </c>
      <c r="K56" s="20" t="s">
        <v>527</v>
      </c>
      <c r="L56" s="45">
        <v>43707</v>
      </c>
      <c r="M56" s="45">
        <v>43731</v>
      </c>
      <c r="N56" s="40" t="s">
        <v>207</v>
      </c>
      <c r="O56" s="46">
        <v>3</v>
      </c>
      <c r="P56" s="47">
        <v>43752</v>
      </c>
      <c r="Q56" s="47" t="s">
        <v>528</v>
      </c>
      <c r="R56" s="20" t="s">
        <v>256</v>
      </c>
      <c r="S56" s="28" t="s">
        <v>442</v>
      </c>
      <c r="T56" s="20" t="s">
        <v>40</v>
      </c>
      <c r="U56" s="28" t="s">
        <v>461</v>
      </c>
      <c r="V56" s="43" t="s">
        <v>495</v>
      </c>
      <c r="W56" s="21"/>
      <c r="X56" s="47" t="s">
        <v>529</v>
      </c>
      <c r="Y56" s="5"/>
    </row>
    <row r="57" s="4" customFormat="1" ht="114" spans="1:25">
      <c r="A57" s="28">
        <v>13</v>
      </c>
      <c r="B57" s="20" t="s">
        <v>40</v>
      </c>
      <c r="C57" s="28" t="s">
        <v>530</v>
      </c>
      <c r="D57" s="29"/>
      <c r="E57" s="28" t="s">
        <v>531</v>
      </c>
      <c r="F57" s="20" t="s">
        <v>315</v>
      </c>
      <c r="G57" s="104" t="s">
        <v>532</v>
      </c>
      <c r="H57" s="20" t="s">
        <v>533</v>
      </c>
      <c r="I57" s="44" t="s">
        <v>534</v>
      </c>
      <c r="J57" s="37" t="s">
        <v>535</v>
      </c>
      <c r="K57" s="20" t="s">
        <v>536</v>
      </c>
      <c r="L57" s="45">
        <v>43707</v>
      </c>
      <c r="M57" s="45">
        <v>43731</v>
      </c>
      <c r="N57" s="40" t="s">
        <v>207</v>
      </c>
      <c r="O57" s="46">
        <v>0.5</v>
      </c>
      <c r="P57" s="47">
        <v>43752</v>
      </c>
      <c r="Q57" s="47" t="s">
        <v>537</v>
      </c>
      <c r="R57" s="20" t="s">
        <v>256</v>
      </c>
      <c r="S57" s="28" t="s">
        <v>442</v>
      </c>
      <c r="T57" s="20" t="s">
        <v>40</v>
      </c>
      <c r="U57" s="28" t="s">
        <v>461</v>
      </c>
      <c r="V57" s="43" t="s">
        <v>495</v>
      </c>
      <c r="W57" s="21"/>
      <c r="X57" s="47" t="s">
        <v>538</v>
      </c>
      <c r="Y57" s="5"/>
    </row>
    <row r="58" s="4" customFormat="1" ht="114" spans="1:25">
      <c r="A58" s="28">
        <v>14</v>
      </c>
      <c r="B58" s="20" t="s">
        <v>40</v>
      </c>
      <c r="C58" s="28" t="s">
        <v>539</v>
      </c>
      <c r="D58" s="29"/>
      <c r="E58" s="28" t="s">
        <v>540</v>
      </c>
      <c r="F58" s="28" t="s">
        <v>322</v>
      </c>
      <c r="G58" s="104" t="s">
        <v>541</v>
      </c>
      <c r="H58" s="20" t="s">
        <v>542</v>
      </c>
      <c r="I58" s="44" t="s">
        <v>543</v>
      </c>
      <c r="J58" s="37" t="s">
        <v>544</v>
      </c>
      <c r="K58" s="20" t="s">
        <v>545</v>
      </c>
      <c r="L58" s="45">
        <v>43707</v>
      </c>
      <c r="M58" s="45">
        <v>43731</v>
      </c>
      <c r="N58" s="40" t="s">
        <v>207</v>
      </c>
      <c r="O58" s="46">
        <v>0.5</v>
      </c>
      <c r="P58" s="47">
        <v>43752</v>
      </c>
      <c r="Q58" s="47" t="s">
        <v>546</v>
      </c>
      <c r="R58" s="20" t="s">
        <v>256</v>
      </c>
      <c r="S58" s="28" t="s">
        <v>442</v>
      </c>
      <c r="T58" s="20" t="s">
        <v>40</v>
      </c>
      <c r="U58" s="28" t="s">
        <v>461</v>
      </c>
      <c r="V58" s="43" t="s">
        <v>495</v>
      </c>
      <c r="W58" s="21"/>
      <c r="X58" s="47" t="s">
        <v>538</v>
      </c>
      <c r="Y58" s="5"/>
    </row>
    <row r="59" s="4" customFormat="1" ht="85.5" spans="1:25">
      <c r="A59" s="28">
        <v>15</v>
      </c>
      <c r="B59" s="20" t="s">
        <v>40</v>
      </c>
      <c r="C59" s="28" t="s">
        <v>547</v>
      </c>
      <c r="D59" s="26" t="s">
        <v>548</v>
      </c>
      <c r="E59" s="27" t="s">
        <v>549</v>
      </c>
      <c r="F59" s="20" t="s">
        <v>214</v>
      </c>
      <c r="G59" s="104" t="s">
        <v>550</v>
      </c>
      <c r="H59" s="20" t="s">
        <v>500</v>
      </c>
      <c r="I59" s="37" t="s">
        <v>551</v>
      </c>
      <c r="J59" s="37" t="s">
        <v>552</v>
      </c>
      <c r="K59" s="20" t="s">
        <v>553</v>
      </c>
      <c r="L59" s="39">
        <v>43713</v>
      </c>
      <c r="M59" s="39">
        <v>43747</v>
      </c>
      <c r="N59" s="40" t="s">
        <v>207</v>
      </c>
      <c r="O59" s="46">
        <v>3</v>
      </c>
      <c r="P59" s="43">
        <v>43732</v>
      </c>
      <c r="Q59" s="47" t="s">
        <v>554</v>
      </c>
      <c r="R59" s="20" t="s">
        <v>377</v>
      </c>
      <c r="S59" s="28" t="s">
        <v>442</v>
      </c>
      <c r="T59" s="20" t="s">
        <v>40</v>
      </c>
      <c r="U59" s="28" t="s">
        <v>461</v>
      </c>
      <c r="V59" s="43" t="s">
        <v>495</v>
      </c>
      <c r="W59" s="21"/>
      <c r="X59" s="43" t="s">
        <v>538</v>
      </c>
      <c r="Y59" s="5"/>
    </row>
    <row r="60" s="4" customFormat="1" ht="71.25" spans="1:25">
      <c r="A60" s="28">
        <v>16</v>
      </c>
      <c r="B60" s="20" t="s">
        <v>40</v>
      </c>
      <c r="C60" s="28" t="s">
        <v>555</v>
      </c>
      <c r="D60" s="26"/>
      <c r="E60" s="20" t="s">
        <v>556</v>
      </c>
      <c r="F60" s="20" t="s">
        <v>557</v>
      </c>
      <c r="G60" s="104" t="s">
        <v>558</v>
      </c>
      <c r="H60" s="20" t="s">
        <v>500</v>
      </c>
      <c r="I60" s="37" t="s">
        <v>559</v>
      </c>
      <c r="J60" s="37" t="s">
        <v>560</v>
      </c>
      <c r="K60" s="20" t="s">
        <v>561</v>
      </c>
      <c r="L60" s="39">
        <v>43713</v>
      </c>
      <c r="M60" s="39">
        <v>43747</v>
      </c>
      <c r="N60" s="40" t="s">
        <v>207</v>
      </c>
      <c r="O60" s="46">
        <v>0.5</v>
      </c>
      <c r="P60" s="43">
        <v>43732</v>
      </c>
      <c r="Q60" s="47" t="s">
        <v>562</v>
      </c>
      <c r="R60" s="20" t="s">
        <v>377</v>
      </c>
      <c r="S60" s="28" t="s">
        <v>442</v>
      </c>
      <c r="T60" s="20" t="s">
        <v>40</v>
      </c>
      <c r="U60" s="28" t="s">
        <v>461</v>
      </c>
      <c r="V60" s="43" t="s">
        <v>495</v>
      </c>
      <c r="W60" s="21"/>
      <c r="X60" s="43" t="s">
        <v>538</v>
      </c>
      <c r="Y60" s="5"/>
    </row>
    <row r="61" s="4" customFormat="1" ht="71.25" spans="1:26">
      <c r="A61" s="28">
        <v>17</v>
      </c>
      <c r="B61" s="20" t="s">
        <v>40</v>
      </c>
      <c r="C61" s="28" t="s">
        <v>563</v>
      </c>
      <c r="D61" s="26"/>
      <c r="E61" s="27" t="s">
        <v>564</v>
      </c>
      <c r="F61" s="28" t="s">
        <v>565</v>
      </c>
      <c r="G61" s="104" t="s">
        <v>566</v>
      </c>
      <c r="H61" s="20" t="s">
        <v>500</v>
      </c>
      <c r="I61" s="37" t="s">
        <v>567</v>
      </c>
      <c r="J61" s="37" t="s">
        <v>568</v>
      </c>
      <c r="K61" s="20" t="s">
        <v>569</v>
      </c>
      <c r="L61" s="39">
        <v>43713</v>
      </c>
      <c r="M61" s="39">
        <v>43747</v>
      </c>
      <c r="N61" s="40" t="s">
        <v>207</v>
      </c>
      <c r="O61" s="46">
        <v>0.5</v>
      </c>
      <c r="P61" s="43">
        <v>43732</v>
      </c>
      <c r="Q61" s="47" t="s">
        <v>570</v>
      </c>
      <c r="R61" s="20" t="s">
        <v>377</v>
      </c>
      <c r="S61" s="28" t="s">
        <v>442</v>
      </c>
      <c r="T61" s="20" t="s">
        <v>40</v>
      </c>
      <c r="U61" s="28" t="s">
        <v>461</v>
      </c>
      <c r="V61" s="43" t="s">
        <v>495</v>
      </c>
      <c r="W61" s="21"/>
      <c r="X61" s="43" t="s">
        <v>505</v>
      </c>
      <c r="Y61" s="5"/>
      <c r="Z61" s="52"/>
    </row>
    <row r="62" s="4" customFormat="1" ht="71.25" spans="1:26">
      <c r="A62" s="28">
        <v>18</v>
      </c>
      <c r="B62" s="20" t="s">
        <v>40</v>
      </c>
      <c r="C62" s="27" t="s">
        <v>571</v>
      </c>
      <c r="D62" s="26" t="s">
        <v>572</v>
      </c>
      <c r="E62" s="27" t="s">
        <v>573</v>
      </c>
      <c r="F62" s="20" t="s">
        <v>214</v>
      </c>
      <c r="G62" s="104" t="s">
        <v>574</v>
      </c>
      <c r="H62" s="20" t="s">
        <v>575</v>
      </c>
      <c r="I62" s="37" t="s">
        <v>576</v>
      </c>
      <c r="J62" s="37" t="s">
        <v>577</v>
      </c>
      <c r="K62" s="20" t="s">
        <v>578</v>
      </c>
      <c r="L62" s="39">
        <v>43763</v>
      </c>
      <c r="M62" s="39">
        <v>43801</v>
      </c>
      <c r="N62" s="40" t="s">
        <v>207</v>
      </c>
      <c r="O62" s="46">
        <v>2</v>
      </c>
      <c r="P62" s="43">
        <v>43809</v>
      </c>
      <c r="Q62" s="47" t="s">
        <v>579</v>
      </c>
      <c r="R62" s="20" t="s">
        <v>282</v>
      </c>
      <c r="S62" s="28" t="s">
        <v>442</v>
      </c>
      <c r="T62" s="20" t="s">
        <v>40</v>
      </c>
      <c r="U62" s="28" t="s">
        <v>461</v>
      </c>
      <c r="V62" s="43" t="s">
        <v>495</v>
      </c>
      <c r="W62" s="21"/>
      <c r="X62" s="43" t="s">
        <v>580</v>
      </c>
      <c r="Y62" s="5"/>
      <c r="Z62" s="52"/>
    </row>
    <row r="63" s="4" customFormat="1" ht="85.5" spans="1:26">
      <c r="A63" s="28">
        <v>19</v>
      </c>
      <c r="B63" s="20" t="s">
        <v>40</v>
      </c>
      <c r="C63" s="27" t="s">
        <v>581</v>
      </c>
      <c r="D63" s="26" t="s">
        <v>582</v>
      </c>
      <c r="E63" s="27" t="s">
        <v>45</v>
      </c>
      <c r="F63" s="20" t="s">
        <v>222</v>
      </c>
      <c r="G63" s="104" t="s">
        <v>46</v>
      </c>
      <c r="H63" s="20" t="s">
        <v>583</v>
      </c>
      <c r="I63" s="37" t="s">
        <v>584</v>
      </c>
      <c r="J63" s="37" t="s">
        <v>585</v>
      </c>
      <c r="K63" s="20" t="s">
        <v>586</v>
      </c>
      <c r="L63" s="39">
        <v>43762</v>
      </c>
      <c r="M63" s="39">
        <v>43781</v>
      </c>
      <c r="N63" s="40" t="s">
        <v>207</v>
      </c>
      <c r="O63" s="46">
        <v>1</v>
      </c>
      <c r="P63" s="43">
        <v>43804</v>
      </c>
      <c r="Q63" s="47" t="s">
        <v>587</v>
      </c>
      <c r="R63" s="20" t="s">
        <v>256</v>
      </c>
      <c r="S63" s="28" t="s">
        <v>442</v>
      </c>
      <c r="T63" s="20" t="s">
        <v>40</v>
      </c>
      <c r="U63" s="28" t="s">
        <v>461</v>
      </c>
      <c r="V63" s="43" t="s">
        <v>495</v>
      </c>
      <c r="W63" s="21"/>
      <c r="X63" s="43" t="s">
        <v>580</v>
      </c>
      <c r="Y63" s="5"/>
      <c r="Z63" s="52"/>
    </row>
    <row r="64" s="4" customFormat="1" ht="71.25" spans="1:26">
      <c r="A64" s="28">
        <v>20</v>
      </c>
      <c r="B64" s="20" t="s">
        <v>40</v>
      </c>
      <c r="C64" s="27" t="s">
        <v>588</v>
      </c>
      <c r="D64" s="26"/>
      <c r="E64" s="27" t="s">
        <v>45</v>
      </c>
      <c r="F64" s="20" t="s">
        <v>222</v>
      </c>
      <c r="G64" s="104" t="s">
        <v>46</v>
      </c>
      <c r="H64" s="20" t="s">
        <v>589</v>
      </c>
      <c r="I64" s="37" t="s">
        <v>590</v>
      </c>
      <c r="J64" s="37" t="s">
        <v>591</v>
      </c>
      <c r="K64" s="20" t="s">
        <v>592</v>
      </c>
      <c r="L64" s="39">
        <v>43762</v>
      </c>
      <c r="M64" s="39">
        <v>43781</v>
      </c>
      <c r="N64" s="40" t="s">
        <v>207</v>
      </c>
      <c r="O64" s="46">
        <v>2</v>
      </c>
      <c r="P64" s="43">
        <v>43804</v>
      </c>
      <c r="Q64" s="47" t="s">
        <v>593</v>
      </c>
      <c r="R64" s="20" t="s">
        <v>256</v>
      </c>
      <c r="S64" s="28" t="s">
        <v>442</v>
      </c>
      <c r="T64" s="20" t="s">
        <v>40</v>
      </c>
      <c r="U64" s="28" t="s">
        <v>461</v>
      </c>
      <c r="V64" s="43" t="s">
        <v>495</v>
      </c>
      <c r="W64" s="21"/>
      <c r="X64" s="43" t="s">
        <v>580</v>
      </c>
      <c r="Y64" s="5"/>
      <c r="Z64" s="52"/>
    </row>
    <row r="65" s="4" customFormat="1" ht="85.5" spans="1:26">
      <c r="A65" s="28">
        <v>21</v>
      </c>
      <c r="B65" s="20" t="s">
        <v>40</v>
      </c>
      <c r="C65" s="27" t="s">
        <v>594</v>
      </c>
      <c r="D65" s="26" t="s">
        <v>595</v>
      </c>
      <c r="E65" s="27" t="s">
        <v>596</v>
      </c>
      <c r="F65" s="20" t="s">
        <v>222</v>
      </c>
      <c r="G65" s="104" t="s">
        <v>597</v>
      </c>
      <c r="H65" s="20" t="s">
        <v>598</v>
      </c>
      <c r="I65" s="62" t="s">
        <v>599</v>
      </c>
      <c r="J65" s="37" t="s">
        <v>600</v>
      </c>
      <c r="K65" s="20" t="s">
        <v>601</v>
      </c>
      <c r="L65" s="39">
        <v>43763</v>
      </c>
      <c r="M65" s="39">
        <v>43789</v>
      </c>
      <c r="N65" s="40" t="s">
        <v>207</v>
      </c>
      <c r="O65" s="46">
        <v>0.5</v>
      </c>
      <c r="P65" s="43">
        <v>43819</v>
      </c>
      <c r="Q65" s="47" t="s">
        <v>602</v>
      </c>
      <c r="R65" s="20" t="s">
        <v>377</v>
      </c>
      <c r="S65" s="28" t="s">
        <v>442</v>
      </c>
      <c r="T65" s="20" t="s">
        <v>40</v>
      </c>
      <c r="U65" s="28" t="s">
        <v>461</v>
      </c>
      <c r="V65" s="43" t="s">
        <v>495</v>
      </c>
      <c r="W65" s="21"/>
      <c r="X65" s="43" t="s">
        <v>580</v>
      </c>
      <c r="Y65" s="5"/>
      <c r="Z65" s="52"/>
    </row>
    <row r="66" s="4" customFormat="1" ht="71.25" spans="1:25">
      <c r="A66" s="28">
        <v>1</v>
      </c>
      <c r="B66" s="47" t="s">
        <v>603</v>
      </c>
      <c r="C66" s="28" t="s">
        <v>604</v>
      </c>
      <c r="D66" s="26" t="s">
        <v>605</v>
      </c>
      <c r="E66" s="27" t="s">
        <v>606</v>
      </c>
      <c r="F66" s="20" t="s">
        <v>557</v>
      </c>
      <c r="G66" s="104" t="s">
        <v>607</v>
      </c>
      <c r="H66" s="20" t="s">
        <v>608</v>
      </c>
      <c r="I66" s="37" t="s">
        <v>609</v>
      </c>
      <c r="J66" s="37" t="s">
        <v>610</v>
      </c>
      <c r="K66" s="43" t="s">
        <v>611</v>
      </c>
      <c r="L66" s="39">
        <v>43796</v>
      </c>
      <c r="M66" s="39">
        <v>43833</v>
      </c>
      <c r="N66" s="40" t="s">
        <v>207</v>
      </c>
      <c r="O66" s="46">
        <v>0.5</v>
      </c>
      <c r="P66" s="43">
        <v>43845</v>
      </c>
      <c r="Q66" s="40" t="s">
        <v>612</v>
      </c>
      <c r="R66" s="20" t="s">
        <v>256</v>
      </c>
      <c r="S66" s="77">
        <v>43837</v>
      </c>
      <c r="T66" s="77">
        <v>43892</v>
      </c>
      <c r="U66" s="28" t="s">
        <v>461</v>
      </c>
      <c r="V66" s="43" t="s">
        <v>495</v>
      </c>
      <c r="W66" s="77">
        <v>44036</v>
      </c>
      <c r="X66" s="43" t="s">
        <v>580</v>
      </c>
      <c r="Y66" s="5"/>
    </row>
    <row r="67" s="4" customFormat="1" ht="71.25" spans="1:25">
      <c r="A67" s="28">
        <v>2</v>
      </c>
      <c r="B67" s="47" t="s">
        <v>613</v>
      </c>
      <c r="C67" s="27" t="s">
        <v>614</v>
      </c>
      <c r="D67" s="26" t="s">
        <v>615</v>
      </c>
      <c r="E67" s="27" t="s">
        <v>616</v>
      </c>
      <c r="F67" s="20" t="s">
        <v>214</v>
      </c>
      <c r="G67" s="104" t="s">
        <v>617</v>
      </c>
      <c r="H67" s="20" t="s">
        <v>589</v>
      </c>
      <c r="I67" s="37" t="s">
        <v>618</v>
      </c>
      <c r="J67" s="37" t="s">
        <v>619</v>
      </c>
      <c r="K67" s="43" t="s">
        <v>620</v>
      </c>
      <c r="L67" s="39">
        <v>43813</v>
      </c>
      <c r="M67" s="39">
        <v>43833</v>
      </c>
      <c r="N67" s="40" t="s">
        <v>207</v>
      </c>
      <c r="O67" s="46">
        <v>2</v>
      </c>
      <c r="P67" s="43">
        <v>43845</v>
      </c>
      <c r="Q67" s="40" t="s">
        <v>621</v>
      </c>
      <c r="R67" s="20" t="s">
        <v>256</v>
      </c>
      <c r="S67" s="77">
        <v>43837</v>
      </c>
      <c r="T67" s="77">
        <v>43892</v>
      </c>
      <c r="U67" s="28" t="s">
        <v>461</v>
      </c>
      <c r="V67" s="43" t="s">
        <v>495</v>
      </c>
      <c r="W67" s="77">
        <v>44036</v>
      </c>
      <c r="X67" s="43" t="s">
        <v>580</v>
      </c>
      <c r="Y67" s="5"/>
    </row>
    <row r="68" s="4" customFormat="1" ht="71.25" spans="1:25">
      <c r="A68" s="28">
        <v>3</v>
      </c>
      <c r="B68" s="47" t="s">
        <v>622</v>
      </c>
      <c r="C68" s="28" t="s">
        <v>623</v>
      </c>
      <c r="D68" s="29" t="s">
        <v>624</v>
      </c>
      <c r="E68" s="28" t="s">
        <v>625</v>
      </c>
      <c r="F68" s="28" t="s">
        <v>222</v>
      </c>
      <c r="G68" s="104" t="s">
        <v>626</v>
      </c>
      <c r="H68" s="20" t="s">
        <v>627</v>
      </c>
      <c r="I68" s="42" t="s">
        <v>628</v>
      </c>
      <c r="J68" s="37" t="s">
        <v>629</v>
      </c>
      <c r="K68" s="43" t="s">
        <v>630</v>
      </c>
      <c r="L68" s="39">
        <v>43830</v>
      </c>
      <c r="M68" s="45">
        <v>43846</v>
      </c>
      <c r="N68" s="40" t="s">
        <v>207</v>
      </c>
      <c r="O68" s="46">
        <v>2</v>
      </c>
      <c r="P68" s="47">
        <v>43851</v>
      </c>
      <c r="Q68" s="40" t="s">
        <v>631</v>
      </c>
      <c r="R68" s="20" t="s">
        <v>256</v>
      </c>
      <c r="S68" s="77">
        <v>43847</v>
      </c>
      <c r="T68" s="77">
        <v>43892</v>
      </c>
      <c r="U68" s="28" t="s">
        <v>461</v>
      </c>
      <c r="V68" s="43" t="s">
        <v>495</v>
      </c>
      <c r="W68" s="77" t="s">
        <v>632</v>
      </c>
      <c r="X68" s="43" t="s">
        <v>580</v>
      </c>
      <c r="Y68" s="5"/>
    </row>
    <row r="69" s="4" customFormat="1" ht="71.25" spans="1:25">
      <c r="A69" s="28">
        <v>4</v>
      </c>
      <c r="B69" s="47" t="s">
        <v>633</v>
      </c>
      <c r="C69" s="28" t="str">
        <f t="shared" ref="C69:C71" si="0">_xlfn.CONCAT(E69,H69,"行政处罚案")</f>
        <v>深圳市深安企业有限公司未按照规定组织危大工程验收行政处罚案</v>
      </c>
      <c r="D69" s="29" t="s">
        <v>634</v>
      </c>
      <c r="E69" s="27" t="s">
        <v>464</v>
      </c>
      <c r="F69" s="28" t="s">
        <v>222</v>
      </c>
      <c r="G69" s="104" t="s">
        <v>465</v>
      </c>
      <c r="H69" s="20" t="s">
        <v>635</v>
      </c>
      <c r="I69" s="44" t="s">
        <v>636</v>
      </c>
      <c r="J69" s="37" t="s">
        <v>637</v>
      </c>
      <c r="K69" s="43" t="s">
        <v>638</v>
      </c>
      <c r="L69" s="45">
        <v>43970</v>
      </c>
      <c r="M69" s="45">
        <v>44005</v>
      </c>
      <c r="N69" s="40" t="s">
        <v>207</v>
      </c>
      <c r="O69" s="46">
        <v>3</v>
      </c>
      <c r="P69" s="47">
        <v>44018</v>
      </c>
      <c r="Q69" s="40" t="s">
        <v>639</v>
      </c>
      <c r="R69" s="20" t="s">
        <v>282</v>
      </c>
      <c r="S69" s="77">
        <v>44010</v>
      </c>
      <c r="T69" s="77">
        <v>44019</v>
      </c>
      <c r="U69" s="28" t="s">
        <v>461</v>
      </c>
      <c r="V69" s="43" t="s">
        <v>495</v>
      </c>
      <c r="W69" s="77">
        <v>44032</v>
      </c>
      <c r="X69" s="47"/>
      <c r="Y69" s="5"/>
    </row>
    <row r="70" s="4" customFormat="1" ht="71.25" spans="1:25">
      <c r="A70" s="28">
        <v>5</v>
      </c>
      <c r="B70" s="47" t="s">
        <v>640</v>
      </c>
      <c r="C70" s="28" t="str">
        <f t="shared" si="0"/>
        <v>林明涛未按照规定组织危大工程验收行政处罚案</v>
      </c>
      <c r="D70" s="29"/>
      <c r="E70" s="28" t="s">
        <v>641</v>
      </c>
      <c r="F70" s="28" t="s">
        <v>315</v>
      </c>
      <c r="G70" s="104" t="s">
        <v>642</v>
      </c>
      <c r="H70" s="20" t="s">
        <v>635</v>
      </c>
      <c r="I70" s="44" t="s">
        <v>643</v>
      </c>
      <c r="J70" s="37" t="s">
        <v>644</v>
      </c>
      <c r="K70" s="43" t="s">
        <v>645</v>
      </c>
      <c r="L70" s="45">
        <v>43970</v>
      </c>
      <c r="M70" s="45">
        <v>44005</v>
      </c>
      <c r="N70" s="40" t="s">
        <v>207</v>
      </c>
      <c r="O70" s="46">
        <v>0.5</v>
      </c>
      <c r="P70" s="47">
        <v>44018</v>
      </c>
      <c r="Q70" s="40" t="s">
        <v>646</v>
      </c>
      <c r="R70" s="20" t="s">
        <v>282</v>
      </c>
      <c r="S70" s="77">
        <v>44010</v>
      </c>
      <c r="T70" s="77">
        <v>44019</v>
      </c>
      <c r="U70" s="28" t="s">
        <v>461</v>
      </c>
      <c r="V70" s="43" t="s">
        <v>495</v>
      </c>
      <c r="W70" s="77">
        <v>44032</v>
      </c>
      <c r="X70" s="47"/>
      <c r="Y70" s="5"/>
    </row>
    <row r="71" s="4" customFormat="1" ht="71.25" spans="1:25">
      <c r="A71" s="28">
        <v>6</v>
      </c>
      <c r="B71" s="47" t="s">
        <v>647</v>
      </c>
      <c r="C71" s="28" t="str">
        <f t="shared" si="0"/>
        <v>王烨炜未按照规定组织危大工程验收行政处罚案</v>
      </c>
      <c r="D71" s="29"/>
      <c r="E71" s="28" t="s">
        <v>648</v>
      </c>
      <c r="F71" s="28" t="s">
        <v>322</v>
      </c>
      <c r="G71" s="104" t="s">
        <v>649</v>
      </c>
      <c r="H71" s="20" t="s">
        <v>635</v>
      </c>
      <c r="I71" s="44" t="s">
        <v>650</v>
      </c>
      <c r="J71" s="37" t="s">
        <v>651</v>
      </c>
      <c r="K71" s="43" t="s">
        <v>652</v>
      </c>
      <c r="L71" s="45">
        <v>43970</v>
      </c>
      <c r="M71" s="45">
        <v>44005</v>
      </c>
      <c r="N71" s="40" t="s">
        <v>207</v>
      </c>
      <c r="O71" s="46">
        <v>0.5</v>
      </c>
      <c r="P71" s="47">
        <v>44018</v>
      </c>
      <c r="Q71" s="40" t="s">
        <v>653</v>
      </c>
      <c r="R71" s="20" t="s">
        <v>282</v>
      </c>
      <c r="S71" s="77">
        <v>44010</v>
      </c>
      <c r="T71" s="77">
        <v>44019</v>
      </c>
      <c r="U71" s="28" t="s">
        <v>461</v>
      </c>
      <c r="V71" s="43" t="s">
        <v>495</v>
      </c>
      <c r="W71" s="77">
        <v>44032</v>
      </c>
      <c r="X71" s="47"/>
      <c r="Y71" s="5"/>
    </row>
    <row r="72" s="4" customFormat="1" ht="85.5" spans="1:25">
      <c r="A72" s="28">
        <v>7</v>
      </c>
      <c r="B72" s="47" t="s">
        <v>654</v>
      </c>
      <c r="C72" s="28" t="s">
        <v>655</v>
      </c>
      <c r="D72" s="26" t="s">
        <v>656</v>
      </c>
      <c r="E72" s="27" t="s">
        <v>657</v>
      </c>
      <c r="F72" s="28" t="s">
        <v>658</v>
      </c>
      <c r="G72" s="104" t="s">
        <v>659</v>
      </c>
      <c r="H72" s="20" t="s">
        <v>660</v>
      </c>
      <c r="I72" s="44" t="s">
        <v>661</v>
      </c>
      <c r="J72" s="37" t="s">
        <v>662</v>
      </c>
      <c r="K72" s="43" t="s">
        <v>663</v>
      </c>
      <c r="L72" s="45">
        <v>43972</v>
      </c>
      <c r="M72" s="45">
        <v>44020</v>
      </c>
      <c r="N72" s="40" t="s">
        <v>207</v>
      </c>
      <c r="O72" s="46">
        <v>0.3</v>
      </c>
      <c r="P72" s="47">
        <v>44032</v>
      </c>
      <c r="Q72" s="40" t="s">
        <v>664</v>
      </c>
      <c r="R72" s="20" t="s">
        <v>377</v>
      </c>
      <c r="S72" s="77">
        <v>44027</v>
      </c>
      <c r="T72" s="77">
        <v>44027</v>
      </c>
      <c r="U72" s="28" t="s">
        <v>461</v>
      </c>
      <c r="V72" s="77" t="s">
        <v>665</v>
      </c>
      <c r="W72" s="77">
        <v>44032</v>
      </c>
      <c r="X72" s="47"/>
      <c r="Y72" s="5"/>
    </row>
    <row r="73" s="4" customFormat="1" ht="99.75" spans="1:25">
      <c r="A73" s="28">
        <v>8</v>
      </c>
      <c r="B73" s="53" t="s">
        <v>666</v>
      </c>
      <c r="C73" s="21" t="s">
        <v>667</v>
      </c>
      <c r="D73" s="54" t="s">
        <v>668</v>
      </c>
      <c r="E73" s="21" t="s">
        <v>669</v>
      </c>
      <c r="F73" s="21" t="s">
        <v>670</v>
      </c>
      <c r="G73" s="106" t="s">
        <v>671</v>
      </c>
      <c r="H73" s="21" t="s">
        <v>672</v>
      </c>
      <c r="I73" s="38" t="s">
        <v>673</v>
      </c>
      <c r="J73" s="38" t="s">
        <v>674</v>
      </c>
      <c r="K73" s="50" t="s">
        <v>675</v>
      </c>
      <c r="L73" s="63">
        <v>43978</v>
      </c>
      <c r="M73" s="63">
        <v>44014</v>
      </c>
      <c r="N73" s="64" t="s">
        <v>207</v>
      </c>
      <c r="O73" s="65">
        <v>0.3</v>
      </c>
      <c r="P73" s="50"/>
      <c r="Q73" s="64" t="s">
        <v>676</v>
      </c>
      <c r="R73" s="21" t="s">
        <v>256</v>
      </c>
      <c r="S73" s="53" t="s">
        <v>666</v>
      </c>
      <c r="T73" s="53" t="s">
        <v>666</v>
      </c>
      <c r="U73" s="53" t="s">
        <v>666</v>
      </c>
      <c r="V73" s="53" t="s">
        <v>666</v>
      </c>
      <c r="W73" s="78" t="s">
        <v>677</v>
      </c>
      <c r="X73" s="50"/>
      <c r="Y73" s="5"/>
    </row>
    <row r="74" s="4" customFormat="1" ht="57" spans="1:25">
      <c r="A74" s="28">
        <v>9</v>
      </c>
      <c r="B74" s="47" t="s">
        <v>678</v>
      </c>
      <c r="C74" s="28" t="str">
        <f t="shared" ref="C74:C76" si="1">_xlfn.CONCAT(E74,H74,"行政处罚案")</f>
        <v>远洋国际建设有限公司未按照规定组织危大工程验收行政处罚案</v>
      </c>
      <c r="D74" s="29" t="s">
        <v>679</v>
      </c>
      <c r="E74" s="28" t="s">
        <v>680</v>
      </c>
      <c r="F74" s="28" t="s">
        <v>222</v>
      </c>
      <c r="G74" s="105" t="s">
        <v>681</v>
      </c>
      <c r="H74" s="28" t="s">
        <v>635</v>
      </c>
      <c r="I74" s="44" t="s">
        <v>682</v>
      </c>
      <c r="J74" s="37" t="s">
        <v>683</v>
      </c>
      <c r="K74" s="20" t="s">
        <v>684</v>
      </c>
      <c r="L74" s="45">
        <v>44026</v>
      </c>
      <c r="M74" s="45">
        <v>44056</v>
      </c>
      <c r="N74" s="40" t="s">
        <v>207</v>
      </c>
      <c r="O74" s="46">
        <v>3</v>
      </c>
      <c r="P74" s="47">
        <v>44085</v>
      </c>
      <c r="Q74" s="107" t="s">
        <v>685</v>
      </c>
      <c r="R74" s="20" t="s">
        <v>282</v>
      </c>
      <c r="S74" s="77">
        <v>44060</v>
      </c>
      <c r="T74" s="77">
        <f t="shared" ref="T74:T76" si="2">+$M74+5</f>
        <v>44061</v>
      </c>
      <c r="U74" s="77" t="s">
        <v>41</v>
      </c>
      <c r="V74" s="77" t="s">
        <v>686</v>
      </c>
      <c r="W74" s="77">
        <v>44062</v>
      </c>
      <c r="X74" s="43"/>
      <c r="Y74" s="5"/>
    </row>
    <row r="75" s="4" customFormat="1" ht="57" spans="1:25">
      <c r="A75" s="28">
        <v>10</v>
      </c>
      <c r="B75" s="47" t="s">
        <v>687</v>
      </c>
      <c r="C75" s="28" t="str">
        <f t="shared" si="1"/>
        <v>黄灵俊未按照规定组织危大工程验收行政处罚案</v>
      </c>
      <c r="D75" s="29"/>
      <c r="E75" s="28" t="s">
        <v>688</v>
      </c>
      <c r="F75" s="28" t="s">
        <v>315</v>
      </c>
      <c r="G75" s="105" t="s">
        <v>689</v>
      </c>
      <c r="H75" s="28" t="s">
        <v>635</v>
      </c>
      <c r="I75" s="44" t="s">
        <v>690</v>
      </c>
      <c r="J75" s="37" t="s">
        <v>691</v>
      </c>
      <c r="K75" s="20" t="s">
        <v>692</v>
      </c>
      <c r="L75" s="45">
        <v>44026</v>
      </c>
      <c r="M75" s="45">
        <v>44056</v>
      </c>
      <c r="N75" s="40" t="s">
        <v>207</v>
      </c>
      <c r="O75" s="46">
        <v>0.5</v>
      </c>
      <c r="P75" s="47">
        <v>44085</v>
      </c>
      <c r="Q75" s="107" t="s">
        <v>693</v>
      </c>
      <c r="R75" s="20" t="s">
        <v>282</v>
      </c>
      <c r="S75" s="77">
        <v>44060</v>
      </c>
      <c r="T75" s="77">
        <f t="shared" si="2"/>
        <v>44061</v>
      </c>
      <c r="U75" s="77" t="s">
        <v>41</v>
      </c>
      <c r="V75" s="77" t="s">
        <v>495</v>
      </c>
      <c r="W75" s="77">
        <v>44062</v>
      </c>
      <c r="X75" s="47"/>
      <c r="Y75" s="5"/>
    </row>
    <row r="76" s="4" customFormat="1" ht="57" spans="1:25">
      <c r="A76" s="28">
        <v>11</v>
      </c>
      <c r="B76" s="47" t="s">
        <v>694</v>
      </c>
      <c r="C76" s="28" t="str">
        <f t="shared" si="1"/>
        <v>姜海建未按照规定组织危大工程验收行政处罚案</v>
      </c>
      <c r="D76" s="29"/>
      <c r="E76" s="28" t="s">
        <v>695</v>
      </c>
      <c r="F76" s="28" t="s">
        <v>322</v>
      </c>
      <c r="G76" s="105" t="s">
        <v>696</v>
      </c>
      <c r="H76" s="28" t="s">
        <v>635</v>
      </c>
      <c r="I76" s="44" t="s">
        <v>697</v>
      </c>
      <c r="J76" s="37" t="s">
        <v>698</v>
      </c>
      <c r="K76" s="20" t="s">
        <v>699</v>
      </c>
      <c r="L76" s="45">
        <v>44026</v>
      </c>
      <c r="M76" s="45">
        <v>44056</v>
      </c>
      <c r="N76" s="40" t="s">
        <v>207</v>
      </c>
      <c r="O76" s="46">
        <v>0.5</v>
      </c>
      <c r="P76" s="47">
        <v>44085</v>
      </c>
      <c r="Q76" s="107" t="s">
        <v>700</v>
      </c>
      <c r="R76" s="20" t="s">
        <v>282</v>
      </c>
      <c r="S76" s="77">
        <v>44060</v>
      </c>
      <c r="T76" s="77">
        <f t="shared" si="2"/>
        <v>44061</v>
      </c>
      <c r="U76" s="77" t="s">
        <v>41</v>
      </c>
      <c r="V76" s="77" t="s">
        <v>495</v>
      </c>
      <c r="W76" s="77">
        <v>44062</v>
      </c>
      <c r="X76" s="47"/>
      <c r="Y76" s="5"/>
    </row>
    <row r="77" s="4" customFormat="1" ht="71.25" spans="1:25">
      <c r="A77" s="28">
        <v>12</v>
      </c>
      <c r="B77" s="28" t="s">
        <v>701</v>
      </c>
      <c r="C77" s="28" t="s">
        <v>702</v>
      </c>
      <c r="D77" s="29" t="s">
        <v>582</v>
      </c>
      <c r="E77" s="28" t="s">
        <v>703</v>
      </c>
      <c r="F77" s="28" t="s">
        <v>658</v>
      </c>
      <c r="G77" s="105" t="s">
        <v>704</v>
      </c>
      <c r="H77" s="28" t="s">
        <v>705</v>
      </c>
      <c r="I77" s="44" t="s">
        <v>706</v>
      </c>
      <c r="J77" s="37" t="s">
        <v>674</v>
      </c>
      <c r="K77" s="20" t="s">
        <v>707</v>
      </c>
      <c r="L77" s="45">
        <v>44048</v>
      </c>
      <c r="M77" s="45">
        <v>44101</v>
      </c>
      <c r="N77" s="40" t="s">
        <v>207</v>
      </c>
      <c r="O77" s="46">
        <v>0.3</v>
      </c>
      <c r="P77" s="47">
        <v>44125</v>
      </c>
      <c r="Q77" s="107" t="s">
        <v>708</v>
      </c>
      <c r="R77" s="20" t="s">
        <v>256</v>
      </c>
      <c r="S77" s="77">
        <v>44103</v>
      </c>
      <c r="T77" s="77">
        <v>44103</v>
      </c>
      <c r="U77" s="77" t="s">
        <v>41</v>
      </c>
      <c r="V77" s="77">
        <v>44103</v>
      </c>
      <c r="W77" s="77">
        <v>44103</v>
      </c>
      <c r="X77" s="47"/>
      <c r="Y77" s="5"/>
    </row>
    <row r="78" s="4" customFormat="1" ht="71.25" spans="1:25">
      <c r="A78" s="28">
        <v>13</v>
      </c>
      <c r="B78" s="28" t="s">
        <v>709</v>
      </c>
      <c r="C78" s="28" t="s">
        <v>710</v>
      </c>
      <c r="D78" s="29" t="s">
        <v>711</v>
      </c>
      <c r="E78" s="28" t="s">
        <v>712</v>
      </c>
      <c r="F78" s="28" t="s">
        <v>222</v>
      </c>
      <c r="G78" s="105" t="s">
        <v>713</v>
      </c>
      <c r="H78" s="28" t="s">
        <v>710</v>
      </c>
      <c r="I78" s="44" t="s">
        <v>714</v>
      </c>
      <c r="J78" s="37" t="s">
        <v>715</v>
      </c>
      <c r="K78" s="20" t="s">
        <v>716</v>
      </c>
      <c r="L78" s="39">
        <v>44117</v>
      </c>
      <c r="M78" s="45">
        <v>44144</v>
      </c>
      <c r="N78" s="40" t="s">
        <v>207</v>
      </c>
      <c r="O78" s="46">
        <v>2</v>
      </c>
      <c r="P78" s="50"/>
      <c r="Q78" s="47"/>
      <c r="R78" s="20" t="s">
        <v>377</v>
      </c>
      <c r="S78" s="77">
        <v>44148</v>
      </c>
      <c r="T78" s="77">
        <v>44148</v>
      </c>
      <c r="U78" s="77" t="s">
        <v>41</v>
      </c>
      <c r="V78" s="77">
        <v>44151</v>
      </c>
      <c r="W78" s="77">
        <v>44151</v>
      </c>
      <c r="X78" s="43"/>
      <c r="Y78" s="5"/>
    </row>
    <row r="79" s="4" customFormat="1" ht="71.25" spans="1:25">
      <c r="A79" s="28">
        <v>14</v>
      </c>
      <c r="B79" s="28" t="s">
        <v>709</v>
      </c>
      <c r="C79" s="28" t="s">
        <v>717</v>
      </c>
      <c r="D79" s="29"/>
      <c r="E79" s="27" t="s">
        <v>718</v>
      </c>
      <c r="F79" s="28" t="s">
        <v>315</v>
      </c>
      <c r="G79" s="104" t="s">
        <v>719</v>
      </c>
      <c r="H79" s="28" t="s">
        <v>720</v>
      </c>
      <c r="I79" s="44" t="s">
        <v>721</v>
      </c>
      <c r="J79" s="37" t="s">
        <v>722</v>
      </c>
      <c r="K79" s="20" t="s">
        <v>723</v>
      </c>
      <c r="L79" s="39">
        <v>44117</v>
      </c>
      <c r="M79" s="45">
        <v>44144</v>
      </c>
      <c r="N79" s="40" t="s">
        <v>207</v>
      </c>
      <c r="O79" s="46">
        <v>0.3</v>
      </c>
      <c r="P79" s="50"/>
      <c r="Q79" s="47"/>
      <c r="R79" s="20" t="s">
        <v>377</v>
      </c>
      <c r="S79" s="77">
        <v>44148</v>
      </c>
      <c r="T79" s="77">
        <v>44148</v>
      </c>
      <c r="U79" s="77" t="s">
        <v>41</v>
      </c>
      <c r="V79" s="77">
        <v>44151</v>
      </c>
      <c r="W79" s="77">
        <v>44151</v>
      </c>
      <c r="X79" s="43"/>
      <c r="Y79" s="5"/>
    </row>
    <row r="80" s="4" customFormat="1" ht="71.25" spans="1:25">
      <c r="A80" s="28">
        <v>15</v>
      </c>
      <c r="B80" s="28" t="s">
        <v>709</v>
      </c>
      <c r="C80" s="28" t="s">
        <v>724</v>
      </c>
      <c r="D80" s="29"/>
      <c r="E80" s="20" t="s">
        <v>725</v>
      </c>
      <c r="F80" s="28" t="s">
        <v>322</v>
      </c>
      <c r="G80" s="105" t="s">
        <v>726</v>
      </c>
      <c r="H80" s="28" t="s">
        <v>727</v>
      </c>
      <c r="I80" s="44" t="s">
        <v>728</v>
      </c>
      <c r="J80" s="37" t="s">
        <v>729</v>
      </c>
      <c r="K80" s="20" t="s">
        <v>730</v>
      </c>
      <c r="L80" s="39">
        <v>44117</v>
      </c>
      <c r="M80" s="45">
        <v>44144</v>
      </c>
      <c r="N80" s="40" t="s">
        <v>207</v>
      </c>
      <c r="O80" s="46">
        <v>0.3</v>
      </c>
      <c r="P80" s="50"/>
      <c r="Q80" s="47"/>
      <c r="R80" s="20" t="s">
        <v>377</v>
      </c>
      <c r="S80" s="77">
        <v>44148</v>
      </c>
      <c r="T80" s="77">
        <v>44148</v>
      </c>
      <c r="U80" s="77" t="s">
        <v>41</v>
      </c>
      <c r="V80" s="77">
        <v>44151</v>
      </c>
      <c r="W80" s="77">
        <v>44151</v>
      </c>
      <c r="X80" s="43"/>
      <c r="Y80" s="5"/>
    </row>
    <row r="81" s="5" customFormat="1" ht="57" spans="1:26">
      <c r="A81" s="28" t="s">
        <v>731</v>
      </c>
      <c r="B81" s="55">
        <v>20203000007</v>
      </c>
      <c r="C81" s="28" t="s">
        <v>608</v>
      </c>
      <c r="D81" s="29" t="s">
        <v>732</v>
      </c>
      <c r="E81" s="27" t="s">
        <v>733</v>
      </c>
      <c r="F81" s="28" t="s">
        <v>734</v>
      </c>
      <c r="G81" s="105" t="s">
        <v>735</v>
      </c>
      <c r="H81" s="28" t="s">
        <v>608</v>
      </c>
      <c r="I81" s="37" t="s">
        <v>736</v>
      </c>
      <c r="J81" s="37" t="s">
        <v>737</v>
      </c>
      <c r="K81" s="20" t="s">
        <v>738</v>
      </c>
      <c r="L81" s="39">
        <v>44183</v>
      </c>
      <c r="M81" s="39">
        <v>44257</v>
      </c>
      <c r="N81" s="40" t="s">
        <v>207</v>
      </c>
      <c r="O81" s="46">
        <v>0.4999</v>
      </c>
      <c r="P81" s="43">
        <v>44264</v>
      </c>
      <c r="Q81" s="108" t="s">
        <v>739</v>
      </c>
      <c r="R81" s="20" t="s">
        <v>256</v>
      </c>
      <c r="S81" s="77">
        <v>44259</v>
      </c>
      <c r="T81" s="77">
        <v>44260</v>
      </c>
      <c r="U81" s="77" t="s">
        <v>41</v>
      </c>
      <c r="V81" s="77">
        <v>44259</v>
      </c>
      <c r="W81" s="77">
        <v>44259</v>
      </c>
      <c r="X81" s="43" t="s">
        <v>740</v>
      </c>
      <c r="Z81" s="5" t="s">
        <v>741</v>
      </c>
    </row>
    <row r="82" s="5" customFormat="1" ht="99.75" spans="1:26">
      <c r="A82" s="28" t="s">
        <v>731</v>
      </c>
      <c r="B82" s="55">
        <v>20203000009</v>
      </c>
      <c r="C82" s="28" t="s">
        <v>702</v>
      </c>
      <c r="D82" s="26" t="s">
        <v>742</v>
      </c>
      <c r="E82" s="27" t="s">
        <v>743</v>
      </c>
      <c r="F82" s="28" t="s">
        <v>658</v>
      </c>
      <c r="G82" s="104" t="s">
        <v>744</v>
      </c>
      <c r="H82" s="20" t="s">
        <v>702</v>
      </c>
      <c r="I82" s="37" t="s">
        <v>745</v>
      </c>
      <c r="J82" s="37" t="s">
        <v>746</v>
      </c>
      <c r="K82" s="20" t="s">
        <v>747</v>
      </c>
      <c r="L82" s="39">
        <v>44190</v>
      </c>
      <c r="M82" s="39">
        <v>44257</v>
      </c>
      <c r="N82" s="40" t="s">
        <v>207</v>
      </c>
      <c r="O82" s="46">
        <v>0.3</v>
      </c>
      <c r="P82" s="43">
        <v>44264</v>
      </c>
      <c r="Q82" s="47"/>
      <c r="R82" s="20" t="s">
        <v>256</v>
      </c>
      <c r="S82" s="77">
        <v>44259</v>
      </c>
      <c r="T82" s="77">
        <v>44260</v>
      </c>
      <c r="U82" s="77" t="s">
        <v>41</v>
      </c>
      <c r="V82" s="77">
        <v>44259</v>
      </c>
      <c r="W82" s="77">
        <v>44259</v>
      </c>
      <c r="X82" s="43" t="s">
        <v>740</v>
      </c>
      <c r="Z82" s="5" t="s">
        <v>741</v>
      </c>
    </row>
    <row r="83" s="5" customFormat="1" ht="99.75" spans="1:24">
      <c r="A83" s="28">
        <v>1</v>
      </c>
      <c r="B83" s="55">
        <v>20213000011</v>
      </c>
      <c r="C83" s="28" t="s">
        <v>748</v>
      </c>
      <c r="D83" s="26" t="s">
        <v>749</v>
      </c>
      <c r="E83" s="27" t="s">
        <v>750</v>
      </c>
      <c r="F83" s="20" t="s">
        <v>214</v>
      </c>
      <c r="G83" s="104" t="s">
        <v>751</v>
      </c>
      <c r="H83" s="20" t="s">
        <v>500</v>
      </c>
      <c r="I83" s="37" t="s">
        <v>752</v>
      </c>
      <c r="J83" s="37" t="s">
        <v>753</v>
      </c>
      <c r="K83" s="20" t="s">
        <v>754</v>
      </c>
      <c r="L83" s="39">
        <v>44277</v>
      </c>
      <c r="M83" s="39">
        <v>44328</v>
      </c>
      <c r="N83" s="40" t="s">
        <v>207</v>
      </c>
      <c r="O83" s="46">
        <v>1.5</v>
      </c>
      <c r="P83" s="43">
        <v>44340</v>
      </c>
      <c r="Q83" s="47"/>
      <c r="R83" s="20" t="s">
        <v>377</v>
      </c>
      <c r="S83" s="77">
        <v>44329</v>
      </c>
      <c r="T83" s="77">
        <v>44330</v>
      </c>
      <c r="U83" s="77" t="s">
        <v>41</v>
      </c>
      <c r="V83" s="77">
        <v>44336</v>
      </c>
      <c r="W83" s="77">
        <v>44330</v>
      </c>
      <c r="X83" s="43" t="s">
        <v>755</v>
      </c>
    </row>
    <row r="84" s="5" customFormat="1" ht="114" spans="1:26">
      <c r="A84" s="28">
        <v>2</v>
      </c>
      <c r="B84" s="55">
        <v>20213000012</v>
      </c>
      <c r="C84" s="28" t="s">
        <v>748</v>
      </c>
      <c r="D84" s="26"/>
      <c r="E84" s="27" t="s">
        <v>756</v>
      </c>
      <c r="F84" s="28" t="s">
        <v>557</v>
      </c>
      <c r="G84" s="104" t="s">
        <v>757</v>
      </c>
      <c r="H84" s="20" t="s">
        <v>500</v>
      </c>
      <c r="I84" s="37" t="s">
        <v>758</v>
      </c>
      <c r="J84" s="37" t="s">
        <v>759</v>
      </c>
      <c r="K84" s="20" t="s">
        <v>760</v>
      </c>
      <c r="L84" s="39">
        <v>44277</v>
      </c>
      <c r="M84" s="39">
        <v>44328</v>
      </c>
      <c r="N84" s="40" t="s">
        <v>207</v>
      </c>
      <c r="O84" s="46">
        <v>0.25</v>
      </c>
      <c r="P84" s="43">
        <v>44340</v>
      </c>
      <c r="Q84" s="47"/>
      <c r="R84" s="20" t="s">
        <v>377</v>
      </c>
      <c r="S84" s="77">
        <v>44329</v>
      </c>
      <c r="T84" s="77">
        <v>44330</v>
      </c>
      <c r="U84" s="77" t="s">
        <v>41</v>
      </c>
      <c r="V84" s="77">
        <v>44336</v>
      </c>
      <c r="W84" s="77">
        <v>44330</v>
      </c>
      <c r="X84" s="43" t="s">
        <v>761</v>
      </c>
      <c r="Z84" s="5" t="s">
        <v>741</v>
      </c>
    </row>
    <row r="85" s="5" customFormat="1" ht="114" spans="1:26">
      <c r="A85" s="28">
        <v>3</v>
      </c>
      <c r="B85" s="55">
        <v>20213000013</v>
      </c>
      <c r="C85" s="28" t="str">
        <f>_xlfn.CONCAT(E85,H85,"行政处罚案")</f>
        <v>黄国林未按规定建立危大工程安全管理档案行政处罚案</v>
      </c>
      <c r="D85" s="26"/>
      <c r="E85" s="27" t="s">
        <v>762</v>
      </c>
      <c r="F85" s="28" t="s">
        <v>565</v>
      </c>
      <c r="G85" s="104" t="s">
        <v>763</v>
      </c>
      <c r="H85" s="20" t="s">
        <v>500</v>
      </c>
      <c r="I85" s="62" t="s">
        <v>764</v>
      </c>
      <c r="J85" s="37" t="s">
        <v>765</v>
      </c>
      <c r="K85" s="20" t="s">
        <v>766</v>
      </c>
      <c r="L85" s="39">
        <v>44277</v>
      </c>
      <c r="M85" s="39">
        <v>44328</v>
      </c>
      <c r="N85" s="40" t="s">
        <v>207</v>
      </c>
      <c r="O85" s="46">
        <v>0.25</v>
      </c>
      <c r="P85" s="43">
        <v>44340</v>
      </c>
      <c r="Q85" s="47"/>
      <c r="R85" s="20" t="s">
        <v>377</v>
      </c>
      <c r="S85" s="77">
        <v>44329</v>
      </c>
      <c r="T85" s="77">
        <v>44330</v>
      </c>
      <c r="U85" s="77" t="s">
        <v>41</v>
      </c>
      <c r="V85" s="77">
        <v>44336</v>
      </c>
      <c r="W85" s="77">
        <v>44330</v>
      </c>
      <c r="X85" s="43" t="s">
        <v>761</v>
      </c>
      <c r="Z85" s="5" t="s">
        <v>741</v>
      </c>
    </row>
    <row r="86" s="5" customFormat="1" ht="57" spans="1:24">
      <c r="A86" s="28">
        <v>4</v>
      </c>
      <c r="B86" s="55">
        <v>20213000055</v>
      </c>
      <c r="C86" s="28" t="s">
        <v>767</v>
      </c>
      <c r="D86" s="26" t="s">
        <v>768</v>
      </c>
      <c r="E86" s="27" t="s">
        <v>769</v>
      </c>
      <c r="F86" s="20" t="s">
        <v>222</v>
      </c>
      <c r="G86" s="104" t="s">
        <v>770</v>
      </c>
      <c r="H86" s="20" t="s">
        <v>771</v>
      </c>
      <c r="I86" s="42" t="s">
        <v>772</v>
      </c>
      <c r="J86" s="37" t="s">
        <v>773</v>
      </c>
      <c r="K86" s="43" t="s">
        <v>774</v>
      </c>
      <c r="L86" s="39">
        <v>44322</v>
      </c>
      <c r="M86" s="39">
        <v>44376</v>
      </c>
      <c r="N86" s="40" t="s">
        <v>207</v>
      </c>
      <c r="O86" s="46">
        <v>2.5</v>
      </c>
      <c r="P86" s="43">
        <v>44382</v>
      </c>
      <c r="Q86" s="47"/>
      <c r="R86" s="20" t="s">
        <v>256</v>
      </c>
      <c r="S86" s="79">
        <v>44382</v>
      </c>
      <c r="T86" s="79">
        <v>44382</v>
      </c>
      <c r="U86" s="77" t="s">
        <v>41</v>
      </c>
      <c r="V86" s="77">
        <v>44378</v>
      </c>
      <c r="W86" s="77">
        <v>44378</v>
      </c>
      <c r="X86" s="43" t="s">
        <v>775</v>
      </c>
    </row>
    <row r="87" s="5" customFormat="1" ht="99.75" spans="1:25">
      <c r="A87" s="28">
        <v>5</v>
      </c>
      <c r="B87" s="55">
        <v>20213000064</v>
      </c>
      <c r="C87" s="28" t="s">
        <v>776</v>
      </c>
      <c r="D87" s="26" t="s">
        <v>777</v>
      </c>
      <c r="E87" s="27" t="s">
        <v>778</v>
      </c>
      <c r="F87" s="20" t="s">
        <v>222</v>
      </c>
      <c r="G87" s="104" t="s">
        <v>779</v>
      </c>
      <c r="H87" s="20" t="s">
        <v>635</v>
      </c>
      <c r="I87" s="37" t="s">
        <v>780</v>
      </c>
      <c r="J87" s="37" t="s">
        <v>781</v>
      </c>
      <c r="K87" s="43" t="s">
        <v>782</v>
      </c>
      <c r="L87" s="39">
        <v>44326</v>
      </c>
      <c r="M87" s="39">
        <v>44376</v>
      </c>
      <c r="N87" s="40" t="s">
        <v>207</v>
      </c>
      <c r="O87" s="46">
        <v>1.6</v>
      </c>
      <c r="P87" s="43">
        <v>44396</v>
      </c>
      <c r="Q87" s="43"/>
      <c r="R87" s="20" t="s">
        <v>282</v>
      </c>
      <c r="S87" s="79">
        <v>44382</v>
      </c>
      <c r="T87" s="79">
        <v>44382</v>
      </c>
      <c r="U87" s="77" t="s">
        <v>41</v>
      </c>
      <c r="V87" s="77">
        <v>44378</v>
      </c>
      <c r="W87" s="77">
        <v>44378</v>
      </c>
      <c r="X87" s="43"/>
      <c r="Y87" s="5" t="s">
        <v>783</v>
      </c>
    </row>
    <row r="88" s="5" customFormat="1" ht="99.75" spans="1:25">
      <c r="A88" s="28">
        <v>6</v>
      </c>
      <c r="B88" s="55">
        <v>20213000067</v>
      </c>
      <c r="C88" s="28" t="s">
        <v>784</v>
      </c>
      <c r="D88" s="26"/>
      <c r="E88" s="27" t="s">
        <v>785</v>
      </c>
      <c r="F88" s="20" t="s">
        <v>315</v>
      </c>
      <c r="G88" s="104" t="s">
        <v>786</v>
      </c>
      <c r="H88" s="20" t="s">
        <v>635</v>
      </c>
      <c r="I88" s="37" t="s">
        <v>787</v>
      </c>
      <c r="J88" s="37" t="s">
        <v>788</v>
      </c>
      <c r="K88" s="43" t="s">
        <v>789</v>
      </c>
      <c r="L88" s="39">
        <v>44326</v>
      </c>
      <c r="M88" s="39">
        <v>44376</v>
      </c>
      <c r="N88" s="40" t="s">
        <v>207</v>
      </c>
      <c r="O88" s="46">
        <v>0.25</v>
      </c>
      <c r="P88" s="43">
        <v>44396</v>
      </c>
      <c r="Q88" s="43"/>
      <c r="R88" s="20" t="s">
        <v>282</v>
      </c>
      <c r="S88" s="79">
        <v>44382</v>
      </c>
      <c r="T88" s="79">
        <v>44382</v>
      </c>
      <c r="U88" s="77" t="s">
        <v>41</v>
      </c>
      <c r="V88" s="77">
        <v>44378</v>
      </c>
      <c r="W88" s="77">
        <v>44378</v>
      </c>
      <c r="X88" s="43"/>
      <c r="Y88" s="5" t="s">
        <v>783</v>
      </c>
    </row>
    <row r="89" s="5" customFormat="1" ht="99.75" spans="1:26">
      <c r="A89" s="28">
        <v>7</v>
      </c>
      <c r="B89" s="55">
        <v>20213000067</v>
      </c>
      <c r="C89" s="28" t="s">
        <v>790</v>
      </c>
      <c r="D89" s="26"/>
      <c r="E89" s="27" t="s">
        <v>791</v>
      </c>
      <c r="F89" s="20" t="s">
        <v>322</v>
      </c>
      <c r="G89" s="104" t="s">
        <v>792</v>
      </c>
      <c r="H89" s="20" t="s">
        <v>635</v>
      </c>
      <c r="I89" s="37" t="s">
        <v>793</v>
      </c>
      <c r="J89" s="37" t="s">
        <v>794</v>
      </c>
      <c r="K89" s="43" t="s">
        <v>795</v>
      </c>
      <c r="L89" s="39">
        <v>44326</v>
      </c>
      <c r="M89" s="39">
        <v>44376</v>
      </c>
      <c r="N89" s="40" t="s">
        <v>207</v>
      </c>
      <c r="O89" s="46">
        <v>0.25</v>
      </c>
      <c r="P89" s="43">
        <v>44396</v>
      </c>
      <c r="Q89" s="43"/>
      <c r="R89" s="20" t="s">
        <v>282</v>
      </c>
      <c r="S89" s="79">
        <v>44382</v>
      </c>
      <c r="T89" s="79">
        <v>44382</v>
      </c>
      <c r="U89" s="77" t="s">
        <v>41</v>
      </c>
      <c r="V89" s="77">
        <v>44378</v>
      </c>
      <c r="W89" s="77">
        <v>44378</v>
      </c>
      <c r="X89" s="43" t="s">
        <v>796</v>
      </c>
      <c r="Y89" s="5" t="s">
        <v>783</v>
      </c>
      <c r="Z89" s="5" t="s">
        <v>741</v>
      </c>
    </row>
    <row r="90" ht="71.25" spans="1:26">
      <c r="A90" s="28">
        <v>8</v>
      </c>
      <c r="B90" s="55" t="s">
        <v>797</v>
      </c>
      <c r="C90" s="28" t="s">
        <v>798</v>
      </c>
      <c r="D90" s="26" t="s">
        <v>799</v>
      </c>
      <c r="E90" s="27" t="s">
        <v>800</v>
      </c>
      <c r="F90" s="20" t="s">
        <v>222</v>
      </c>
      <c r="G90" s="104" t="s">
        <v>801</v>
      </c>
      <c r="H90" s="20" t="s">
        <v>490</v>
      </c>
      <c r="I90" s="42" t="s">
        <v>802</v>
      </c>
      <c r="J90" s="37" t="s">
        <v>803</v>
      </c>
      <c r="K90" s="43" t="s">
        <v>804</v>
      </c>
      <c r="L90" s="39">
        <v>44350</v>
      </c>
      <c r="M90" s="39">
        <v>44389</v>
      </c>
      <c r="N90" s="40" t="s">
        <v>207</v>
      </c>
      <c r="O90" s="46">
        <v>3</v>
      </c>
      <c r="P90" s="43">
        <v>44400</v>
      </c>
      <c r="Q90" s="43"/>
      <c r="R90" s="20" t="s">
        <v>282</v>
      </c>
      <c r="S90" s="79">
        <v>44391</v>
      </c>
      <c r="T90" s="77">
        <v>44392</v>
      </c>
      <c r="U90" s="77" t="s">
        <v>41</v>
      </c>
      <c r="V90" s="77">
        <v>44391</v>
      </c>
      <c r="W90" s="77">
        <v>44392</v>
      </c>
      <c r="X90" s="43" t="s">
        <v>775</v>
      </c>
      <c r="Z90" s="5"/>
    </row>
    <row r="91" ht="85.5" spans="1:26">
      <c r="A91" s="28">
        <v>9</v>
      </c>
      <c r="B91" s="55" t="s">
        <v>805</v>
      </c>
      <c r="C91" s="28" t="s">
        <v>806</v>
      </c>
      <c r="D91" s="26" t="s">
        <v>807</v>
      </c>
      <c r="E91" s="27" t="s">
        <v>808</v>
      </c>
      <c r="F91" s="20" t="s">
        <v>222</v>
      </c>
      <c r="G91" s="104" t="s">
        <v>809</v>
      </c>
      <c r="H91" s="20" t="s">
        <v>771</v>
      </c>
      <c r="I91" s="42" t="s">
        <v>810</v>
      </c>
      <c r="J91" s="37" t="s">
        <v>811</v>
      </c>
      <c r="K91" s="43" t="s">
        <v>812</v>
      </c>
      <c r="L91" s="39">
        <v>44367</v>
      </c>
      <c r="M91" s="39">
        <v>44390</v>
      </c>
      <c r="N91" s="40" t="s">
        <v>207</v>
      </c>
      <c r="O91" s="46">
        <v>2.5</v>
      </c>
      <c r="P91" s="43">
        <v>44404</v>
      </c>
      <c r="Q91" s="43"/>
      <c r="R91" s="20" t="s">
        <v>377</v>
      </c>
      <c r="S91" s="79">
        <v>44390</v>
      </c>
      <c r="T91" s="77">
        <v>44392</v>
      </c>
      <c r="U91" s="77" t="s">
        <v>41</v>
      </c>
      <c r="V91" s="77">
        <v>44391</v>
      </c>
      <c r="W91" s="77">
        <v>44391</v>
      </c>
      <c r="X91" s="43" t="s">
        <v>775</v>
      </c>
      <c r="Y91" s="7" t="s">
        <v>783</v>
      </c>
      <c r="Z91" s="5"/>
    </row>
    <row r="92" ht="71.25" spans="1:26">
      <c r="A92" s="28">
        <v>10</v>
      </c>
      <c r="B92" s="55" t="s">
        <v>813</v>
      </c>
      <c r="C92" s="28" t="s">
        <v>814</v>
      </c>
      <c r="D92" s="26" t="s">
        <v>815</v>
      </c>
      <c r="E92" s="27" t="s">
        <v>816</v>
      </c>
      <c r="F92" s="20" t="s">
        <v>222</v>
      </c>
      <c r="G92" s="104" t="s">
        <v>817</v>
      </c>
      <c r="H92" s="20" t="s">
        <v>490</v>
      </c>
      <c r="I92" s="42" t="s">
        <v>818</v>
      </c>
      <c r="J92" s="37" t="s">
        <v>819</v>
      </c>
      <c r="K92" s="43" t="s">
        <v>820</v>
      </c>
      <c r="L92" s="39">
        <v>44367</v>
      </c>
      <c r="M92" s="39">
        <v>44389</v>
      </c>
      <c r="N92" s="40" t="s">
        <v>207</v>
      </c>
      <c r="O92" s="46">
        <v>2.5</v>
      </c>
      <c r="P92" s="43">
        <v>44400</v>
      </c>
      <c r="Q92" s="43"/>
      <c r="R92" s="20" t="s">
        <v>282</v>
      </c>
      <c r="S92" s="79">
        <v>44391</v>
      </c>
      <c r="T92" s="77">
        <v>44392</v>
      </c>
      <c r="U92" s="77" t="s">
        <v>41</v>
      </c>
      <c r="V92" s="77">
        <v>44391</v>
      </c>
      <c r="W92" s="77">
        <v>44392</v>
      </c>
      <c r="X92" s="43"/>
      <c r="Z92" s="5"/>
    </row>
    <row r="93" ht="85.5" spans="1:26">
      <c r="A93" s="28">
        <v>11</v>
      </c>
      <c r="B93" s="55" t="s">
        <v>821</v>
      </c>
      <c r="C93" s="28" t="s">
        <v>767</v>
      </c>
      <c r="D93" s="26" t="s">
        <v>822</v>
      </c>
      <c r="E93" s="27" t="s">
        <v>823</v>
      </c>
      <c r="F93" s="20" t="s">
        <v>222</v>
      </c>
      <c r="G93" s="104" t="s">
        <v>824</v>
      </c>
      <c r="H93" s="20" t="s">
        <v>771</v>
      </c>
      <c r="I93" s="42" t="s">
        <v>825</v>
      </c>
      <c r="J93" s="37" t="s">
        <v>826</v>
      </c>
      <c r="K93" s="43" t="s">
        <v>827</v>
      </c>
      <c r="L93" s="39">
        <v>44367</v>
      </c>
      <c r="M93" s="39">
        <v>44391</v>
      </c>
      <c r="N93" s="40" t="s">
        <v>207</v>
      </c>
      <c r="O93" s="46">
        <v>2.5</v>
      </c>
      <c r="P93" s="43">
        <v>44396</v>
      </c>
      <c r="Q93" s="43"/>
      <c r="R93" s="20" t="s">
        <v>256</v>
      </c>
      <c r="S93" s="79">
        <v>44393</v>
      </c>
      <c r="T93" s="77">
        <v>44393</v>
      </c>
      <c r="U93" s="77" t="s">
        <v>41</v>
      </c>
      <c r="V93" s="77">
        <v>44393</v>
      </c>
      <c r="W93" s="77">
        <v>44393</v>
      </c>
      <c r="X93" s="43"/>
      <c r="Z93" s="5"/>
    </row>
    <row r="94" ht="71.25" spans="1:26">
      <c r="A94" s="28">
        <v>12</v>
      </c>
      <c r="B94" s="55" t="s">
        <v>828</v>
      </c>
      <c r="C94" s="28" t="s">
        <v>829</v>
      </c>
      <c r="D94" s="26" t="s">
        <v>830</v>
      </c>
      <c r="E94" s="27" t="s">
        <v>831</v>
      </c>
      <c r="F94" s="20" t="s">
        <v>222</v>
      </c>
      <c r="G94" s="104" t="s">
        <v>832</v>
      </c>
      <c r="H94" s="20" t="s">
        <v>771</v>
      </c>
      <c r="I94" s="42" t="s">
        <v>833</v>
      </c>
      <c r="J94" s="37" t="s">
        <v>834</v>
      </c>
      <c r="K94" s="43" t="s">
        <v>835</v>
      </c>
      <c r="L94" s="39">
        <v>44427</v>
      </c>
      <c r="M94" s="39">
        <v>44466</v>
      </c>
      <c r="N94" s="40" t="s">
        <v>207</v>
      </c>
      <c r="O94" s="46">
        <v>5.5</v>
      </c>
      <c r="P94" s="43">
        <v>44488</v>
      </c>
      <c r="Q94" s="43"/>
      <c r="R94" s="20" t="s">
        <v>256</v>
      </c>
      <c r="S94" s="79">
        <v>44467</v>
      </c>
      <c r="T94" s="77">
        <v>44467</v>
      </c>
      <c r="U94" s="77" t="s">
        <v>41</v>
      </c>
      <c r="V94" s="77">
        <v>44467</v>
      </c>
      <c r="W94" s="77">
        <v>44467</v>
      </c>
      <c r="X94" s="43"/>
      <c r="Z94" s="5"/>
    </row>
    <row r="95" ht="85.5" customHeight="1" spans="1:26">
      <c r="A95" s="28">
        <v>13</v>
      </c>
      <c r="B95" s="55" t="s">
        <v>836</v>
      </c>
      <c r="C95" s="20" t="s">
        <v>608</v>
      </c>
      <c r="D95" s="26" t="s">
        <v>837</v>
      </c>
      <c r="E95" s="27" t="s">
        <v>838</v>
      </c>
      <c r="F95" s="20" t="s">
        <v>658</v>
      </c>
      <c r="G95" s="104" t="s">
        <v>839</v>
      </c>
      <c r="H95" s="20" t="s">
        <v>608</v>
      </c>
      <c r="I95" s="37" t="s">
        <v>840</v>
      </c>
      <c r="J95" s="37" t="s">
        <v>841</v>
      </c>
      <c r="K95" s="43" t="s">
        <v>842</v>
      </c>
      <c r="L95" s="39">
        <v>44504</v>
      </c>
      <c r="M95" s="39">
        <v>44529</v>
      </c>
      <c r="N95" s="40" t="s">
        <v>207</v>
      </c>
      <c r="O95" s="46">
        <v>0.3</v>
      </c>
      <c r="P95" s="43">
        <v>44546</v>
      </c>
      <c r="Q95" s="43"/>
      <c r="R95" s="20" t="s">
        <v>377</v>
      </c>
      <c r="S95" s="79">
        <v>44530</v>
      </c>
      <c r="T95" s="79">
        <v>44530</v>
      </c>
      <c r="U95" s="77" t="s">
        <v>41</v>
      </c>
      <c r="V95" s="79">
        <v>44530</v>
      </c>
      <c r="W95" s="79">
        <v>44530</v>
      </c>
      <c r="X95" s="43"/>
      <c r="Z95" s="5"/>
    </row>
    <row r="96" ht="85.5" spans="1:24">
      <c r="A96" s="28">
        <v>14</v>
      </c>
      <c r="B96" s="55" t="s">
        <v>843</v>
      </c>
      <c r="C96" s="28" t="s">
        <v>844</v>
      </c>
      <c r="D96" s="26" t="s">
        <v>845</v>
      </c>
      <c r="E96" s="27" t="s">
        <v>846</v>
      </c>
      <c r="F96" s="20" t="s">
        <v>222</v>
      </c>
      <c r="G96" s="104" t="s">
        <v>847</v>
      </c>
      <c r="H96" s="20" t="s">
        <v>490</v>
      </c>
      <c r="I96" s="42" t="s">
        <v>848</v>
      </c>
      <c r="J96" s="37" t="s">
        <v>849</v>
      </c>
      <c r="K96" s="43" t="s">
        <v>850</v>
      </c>
      <c r="L96" s="39">
        <v>44539</v>
      </c>
      <c r="M96" s="39">
        <v>44578</v>
      </c>
      <c r="N96" s="40" t="s">
        <v>207</v>
      </c>
      <c r="O96" s="46">
        <v>5.5</v>
      </c>
      <c r="P96" s="43">
        <v>44586</v>
      </c>
      <c r="Q96" s="43"/>
      <c r="R96" s="20" t="s">
        <v>282</v>
      </c>
      <c r="S96" s="79">
        <v>44580</v>
      </c>
      <c r="T96" s="79">
        <v>44580</v>
      </c>
      <c r="U96" s="77" t="s">
        <v>41</v>
      </c>
      <c r="V96" s="77">
        <v>44579</v>
      </c>
      <c r="W96" s="77">
        <v>44579</v>
      </c>
      <c r="X96" s="43" t="s">
        <v>851</v>
      </c>
    </row>
    <row r="97" ht="114" spans="1:26">
      <c r="A97" s="28">
        <v>15</v>
      </c>
      <c r="B97" s="55" t="s">
        <v>852</v>
      </c>
      <c r="C97" s="28" t="s">
        <v>702</v>
      </c>
      <c r="D97" s="26" t="s">
        <v>853</v>
      </c>
      <c r="E97" s="27" t="s">
        <v>854</v>
      </c>
      <c r="F97" s="20" t="s">
        <v>658</v>
      </c>
      <c r="G97" s="104" t="s">
        <v>855</v>
      </c>
      <c r="H97" s="20" t="s">
        <v>702</v>
      </c>
      <c r="I97" s="37" t="s">
        <v>856</v>
      </c>
      <c r="J97" s="37" t="s">
        <v>857</v>
      </c>
      <c r="K97" s="43" t="s">
        <v>858</v>
      </c>
      <c r="L97" s="39">
        <v>44532</v>
      </c>
      <c r="M97" s="39">
        <v>44558</v>
      </c>
      <c r="N97" s="40" t="s">
        <v>207</v>
      </c>
      <c r="O97" s="46">
        <v>0.3</v>
      </c>
      <c r="P97" s="43">
        <v>44559</v>
      </c>
      <c r="Q97" s="43"/>
      <c r="R97" s="20" t="s">
        <v>256</v>
      </c>
      <c r="S97" s="79">
        <v>44559</v>
      </c>
      <c r="T97" s="79">
        <v>44559</v>
      </c>
      <c r="U97" s="77" t="s">
        <v>41</v>
      </c>
      <c r="V97" s="77">
        <v>44559</v>
      </c>
      <c r="W97" s="77">
        <v>44559</v>
      </c>
      <c r="X97" s="43"/>
      <c r="Z97" s="5"/>
    </row>
    <row r="98" ht="82.5" customHeight="1" spans="1:24">
      <c r="A98" s="28">
        <v>16</v>
      </c>
      <c r="B98" s="55" t="s">
        <v>859</v>
      </c>
      <c r="C98" s="28" t="s">
        <v>860</v>
      </c>
      <c r="D98" s="56" t="s">
        <v>861</v>
      </c>
      <c r="E98" s="27" t="s">
        <v>862</v>
      </c>
      <c r="F98" s="20" t="s">
        <v>214</v>
      </c>
      <c r="G98" s="104" t="s">
        <v>863</v>
      </c>
      <c r="H98" s="20" t="s">
        <v>860</v>
      </c>
      <c r="I98" s="37" t="s">
        <v>864</v>
      </c>
      <c r="J98" s="37" t="s">
        <v>865</v>
      </c>
      <c r="K98" s="43" t="s">
        <v>866</v>
      </c>
      <c r="L98" s="39">
        <v>44543</v>
      </c>
      <c r="M98" s="39">
        <v>44574</v>
      </c>
      <c r="N98" s="40" t="s">
        <v>207</v>
      </c>
      <c r="O98" s="46">
        <v>1.2</v>
      </c>
      <c r="P98" s="43">
        <v>44585</v>
      </c>
      <c r="Q98" s="43"/>
      <c r="R98" s="20" t="s">
        <v>256</v>
      </c>
      <c r="S98" s="79">
        <v>44575</v>
      </c>
      <c r="T98" s="79">
        <v>44575</v>
      </c>
      <c r="U98" s="77" t="s">
        <v>41</v>
      </c>
      <c r="V98" s="77">
        <v>44575</v>
      </c>
      <c r="W98" s="77">
        <v>44575</v>
      </c>
      <c r="X98" s="43" t="s">
        <v>851</v>
      </c>
    </row>
    <row r="99" ht="71.25" spans="1:24">
      <c r="A99" s="28">
        <v>17</v>
      </c>
      <c r="B99" s="55" t="s">
        <v>867</v>
      </c>
      <c r="C99" s="28" t="s">
        <v>860</v>
      </c>
      <c r="D99" s="57"/>
      <c r="E99" s="27" t="s">
        <v>868</v>
      </c>
      <c r="F99" s="20" t="s">
        <v>557</v>
      </c>
      <c r="G99" s="104" t="s">
        <v>869</v>
      </c>
      <c r="H99" s="20" t="s">
        <v>860</v>
      </c>
      <c r="I99" s="37" t="s">
        <v>870</v>
      </c>
      <c r="J99" s="37" t="s">
        <v>871</v>
      </c>
      <c r="K99" s="43" t="s">
        <v>872</v>
      </c>
      <c r="L99" s="39">
        <v>44543</v>
      </c>
      <c r="M99" s="39">
        <v>44574</v>
      </c>
      <c r="N99" s="40" t="s">
        <v>207</v>
      </c>
      <c r="O99" s="46">
        <v>0.2</v>
      </c>
      <c r="P99" s="43">
        <v>44585</v>
      </c>
      <c r="Q99" s="43"/>
      <c r="R99" s="20" t="s">
        <v>256</v>
      </c>
      <c r="S99" s="79">
        <v>44575</v>
      </c>
      <c r="T99" s="79">
        <v>44575</v>
      </c>
      <c r="U99" s="77" t="s">
        <v>41</v>
      </c>
      <c r="V99" s="77">
        <v>44575</v>
      </c>
      <c r="W99" s="77">
        <v>44575</v>
      </c>
      <c r="X99" s="43" t="s">
        <v>851</v>
      </c>
    </row>
    <row r="100" ht="85.5" spans="1:24">
      <c r="A100" s="28">
        <v>18</v>
      </c>
      <c r="B100" s="55" t="s">
        <v>873</v>
      </c>
      <c r="C100" s="28" t="s">
        <v>874</v>
      </c>
      <c r="D100" s="26" t="s">
        <v>875</v>
      </c>
      <c r="E100" s="27" t="s">
        <v>876</v>
      </c>
      <c r="F100" s="20" t="s">
        <v>222</v>
      </c>
      <c r="G100" s="104" t="s">
        <v>877</v>
      </c>
      <c r="H100" s="20" t="s">
        <v>490</v>
      </c>
      <c r="I100" s="42" t="s">
        <v>878</v>
      </c>
      <c r="J100" s="37" t="s">
        <v>879</v>
      </c>
      <c r="K100" s="43" t="s">
        <v>880</v>
      </c>
      <c r="L100" s="39">
        <v>44543</v>
      </c>
      <c r="M100" s="39">
        <v>44579</v>
      </c>
      <c r="N100" s="40" t="s">
        <v>207</v>
      </c>
      <c r="O100" s="46">
        <v>9.25</v>
      </c>
      <c r="P100" s="43">
        <v>44586</v>
      </c>
      <c r="Q100" s="43"/>
      <c r="R100" s="20" t="s">
        <v>377</v>
      </c>
      <c r="S100" s="79">
        <v>44580</v>
      </c>
      <c r="T100" s="79">
        <v>44580</v>
      </c>
      <c r="U100" s="77" t="s">
        <v>41</v>
      </c>
      <c r="V100" s="77">
        <v>44579</v>
      </c>
      <c r="W100" s="77">
        <v>44579</v>
      </c>
      <c r="X100" s="43" t="s">
        <v>851</v>
      </c>
    </row>
    <row r="101" ht="57" spans="1:24">
      <c r="A101" s="28">
        <v>1</v>
      </c>
      <c r="B101" s="55" t="s">
        <v>881</v>
      </c>
      <c r="C101" s="28" t="s">
        <v>882</v>
      </c>
      <c r="D101" s="56" t="s">
        <v>883</v>
      </c>
      <c r="E101" s="27" t="s">
        <v>884</v>
      </c>
      <c r="F101" s="20" t="s">
        <v>222</v>
      </c>
      <c r="G101" s="104" t="s">
        <v>338</v>
      </c>
      <c r="H101" s="20" t="s">
        <v>500</v>
      </c>
      <c r="I101" s="37" t="s">
        <v>885</v>
      </c>
      <c r="J101" s="37" t="s">
        <v>886</v>
      </c>
      <c r="K101" s="43" t="s">
        <v>887</v>
      </c>
      <c r="L101" s="39">
        <v>44578</v>
      </c>
      <c r="M101" s="39">
        <v>44631</v>
      </c>
      <c r="N101" s="40" t="s">
        <v>207</v>
      </c>
      <c r="O101" s="46">
        <v>1.2</v>
      </c>
      <c r="P101" s="43">
        <v>44642</v>
      </c>
      <c r="Q101" s="43"/>
      <c r="R101" s="20" t="s">
        <v>377</v>
      </c>
      <c r="S101" s="79">
        <v>44634</v>
      </c>
      <c r="T101" s="79">
        <v>44637</v>
      </c>
      <c r="U101" s="77" t="s">
        <v>41</v>
      </c>
      <c r="V101" s="77">
        <v>44637</v>
      </c>
      <c r="W101" s="77">
        <v>44637</v>
      </c>
      <c r="X101" s="43" t="s">
        <v>888</v>
      </c>
    </row>
    <row r="102" ht="71.25" spans="1:24">
      <c r="A102" s="28">
        <v>2</v>
      </c>
      <c r="B102" s="55" t="s">
        <v>889</v>
      </c>
      <c r="C102" s="28" t="s">
        <v>882</v>
      </c>
      <c r="D102" s="58"/>
      <c r="E102" s="27" t="s">
        <v>890</v>
      </c>
      <c r="F102" s="20" t="s">
        <v>315</v>
      </c>
      <c r="G102" s="104" t="s">
        <v>891</v>
      </c>
      <c r="H102" s="20" t="s">
        <v>500</v>
      </c>
      <c r="I102" s="37" t="s">
        <v>892</v>
      </c>
      <c r="J102" s="37" t="s">
        <v>893</v>
      </c>
      <c r="K102" s="43" t="s">
        <v>894</v>
      </c>
      <c r="L102" s="39">
        <v>44578</v>
      </c>
      <c r="M102" s="39">
        <v>44631</v>
      </c>
      <c r="N102" s="40" t="s">
        <v>207</v>
      </c>
      <c r="O102" s="46">
        <v>0.2</v>
      </c>
      <c r="P102" s="43">
        <v>44642</v>
      </c>
      <c r="Q102" s="43"/>
      <c r="R102" s="20" t="s">
        <v>377</v>
      </c>
      <c r="S102" s="79">
        <v>44634</v>
      </c>
      <c r="T102" s="79">
        <v>44637</v>
      </c>
      <c r="U102" s="77" t="s">
        <v>41</v>
      </c>
      <c r="V102" s="77">
        <v>44637</v>
      </c>
      <c r="W102" s="77">
        <v>44637</v>
      </c>
      <c r="X102" s="43" t="s">
        <v>888</v>
      </c>
    </row>
    <row r="103" ht="85.5" spans="1:24">
      <c r="A103" s="28">
        <v>3</v>
      </c>
      <c r="B103" s="55" t="s">
        <v>895</v>
      </c>
      <c r="C103" s="28" t="s">
        <v>882</v>
      </c>
      <c r="D103" s="57"/>
      <c r="E103" s="27" t="s">
        <v>896</v>
      </c>
      <c r="F103" s="20" t="s">
        <v>322</v>
      </c>
      <c r="G103" s="104" t="s">
        <v>897</v>
      </c>
      <c r="H103" s="20" t="s">
        <v>500</v>
      </c>
      <c r="I103" s="37" t="s">
        <v>898</v>
      </c>
      <c r="J103" s="37" t="s">
        <v>899</v>
      </c>
      <c r="K103" s="43" t="s">
        <v>900</v>
      </c>
      <c r="L103" s="39">
        <v>44578</v>
      </c>
      <c r="M103" s="39">
        <v>44631</v>
      </c>
      <c r="N103" s="40" t="s">
        <v>207</v>
      </c>
      <c r="O103" s="46">
        <v>0.2</v>
      </c>
      <c r="P103" s="43">
        <v>44642</v>
      </c>
      <c r="Q103" s="43"/>
      <c r="R103" s="20" t="s">
        <v>377</v>
      </c>
      <c r="S103" s="79">
        <v>44634</v>
      </c>
      <c r="T103" s="79">
        <v>44637</v>
      </c>
      <c r="U103" s="77" t="s">
        <v>41</v>
      </c>
      <c r="V103" s="77">
        <v>44637</v>
      </c>
      <c r="W103" s="77">
        <v>44637</v>
      </c>
      <c r="X103" s="43" t="s">
        <v>901</v>
      </c>
    </row>
    <row r="104" s="6" customFormat="1" ht="71.25" spans="1:24">
      <c r="A104" s="20">
        <v>4</v>
      </c>
      <c r="B104" s="27" t="s">
        <v>902</v>
      </c>
      <c r="C104" s="20" t="s">
        <v>903</v>
      </c>
      <c r="D104" s="26" t="s">
        <v>904</v>
      </c>
      <c r="E104" s="27" t="s">
        <v>905</v>
      </c>
      <c r="F104" s="20" t="s">
        <v>222</v>
      </c>
      <c r="G104" s="104" t="s">
        <v>906</v>
      </c>
      <c r="H104" s="20" t="s">
        <v>907</v>
      </c>
      <c r="I104" s="37" t="s">
        <v>908</v>
      </c>
      <c r="J104" s="37" t="s">
        <v>909</v>
      </c>
      <c r="K104" s="43" t="s">
        <v>910</v>
      </c>
      <c r="L104" s="39">
        <v>44578</v>
      </c>
      <c r="M104" s="39">
        <v>44648</v>
      </c>
      <c r="N104" s="66" t="s">
        <v>440</v>
      </c>
      <c r="O104" s="41">
        <v>1</v>
      </c>
      <c r="P104" s="43">
        <v>44654</v>
      </c>
      <c r="Q104" s="43"/>
      <c r="R104" s="20" t="s">
        <v>282</v>
      </c>
      <c r="S104" s="79">
        <v>44650</v>
      </c>
      <c r="T104" s="79">
        <v>44650</v>
      </c>
      <c r="U104" s="79" t="s">
        <v>41</v>
      </c>
      <c r="V104" s="79">
        <v>44651</v>
      </c>
      <c r="W104" s="79">
        <v>44651</v>
      </c>
      <c r="X104" s="43" t="s">
        <v>911</v>
      </c>
    </row>
    <row r="105" ht="71.25" spans="1:24">
      <c r="A105" s="28">
        <v>5</v>
      </c>
      <c r="B105" s="55" t="s">
        <v>912</v>
      </c>
      <c r="C105" s="28" t="s">
        <v>913</v>
      </c>
      <c r="D105" s="26" t="s">
        <v>914</v>
      </c>
      <c r="E105" s="27" t="s">
        <v>915</v>
      </c>
      <c r="F105" s="20" t="s">
        <v>222</v>
      </c>
      <c r="G105" s="104" t="s">
        <v>916</v>
      </c>
      <c r="H105" s="20" t="s">
        <v>917</v>
      </c>
      <c r="I105" s="37" t="s">
        <v>918</v>
      </c>
      <c r="J105" s="37" t="s">
        <v>919</v>
      </c>
      <c r="K105" s="43" t="s">
        <v>920</v>
      </c>
      <c r="L105" s="39">
        <v>44719</v>
      </c>
      <c r="M105" s="39">
        <v>44767</v>
      </c>
      <c r="N105" s="40" t="s">
        <v>207</v>
      </c>
      <c r="O105" s="46">
        <v>5</v>
      </c>
      <c r="P105" s="43">
        <v>44852</v>
      </c>
      <c r="Q105" s="43"/>
      <c r="R105" s="20" t="s">
        <v>282</v>
      </c>
      <c r="S105" s="79">
        <v>44768</v>
      </c>
      <c r="T105" s="79">
        <v>44768</v>
      </c>
      <c r="U105" s="77" t="s">
        <v>41</v>
      </c>
      <c r="V105" s="77">
        <v>44768</v>
      </c>
      <c r="W105" s="77">
        <v>44768</v>
      </c>
      <c r="X105" s="43" t="s">
        <v>921</v>
      </c>
    </row>
    <row r="106" ht="71.25" spans="1:24">
      <c r="A106" s="28">
        <v>6</v>
      </c>
      <c r="B106" s="55" t="s">
        <v>922</v>
      </c>
      <c r="C106" s="28" t="s">
        <v>923</v>
      </c>
      <c r="D106" s="56" t="s">
        <v>924</v>
      </c>
      <c r="E106" s="27" t="s">
        <v>905</v>
      </c>
      <c r="F106" s="20" t="s">
        <v>222</v>
      </c>
      <c r="G106" s="104" t="s">
        <v>906</v>
      </c>
      <c r="H106" s="20" t="s">
        <v>923</v>
      </c>
      <c r="I106" s="37" t="s">
        <v>925</v>
      </c>
      <c r="J106" s="37" t="s">
        <v>926</v>
      </c>
      <c r="K106" s="43" t="s">
        <v>927</v>
      </c>
      <c r="L106" s="39">
        <v>44728</v>
      </c>
      <c r="M106" s="39">
        <v>44757</v>
      </c>
      <c r="N106" s="40" t="s">
        <v>207</v>
      </c>
      <c r="O106" s="46">
        <v>5</v>
      </c>
      <c r="P106" s="43">
        <v>44845</v>
      </c>
      <c r="Q106" s="43"/>
      <c r="R106" s="20" t="s">
        <v>256</v>
      </c>
      <c r="S106" s="77">
        <v>44760</v>
      </c>
      <c r="T106" s="77">
        <v>44760</v>
      </c>
      <c r="U106" s="77" t="s">
        <v>41</v>
      </c>
      <c r="V106" s="77">
        <v>44760</v>
      </c>
      <c r="W106" s="77">
        <v>44760</v>
      </c>
      <c r="X106" s="43" t="s">
        <v>921</v>
      </c>
    </row>
    <row r="107" ht="71.25" spans="1:24">
      <c r="A107" s="28">
        <v>7</v>
      </c>
      <c r="B107" s="55" t="s">
        <v>928</v>
      </c>
      <c r="C107" s="28" t="s">
        <v>929</v>
      </c>
      <c r="D107" s="57"/>
      <c r="E107" s="27" t="s">
        <v>930</v>
      </c>
      <c r="F107" s="20" t="s">
        <v>214</v>
      </c>
      <c r="G107" s="104" t="s">
        <v>931</v>
      </c>
      <c r="H107" s="20" t="s">
        <v>929</v>
      </c>
      <c r="I107" s="37" t="s">
        <v>932</v>
      </c>
      <c r="J107" s="37" t="s">
        <v>933</v>
      </c>
      <c r="K107" s="43" t="s">
        <v>934</v>
      </c>
      <c r="L107" s="39">
        <v>44728</v>
      </c>
      <c r="M107" s="39">
        <v>44757</v>
      </c>
      <c r="N107" s="40" t="s">
        <v>207</v>
      </c>
      <c r="O107" s="46">
        <v>5</v>
      </c>
      <c r="P107" s="43">
        <v>44845</v>
      </c>
      <c r="Q107" s="43"/>
      <c r="R107" s="20" t="s">
        <v>256</v>
      </c>
      <c r="S107" s="77">
        <v>44760</v>
      </c>
      <c r="T107" s="77">
        <v>44760</v>
      </c>
      <c r="U107" s="77" t="s">
        <v>41</v>
      </c>
      <c r="V107" s="77">
        <v>44760</v>
      </c>
      <c r="W107" s="77">
        <v>44760</v>
      </c>
      <c r="X107" s="43" t="s">
        <v>921</v>
      </c>
    </row>
    <row r="108" s="6" customFormat="1" ht="85" customHeight="1" spans="1:24">
      <c r="A108" s="28">
        <v>8</v>
      </c>
      <c r="B108" s="27" t="s">
        <v>935</v>
      </c>
      <c r="C108" s="20" t="s">
        <v>936</v>
      </c>
      <c r="D108" s="56" t="s">
        <v>937</v>
      </c>
      <c r="E108" s="27" t="s">
        <v>938</v>
      </c>
      <c r="F108" s="20" t="s">
        <v>222</v>
      </c>
      <c r="G108" s="20" t="s">
        <v>939</v>
      </c>
      <c r="H108" s="20" t="s">
        <v>940</v>
      </c>
      <c r="I108" s="37" t="s">
        <v>941</v>
      </c>
      <c r="J108" s="37" t="s">
        <v>942</v>
      </c>
      <c r="K108" s="43" t="s">
        <v>943</v>
      </c>
      <c r="L108" s="39">
        <v>44735</v>
      </c>
      <c r="M108" s="39">
        <v>44812</v>
      </c>
      <c r="N108" s="40" t="s">
        <v>207</v>
      </c>
      <c r="O108" s="41">
        <v>2.5</v>
      </c>
      <c r="P108" s="43">
        <v>44852</v>
      </c>
      <c r="Q108" s="43"/>
      <c r="R108" s="20" t="s">
        <v>282</v>
      </c>
      <c r="S108" s="79">
        <v>44813</v>
      </c>
      <c r="T108" s="79">
        <v>44813</v>
      </c>
      <c r="U108" s="77" t="s">
        <v>41</v>
      </c>
      <c r="V108" s="79">
        <v>44813</v>
      </c>
      <c r="W108" s="79">
        <v>44813</v>
      </c>
      <c r="X108" s="43" t="s">
        <v>944</v>
      </c>
    </row>
    <row r="109" s="6" customFormat="1" ht="85" customHeight="1" spans="1:24">
      <c r="A109" s="28">
        <v>9</v>
      </c>
      <c r="B109" s="27" t="s">
        <v>945</v>
      </c>
      <c r="C109" s="20" t="s">
        <v>946</v>
      </c>
      <c r="D109" s="58"/>
      <c r="E109" s="27" t="s">
        <v>947</v>
      </c>
      <c r="F109" s="20" t="s">
        <v>315</v>
      </c>
      <c r="G109" s="104" t="s">
        <v>948</v>
      </c>
      <c r="H109" s="20" t="s">
        <v>940</v>
      </c>
      <c r="I109" s="37" t="s">
        <v>949</v>
      </c>
      <c r="J109" s="37" t="s">
        <v>950</v>
      </c>
      <c r="K109" s="43" t="s">
        <v>951</v>
      </c>
      <c r="L109" s="39">
        <v>44735</v>
      </c>
      <c r="M109" s="39">
        <v>44812</v>
      </c>
      <c r="N109" s="40" t="s">
        <v>207</v>
      </c>
      <c r="O109" s="41">
        <v>0.5</v>
      </c>
      <c r="P109" s="43">
        <v>44852</v>
      </c>
      <c r="Q109" s="43"/>
      <c r="R109" s="20" t="s">
        <v>282</v>
      </c>
      <c r="S109" s="79">
        <v>44813</v>
      </c>
      <c r="T109" s="79">
        <v>44813</v>
      </c>
      <c r="U109" s="77" t="s">
        <v>41</v>
      </c>
      <c r="V109" s="79">
        <v>44813</v>
      </c>
      <c r="W109" s="79">
        <v>44813</v>
      </c>
      <c r="X109" s="43"/>
    </row>
    <row r="110" s="6" customFormat="1" ht="85" customHeight="1" spans="1:24">
      <c r="A110" s="28">
        <v>10</v>
      </c>
      <c r="B110" s="27" t="s">
        <v>952</v>
      </c>
      <c r="C110" s="20" t="s">
        <v>953</v>
      </c>
      <c r="D110" s="58"/>
      <c r="E110" s="27" t="s">
        <v>954</v>
      </c>
      <c r="F110" s="20" t="s">
        <v>214</v>
      </c>
      <c r="G110" s="20" t="s">
        <v>955</v>
      </c>
      <c r="H110" s="20" t="s">
        <v>940</v>
      </c>
      <c r="I110" s="37" t="s">
        <v>956</v>
      </c>
      <c r="J110" s="37" t="s">
        <v>957</v>
      </c>
      <c r="K110" s="43" t="s">
        <v>958</v>
      </c>
      <c r="L110" s="39">
        <v>44735</v>
      </c>
      <c r="M110" s="39">
        <v>44812</v>
      </c>
      <c r="N110" s="40" t="s">
        <v>207</v>
      </c>
      <c r="O110" s="41">
        <v>2.5</v>
      </c>
      <c r="P110" s="43">
        <v>44852</v>
      </c>
      <c r="Q110" s="43"/>
      <c r="R110" s="20" t="s">
        <v>282</v>
      </c>
      <c r="S110" s="79">
        <v>44813</v>
      </c>
      <c r="T110" s="79">
        <v>44813</v>
      </c>
      <c r="U110" s="77" t="s">
        <v>41</v>
      </c>
      <c r="V110" s="79">
        <v>44813</v>
      </c>
      <c r="W110" s="79">
        <v>44813</v>
      </c>
      <c r="X110" s="43"/>
    </row>
    <row r="111" s="6" customFormat="1" ht="85" customHeight="1" spans="1:24">
      <c r="A111" s="28">
        <v>11</v>
      </c>
      <c r="B111" s="27" t="s">
        <v>959</v>
      </c>
      <c r="C111" s="20" t="s">
        <v>960</v>
      </c>
      <c r="D111" s="57"/>
      <c r="E111" s="27" t="s">
        <v>961</v>
      </c>
      <c r="F111" s="20" t="s">
        <v>962</v>
      </c>
      <c r="G111" s="104" t="s">
        <v>963</v>
      </c>
      <c r="H111" s="20" t="s">
        <v>940</v>
      </c>
      <c r="I111" s="37" t="s">
        <v>964</v>
      </c>
      <c r="J111" s="37" t="s">
        <v>965</v>
      </c>
      <c r="K111" s="43" t="s">
        <v>966</v>
      </c>
      <c r="L111" s="39">
        <v>44735</v>
      </c>
      <c r="M111" s="39">
        <v>44812</v>
      </c>
      <c r="N111" s="40" t="s">
        <v>207</v>
      </c>
      <c r="O111" s="41">
        <v>0.5</v>
      </c>
      <c r="P111" s="43">
        <v>44852</v>
      </c>
      <c r="Q111" s="43"/>
      <c r="R111" s="20" t="s">
        <v>282</v>
      </c>
      <c r="S111" s="79">
        <v>44813</v>
      </c>
      <c r="T111" s="79">
        <v>44813</v>
      </c>
      <c r="U111" s="77" t="s">
        <v>41</v>
      </c>
      <c r="V111" s="79">
        <v>44813</v>
      </c>
      <c r="W111" s="79">
        <v>44813</v>
      </c>
      <c r="X111" s="43"/>
    </row>
    <row r="112" ht="85.5" spans="1:24">
      <c r="A112" s="28">
        <v>12</v>
      </c>
      <c r="B112" s="27" t="s">
        <v>967</v>
      </c>
      <c r="C112" s="28" t="s">
        <v>829</v>
      </c>
      <c r="D112" s="26" t="s">
        <v>968</v>
      </c>
      <c r="E112" s="27" t="s">
        <v>969</v>
      </c>
      <c r="F112" s="20" t="s">
        <v>214</v>
      </c>
      <c r="G112" s="20" t="s">
        <v>970</v>
      </c>
      <c r="H112" s="20" t="s">
        <v>829</v>
      </c>
      <c r="I112" s="42" t="s">
        <v>971</v>
      </c>
      <c r="J112" s="37" t="s">
        <v>972</v>
      </c>
      <c r="K112" s="43" t="s">
        <v>973</v>
      </c>
      <c r="L112" s="39">
        <v>44742</v>
      </c>
      <c r="M112" s="39">
        <v>44809</v>
      </c>
      <c r="N112" s="66" t="s">
        <v>207</v>
      </c>
      <c r="O112" s="41">
        <v>5.5</v>
      </c>
      <c r="P112" s="50">
        <v>44939</v>
      </c>
      <c r="Q112" s="43"/>
      <c r="R112" s="20" t="s">
        <v>974</v>
      </c>
      <c r="S112" s="79">
        <v>44813</v>
      </c>
      <c r="T112" s="79">
        <v>44813</v>
      </c>
      <c r="U112" s="77" t="s">
        <v>41</v>
      </c>
      <c r="V112" s="79">
        <v>44813</v>
      </c>
      <c r="W112" s="79">
        <v>44813</v>
      </c>
      <c r="X112" s="43"/>
    </row>
    <row r="113" ht="99.75" spans="1:24">
      <c r="A113" s="28">
        <v>13</v>
      </c>
      <c r="B113" s="55" t="s">
        <v>975</v>
      </c>
      <c r="C113" s="28" t="s">
        <v>923</v>
      </c>
      <c r="D113" s="59" t="s">
        <v>976</v>
      </c>
      <c r="E113" s="27" t="s">
        <v>977</v>
      </c>
      <c r="F113" s="20" t="s">
        <v>214</v>
      </c>
      <c r="G113" s="20" t="s">
        <v>978</v>
      </c>
      <c r="H113" s="20" t="s">
        <v>923</v>
      </c>
      <c r="I113" s="37" t="s">
        <v>979</v>
      </c>
      <c r="J113" s="37" t="s">
        <v>980</v>
      </c>
      <c r="K113" s="43" t="s">
        <v>981</v>
      </c>
      <c r="L113" s="39">
        <v>44817</v>
      </c>
      <c r="M113" s="39">
        <v>44873</v>
      </c>
      <c r="N113" s="66" t="s">
        <v>207</v>
      </c>
      <c r="O113" s="46">
        <v>5</v>
      </c>
      <c r="P113" s="43">
        <v>44883</v>
      </c>
      <c r="Q113" s="43"/>
      <c r="R113" s="20" t="s">
        <v>256</v>
      </c>
      <c r="S113" s="79">
        <v>44875</v>
      </c>
      <c r="T113" s="79">
        <v>44875</v>
      </c>
      <c r="U113" s="77" t="s">
        <v>41</v>
      </c>
      <c r="V113" s="77">
        <v>44874</v>
      </c>
      <c r="W113" s="77">
        <v>44874</v>
      </c>
      <c r="X113" s="43"/>
    </row>
    <row r="114" ht="99.75" spans="1:24">
      <c r="A114" s="28">
        <v>14</v>
      </c>
      <c r="B114" s="55" t="s">
        <v>982</v>
      </c>
      <c r="C114" s="28" t="s">
        <v>983</v>
      </c>
      <c r="D114" s="26" t="s">
        <v>984</v>
      </c>
      <c r="E114" s="27" t="s">
        <v>985</v>
      </c>
      <c r="F114" s="20" t="s">
        <v>214</v>
      </c>
      <c r="G114" s="20" t="s">
        <v>986</v>
      </c>
      <c r="H114" s="20" t="s">
        <v>987</v>
      </c>
      <c r="I114" s="37" t="s">
        <v>988</v>
      </c>
      <c r="J114" s="37" t="s">
        <v>989</v>
      </c>
      <c r="K114" s="43" t="s">
        <v>990</v>
      </c>
      <c r="L114" s="39">
        <v>44817</v>
      </c>
      <c r="M114" s="39">
        <v>44893</v>
      </c>
      <c r="N114" s="66" t="s">
        <v>207</v>
      </c>
      <c r="O114" s="41">
        <v>10</v>
      </c>
      <c r="P114" s="50">
        <v>44942</v>
      </c>
      <c r="Q114" s="43"/>
      <c r="R114" s="20" t="s">
        <v>974</v>
      </c>
      <c r="S114" s="79">
        <v>44897</v>
      </c>
      <c r="T114" s="79">
        <v>44897</v>
      </c>
      <c r="U114" s="79" t="s">
        <v>41</v>
      </c>
      <c r="V114" s="79">
        <v>44896</v>
      </c>
      <c r="W114" s="79">
        <v>44895</v>
      </c>
      <c r="X114" s="43"/>
    </row>
    <row r="115" ht="99.75" spans="1:24">
      <c r="A115" s="28">
        <v>15</v>
      </c>
      <c r="B115" s="55" t="s">
        <v>991</v>
      </c>
      <c r="C115" s="28" t="s">
        <v>992</v>
      </c>
      <c r="D115" s="26" t="s">
        <v>993</v>
      </c>
      <c r="E115" s="27" t="s">
        <v>93</v>
      </c>
      <c r="F115" s="20" t="s">
        <v>222</v>
      </c>
      <c r="G115" s="20" t="s">
        <v>94</v>
      </c>
      <c r="H115" s="20" t="s">
        <v>994</v>
      </c>
      <c r="I115" s="37" t="s">
        <v>995</v>
      </c>
      <c r="J115" s="37" t="s">
        <v>996</v>
      </c>
      <c r="K115" s="43" t="s">
        <v>997</v>
      </c>
      <c r="L115" s="39">
        <v>44826</v>
      </c>
      <c r="M115" s="39">
        <v>44888</v>
      </c>
      <c r="N115" s="66" t="s">
        <v>207</v>
      </c>
      <c r="O115" s="46">
        <v>5</v>
      </c>
      <c r="P115" s="43">
        <v>44922</v>
      </c>
      <c r="Q115" s="43"/>
      <c r="R115" s="20" t="s">
        <v>282</v>
      </c>
      <c r="S115" s="79">
        <v>44890</v>
      </c>
      <c r="T115" s="79">
        <v>44890</v>
      </c>
      <c r="U115" s="79" t="s">
        <v>41</v>
      </c>
      <c r="V115" s="79">
        <v>44890</v>
      </c>
      <c r="W115" s="77">
        <v>44890</v>
      </c>
      <c r="X115" s="43"/>
    </row>
    <row r="116" ht="85.5" spans="1:24">
      <c r="A116" s="28">
        <v>16</v>
      </c>
      <c r="B116" s="55" t="s">
        <v>998</v>
      </c>
      <c r="C116" s="28" t="s">
        <v>999</v>
      </c>
      <c r="D116" s="26" t="s">
        <v>1000</v>
      </c>
      <c r="E116" s="27" t="s">
        <v>1001</v>
      </c>
      <c r="F116" s="20" t="s">
        <v>214</v>
      </c>
      <c r="G116" s="20" t="s">
        <v>1002</v>
      </c>
      <c r="H116" s="20" t="s">
        <v>987</v>
      </c>
      <c r="I116" s="37" t="s">
        <v>1003</v>
      </c>
      <c r="J116" s="37" t="s">
        <v>1004</v>
      </c>
      <c r="K116" s="43" t="s">
        <v>1005</v>
      </c>
      <c r="L116" s="39">
        <v>44823</v>
      </c>
      <c r="M116" s="39">
        <v>44893</v>
      </c>
      <c r="N116" s="66" t="s">
        <v>207</v>
      </c>
      <c r="O116" s="41">
        <v>10</v>
      </c>
      <c r="P116" s="50">
        <v>44942</v>
      </c>
      <c r="Q116" s="43"/>
      <c r="R116" s="20" t="s">
        <v>256</v>
      </c>
      <c r="S116" s="79">
        <v>44897</v>
      </c>
      <c r="T116" s="79">
        <v>44897</v>
      </c>
      <c r="U116" s="79" t="s">
        <v>41</v>
      </c>
      <c r="V116" s="79">
        <v>44896</v>
      </c>
      <c r="W116" s="79">
        <v>44895</v>
      </c>
      <c r="X116" s="43"/>
    </row>
    <row r="117" ht="85.5" spans="1:24">
      <c r="A117" s="28">
        <v>17</v>
      </c>
      <c r="B117" s="55" t="s">
        <v>1006</v>
      </c>
      <c r="C117" s="28" t="s">
        <v>1007</v>
      </c>
      <c r="D117" s="26" t="s">
        <v>1008</v>
      </c>
      <c r="E117" s="27" t="s">
        <v>1009</v>
      </c>
      <c r="F117" s="20" t="s">
        <v>214</v>
      </c>
      <c r="G117" s="104" t="s">
        <v>1010</v>
      </c>
      <c r="H117" s="20" t="s">
        <v>994</v>
      </c>
      <c r="I117" s="37" t="s">
        <v>1011</v>
      </c>
      <c r="J117" s="37" t="s">
        <v>1012</v>
      </c>
      <c r="K117" s="43" t="s">
        <v>1013</v>
      </c>
      <c r="L117" s="39">
        <v>44813</v>
      </c>
      <c r="M117" s="39">
        <v>44883</v>
      </c>
      <c r="N117" s="66" t="s">
        <v>207</v>
      </c>
      <c r="O117" s="46">
        <v>5</v>
      </c>
      <c r="P117" s="43">
        <v>44904</v>
      </c>
      <c r="Q117" s="43"/>
      <c r="R117" s="20" t="s">
        <v>1014</v>
      </c>
      <c r="S117" s="79">
        <v>44886</v>
      </c>
      <c r="T117" s="79">
        <v>44886</v>
      </c>
      <c r="U117" s="77" t="s">
        <v>41</v>
      </c>
      <c r="V117" s="77">
        <v>44886</v>
      </c>
      <c r="W117" s="77">
        <v>44886</v>
      </c>
      <c r="X117" s="43"/>
    </row>
    <row r="118" ht="85.5" spans="1:24">
      <c r="A118" s="28">
        <v>18</v>
      </c>
      <c r="B118" s="55" t="s">
        <v>1015</v>
      </c>
      <c r="C118" s="28" t="s">
        <v>1016</v>
      </c>
      <c r="D118" s="26" t="s">
        <v>1017</v>
      </c>
      <c r="E118" s="27" t="s">
        <v>1018</v>
      </c>
      <c r="F118" s="20" t="s">
        <v>222</v>
      </c>
      <c r="G118" s="20" t="s">
        <v>1019</v>
      </c>
      <c r="H118" s="20" t="s">
        <v>1020</v>
      </c>
      <c r="I118" s="37" t="s">
        <v>1021</v>
      </c>
      <c r="J118" s="37" t="s">
        <v>1022</v>
      </c>
      <c r="K118" s="43" t="s">
        <v>1023</v>
      </c>
      <c r="L118" s="39">
        <v>44843</v>
      </c>
      <c r="M118" s="39">
        <v>44901</v>
      </c>
      <c r="N118" s="66" t="s">
        <v>207</v>
      </c>
      <c r="O118" s="41">
        <v>5</v>
      </c>
      <c r="P118" s="43">
        <v>44922</v>
      </c>
      <c r="Q118" s="43"/>
      <c r="R118" s="20" t="s">
        <v>282</v>
      </c>
      <c r="S118" s="79">
        <v>44901</v>
      </c>
      <c r="T118" s="79">
        <v>44901</v>
      </c>
      <c r="U118" s="79" t="s">
        <v>41</v>
      </c>
      <c r="V118" s="79">
        <v>44902</v>
      </c>
      <c r="W118" s="79">
        <v>44902</v>
      </c>
      <c r="X118" s="43"/>
    </row>
    <row r="119" ht="90" customHeight="1" spans="1:24">
      <c r="A119" s="28">
        <v>19</v>
      </c>
      <c r="B119" s="55" t="s">
        <v>1024</v>
      </c>
      <c r="C119" s="28" t="s">
        <v>1025</v>
      </c>
      <c r="D119" s="56" t="s">
        <v>1026</v>
      </c>
      <c r="E119" s="27" t="s">
        <v>1027</v>
      </c>
      <c r="F119" s="20" t="s">
        <v>214</v>
      </c>
      <c r="G119" s="20" t="s">
        <v>1028</v>
      </c>
      <c r="H119" s="20" t="s">
        <v>1029</v>
      </c>
      <c r="I119" s="37" t="s">
        <v>1030</v>
      </c>
      <c r="J119" s="37" t="s">
        <v>1031</v>
      </c>
      <c r="K119" s="43" t="s">
        <v>1032</v>
      </c>
      <c r="L119" s="39">
        <v>44831</v>
      </c>
      <c r="M119" s="39">
        <v>44893</v>
      </c>
      <c r="N119" s="66" t="s">
        <v>207</v>
      </c>
      <c r="O119" s="41">
        <v>1.2</v>
      </c>
      <c r="P119" s="50">
        <v>44939</v>
      </c>
      <c r="Q119" s="43"/>
      <c r="R119" s="20" t="s">
        <v>256</v>
      </c>
      <c r="S119" s="79">
        <v>44897</v>
      </c>
      <c r="T119" s="79">
        <v>44897</v>
      </c>
      <c r="U119" s="79" t="s">
        <v>41</v>
      </c>
      <c r="V119" s="79">
        <v>44896</v>
      </c>
      <c r="W119" s="79">
        <v>44896</v>
      </c>
      <c r="X119" s="43"/>
    </row>
    <row r="120" ht="90" customHeight="1" spans="1:24">
      <c r="A120" s="28">
        <v>20</v>
      </c>
      <c r="B120" s="55" t="s">
        <v>1033</v>
      </c>
      <c r="C120" s="28" t="s">
        <v>1034</v>
      </c>
      <c r="D120" s="57"/>
      <c r="E120" s="27" t="s">
        <v>1035</v>
      </c>
      <c r="F120" s="20" t="s">
        <v>1036</v>
      </c>
      <c r="G120" s="104" t="s">
        <v>1037</v>
      </c>
      <c r="H120" s="20" t="s">
        <v>1038</v>
      </c>
      <c r="I120" s="37" t="s">
        <v>1039</v>
      </c>
      <c r="J120" s="37" t="s">
        <v>1040</v>
      </c>
      <c r="K120" s="43" t="s">
        <v>1041</v>
      </c>
      <c r="L120" s="39">
        <v>44831</v>
      </c>
      <c r="M120" s="39">
        <v>44893</v>
      </c>
      <c r="N120" s="66" t="s">
        <v>207</v>
      </c>
      <c r="O120" s="41">
        <v>0.2</v>
      </c>
      <c r="P120" s="50">
        <v>44939</v>
      </c>
      <c r="Q120" s="43"/>
      <c r="R120" s="20" t="s">
        <v>256</v>
      </c>
      <c r="S120" s="79">
        <v>44897</v>
      </c>
      <c r="T120" s="79">
        <v>44897</v>
      </c>
      <c r="U120" s="79" t="s">
        <v>41</v>
      </c>
      <c r="V120" s="79">
        <v>44896</v>
      </c>
      <c r="W120" s="79">
        <v>44896</v>
      </c>
      <c r="X120" s="43"/>
    </row>
    <row r="121" spans="1:24">
      <c r="A121" s="28"/>
      <c r="B121" s="55"/>
      <c r="C121" s="28" t="str">
        <f>_xlfn.CONCAT(E121,H121,"行政处罚案")</f>
        <v>行政处罚案</v>
      </c>
      <c r="D121" s="26"/>
      <c r="E121" s="27"/>
      <c r="F121" s="20"/>
      <c r="G121" s="20"/>
      <c r="H121" s="20"/>
      <c r="I121" s="37"/>
      <c r="J121" s="37"/>
      <c r="K121" s="43"/>
      <c r="L121" s="39"/>
      <c r="M121" s="39"/>
      <c r="N121" s="66"/>
      <c r="O121" s="46"/>
      <c r="P121" s="43"/>
      <c r="Q121" s="43"/>
      <c r="R121" s="20"/>
      <c r="S121" s="79"/>
      <c r="T121" s="20"/>
      <c r="U121" s="20"/>
      <c r="V121" s="20"/>
      <c r="W121" s="77"/>
      <c r="X121" s="43"/>
    </row>
    <row r="122" ht="30" customHeight="1" spans="1:24">
      <c r="A122" s="5"/>
      <c r="B122" s="60"/>
      <c r="C122" s="61"/>
      <c r="D122" s="61"/>
      <c r="E122" s="5"/>
      <c r="F122" s="5"/>
      <c r="G122" s="5"/>
      <c r="H122" s="5"/>
      <c r="I122" s="67"/>
      <c r="J122" s="67"/>
      <c r="K122" s="3"/>
      <c r="L122" s="68"/>
      <c r="M122" s="69"/>
      <c r="N122" s="70"/>
      <c r="O122" s="71"/>
      <c r="P122" s="68"/>
      <c r="Q122" s="68"/>
      <c r="R122" s="5"/>
      <c r="S122" s="80"/>
      <c r="T122" s="5"/>
      <c r="U122" s="5"/>
      <c r="V122" s="5"/>
      <c r="W122" s="5"/>
      <c r="X122" s="68"/>
    </row>
    <row r="123" ht="30" customHeight="1" spans="1:24">
      <c r="A123" s="5"/>
      <c r="B123" s="60"/>
      <c r="C123" s="61"/>
      <c r="D123" s="61"/>
      <c r="E123" s="5"/>
      <c r="F123" s="5"/>
      <c r="G123" s="5"/>
      <c r="H123" s="5"/>
      <c r="I123" s="67"/>
      <c r="J123" s="67"/>
      <c r="K123" s="72" t="s">
        <v>1042</v>
      </c>
      <c r="L123" s="73">
        <f>COUNTA(L96)+COUNTA(L98:L100)</f>
        <v>4</v>
      </c>
      <c r="M123" s="74" t="s">
        <v>1043</v>
      </c>
      <c r="N123" s="75"/>
      <c r="O123" s="76">
        <f>SUM(O96)+SUM(O98:O100)</f>
        <v>16.15</v>
      </c>
      <c r="P123" s="68"/>
      <c r="Q123" s="68"/>
      <c r="R123" s="5"/>
      <c r="S123" s="80"/>
      <c r="T123" s="5"/>
      <c r="U123" s="5"/>
      <c r="V123" s="5"/>
      <c r="W123" s="5"/>
      <c r="X123" s="68"/>
    </row>
    <row r="124" ht="30" customHeight="1" spans="1:24">
      <c r="A124" s="5"/>
      <c r="B124" s="60"/>
      <c r="C124" s="61"/>
      <c r="D124" s="61"/>
      <c r="E124" s="5"/>
      <c r="F124" s="5"/>
      <c r="G124" s="5"/>
      <c r="H124" s="5"/>
      <c r="I124" s="67"/>
      <c r="J124" s="67"/>
      <c r="K124" s="72" t="s">
        <v>1044</v>
      </c>
      <c r="L124" s="73">
        <f>COUNTA(L101:L121)</f>
        <v>20</v>
      </c>
      <c r="M124" s="74" t="s">
        <v>1043</v>
      </c>
      <c r="N124" s="75"/>
      <c r="O124" s="76">
        <f>SUM(O101:O121)</f>
        <v>70.5</v>
      </c>
      <c r="P124" s="68"/>
      <c r="Q124" s="68"/>
      <c r="R124" s="5"/>
      <c r="S124" s="80"/>
      <c r="T124" s="5"/>
      <c r="U124" s="5"/>
      <c r="V124" s="5"/>
      <c r="W124" s="5"/>
      <c r="X124" s="68"/>
    </row>
    <row r="125" ht="30" customHeight="1" spans="1:24">
      <c r="A125" s="5"/>
      <c r="B125" s="60"/>
      <c r="C125" s="61"/>
      <c r="D125" s="61"/>
      <c r="E125" s="5"/>
      <c r="F125" s="5"/>
      <c r="G125" s="5"/>
      <c r="H125" s="5"/>
      <c r="I125" s="67"/>
      <c r="J125" s="67"/>
      <c r="K125" s="72" t="s">
        <v>182</v>
      </c>
      <c r="L125" s="73">
        <f>SUM(L123:L124)</f>
        <v>24</v>
      </c>
      <c r="M125" s="74" t="s">
        <v>1043</v>
      </c>
      <c r="N125" s="75"/>
      <c r="O125" s="76">
        <f>SUM(O123:O124)</f>
        <v>86.65</v>
      </c>
      <c r="P125" s="68"/>
      <c r="Q125" s="68"/>
      <c r="R125" s="5"/>
      <c r="S125" s="80"/>
      <c r="T125" s="5"/>
      <c r="U125" s="5"/>
      <c r="V125" s="5"/>
      <c r="W125" s="5"/>
      <c r="X125" s="68"/>
    </row>
  </sheetData>
  <autoFilter ref="A2:Z121">
    <extLst/>
  </autoFilter>
  <mergeCells count="25">
    <mergeCell ref="A1:P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s>
  <conditionalFormatting sqref="B73">
    <cfRule type="timePeriod" dxfId="0" priority="35" timePeriod="tomorrow">
      <formula>FLOOR(B73,1)=TODAY()+1</formula>
    </cfRule>
  </conditionalFormatting>
  <conditionalFormatting sqref="W77">
    <cfRule type="timePeriod" dxfId="0" priority="36" timePeriod="tomorrow">
      <formula>FLOOR(W77,1)=TODAY()+1</formula>
    </cfRule>
  </conditionalFormatting>
  <conditionalFormatting sqref="V95">
    <cfRule type="timePeriod" dxfId="0" priority="28" timePeriod="tomorrow">
      <formula>FLOOR(V95,1)=TODAY()+1</formula>
    </cfRule>
  </conditionalFormatting>
  <conditionalFormatting sqref="V105">
    <cfRule type="timePeriod" dxfId="0" priority="23" timePeriod="tomorrow">
      <formula>FLOOR(V105,1)=TODAY()+1</formula>
    </cfRule>
  </conditionalFormatting>
  <conditionalFormatting sqref="S113">
    <cfRule type="timePeriod" dxfId="0" priority="16" timePeriod="tomorrow">
      <formula>FLOOR(S113,1)=TODAY()+1</formula>
    </cfRule>
  </conditionalFormatting>
  <conditionalFormatting sqref="T113">
    <cfRule type="timePeriod" dxfId="0" priority="15" timePeriod="tomorrow">
      <formula>FLOOR(T113,1)=TODAY()+1</formula>
    </cfRule>
  </conditionalFormatting>
  <conditionalFormatting sqref="T114">
    <cfRule type="timePeriod" dxfId="0" priority="6" timePeriod="tomorrow">
      <formula>FLOOR(T114,1)=TODAY()+1</formula>
    </cfRule>
  </conditionalFormatting>
  <conditionalFormatting sqref="S116">
    <cfRule type="timePeriod" dxfId="0" priority="7" timePeriod="tomorrow">
      <formula>FLOOR(S116,1)=TODAY()+1</formula>
    </cfRule>
  </conditionalFormatting>
  <conditionalFormatting sqref="T116">
    <cfRule type="timePeriod" dxfId="0" priority="5" timePeriod="tomorrow">
      <formula>FLOOR(T116,1)=TODAY()+1</formula>
    </cfRule>
  </conditionalFormatting>
  <conditionalFormatting sqref="V116">
    <cfRule type="timePeriod" dxfId="0" priority="18" timePeriod="tomorrow">
      <formula>FLOOR(V116,1)=TODAY()+1</formula>
    </cfRule>
  </conditionalFormatting>
  <conditionalFormatting sqref="W116">
    <cfRule type="timePeriod" dxfId="0" priority="21" timePeriod="tomorrow">
      <formula>FLOOR(W116,1)=TODAY()+1</formula>
    </cfRule>
  </conditionalFormatting>
  <conditionalFormatting sqref="S118">
    <cfRule type="timePeriod" dxfId="0" priority="14" timePeriod="tomorrow">
      <formula>FLOOR(S118,1)=TODAY()+1</formula>
    </cfRule>
  </conditionalFormatting>
  <conditionalFormatting sqref="T118">
    <cfRule type="timePeriod" dxfId="0" priority="2" timePeriod="tomorrow">
      <formula>FLOOR(T118,1)=TODAY()+1</formula>
    </cfRule>
  </conditionalFormatting>
  <conditionalFormatting sqref="U118">
    <cfRule type="timePeriod" dxfId="0" priority="12" timePeriod="tomorrow">
      <formula>FLOOR(U118,1)=TODAY()+1</formula>
    </cfRule>
    <cfRule type="timePeriod" dxfId="0" priority="11" timePeriod="tomorrow">
      <formula>FLOOR(U118,1)=TODAY()+1</formula>
    </cfRule>
  </conditionalFormatting>
  <conditionalFormatting sqref="V118">
    <cfRule type="timePeriod" dxfId="0" priority="1" timePeriod="tomorrow">
      <formula>FLOOR(V118,1)=TODAY()+1</formula>
    </cfRule>
  </conditionalFormatting>
  <conditionalFormatting sqref="W118">
    <cfRule type="timePeriod" dxfId="0" priority="13" timePeriod="tomorrow">
      <formula>FLOOR(W118,1)=TODAY()+1</formula>
    </cfRule>
  </conditionalFormatting>
  <conditionalFormatting sqref="T119">
    <cfRule type="timePeriod" dxfId="0" priority="4" timePeriod="tomorrow">
      <formula>FLOOR(T119,1)=TODAY()+1</formula>
    </cfRule>
  </conditionalFormatting>
  <conditionalFormatting sqref="T120">
    <cfRule type="timePeriod" dxfId="0" priority="3" timePeriod="tomorrow">
      <formula>FLOOR(T120,1)=TODAY()+1</formula>
    </cfRule>
  </conditionalFormatting>
  <conditionalFormatting sqref="S81:S82">
    <cfRule type="timePeriod" dxfId="0" priority="51" timePeriod="tomorrow">
      <formula>FLOOR(S81,1)=TODAY()+1</formula>
    </cfRule>
  </conditionalFormatting>
  <conditionalFormatting sqref="S86:S89">
    <cfRule type="timePeriod" dxfId="0" priority="45" timePeriod="tomorrow">
      <formula>FLOOR(S86,1)=TODAY()+1</formula>
    </cfRule>
  </conditionalFormatting>
  <conditionalFormatting sqref="T86:T89">
    <cfRule type="timePeriod" dxfId="0" priority="42" timePeriod="tomorrow">
      <formula>FLOOR(T86,1)=TODAY()+1</formula>
    </cfRule>
  </conditionalFormatting>
  <conditionalFormatting sqref="U74:U80">
    <cfRule type="timePeriod" dxfId="0" priority="41" timePeriod="tomorrow">
      <formula>FLOOR(U74,1)=TODAY()+1</formula>
    </cfRule>
  </conditionalFormatting>
  <conditionalFormatting sqref="V78:V80">
    <cfRule type="timePeriod" dxfId="0" priority="33" timePeriod="tomorrow">
      <formula>FLOOR(V78,1)=TODAY()+1</formula>
    </cfRule>
  </conditionalFormatting>
  <conditionalFormatting sqref="V86:V89">
    <cfRule type="timePeriod" dxfId="0" priority="43" timePeriod="tomorrow">
      <formula>FLOOR(V86,1)=TODAY()+1</formula>
    </cfRule>
  </conditionalFormatting>
  <conditionalFormatting sqref="V101:V103">
    <cfRule type="timePeriod" dxfId="0" priority="26" timePeriod="tomorrow">
      <formula>FLOOR(V101,1)=TODAY()+1</formula>
    </cfRule>
  </conditionalFormatting>
  <conditionalFormatting sqref="V106:V107">
    <cfRule type="timePeriod" dxfId="0" priority="25" timePeriod="tomorrow">
      <formula>FLOOR(V106,1)=TODAY()+1</formula>
    </cfRule>
  </conditionalFormatting>
  <conditionalFormatting sqref="V119:V120">
    <cfRule type="timePeriod" dxfId="0" priority="8" timePeriod="tomorrow">
      <formula>FLOOR(V119,1)=TODAY()+1</formula>
    </cfRule>
  </conditionalFormatting>
  <conditionalFormatting sqref="W66:W68">
    <cfRule type="timePeriod" dxfId="0" priority="38" timePeriod="tomorrow">
      <formula>FLOOR(W66,1)=TODAY()+1</formula>
    </cfRule>
  </conditionalFormatting>
  <conditionalFormatting sqref="W69:W73">
    <cfRule type="timePeriod" dxfId="0" priority="39" timePeriod="tomorrow">
      <formula>FLOOR(W69,1)=TODAY()+1</formula>
    </cfRule>
  </conditionalFormatting>
  <conditionalFormatting sqref="W74:W76">
    <cfRule type="timePeriod" dxfId="0" priority="37" timePeriod="tomorrow">
      <formula>FLOOR(W74,1)=TODAY()+1</formula>
    </cfRule>
  </conditionalFormatting>
  <conditionalFormatting sqref="W78:W80">
    <cfRule type="timePeriod" dxfId="0" priority="34" timePeriod="tomorrow">
      <formula>FLOOR(W78,1)=TODAY()+1</formula>
    </cfRule>
  </conditionalFormatting>
  <conditionalFormatting sqref="W81:W82">
    <cfRule type="timePeriod" dxfId="0" priority="48" timePeriod="tomorrow">
      <formula>FLOOR(W81,1)=TODAY()+1</formula>
    </cfRule>
  </conditionalFormatting>
  <conditionalFormatting sqref="W86:W89">
    <cfRule type="timePeriod" dxfId="0" priority="44" timePeriod="tomorrow">
      <formula>FLOOR(W86,1)=TODAY()+1</formula>
    </cfRule>
  </conditionalFormatting>
  <conditionalFormatting sqref="S1:V2 S83:S85 S90:S105 S108:S112 S114:S115 S117 S119:S120 S121:V1048576">
    <cfRule type="timePeriod" dxfId="0" priority="53" timePeriod="tomorrow">
      <formula>FLOOR(S1,1)=TODAY()+1</formula>
    </cfRule>
  </conditionalFormatting>
  <conditionalFormatting sqref="S66:U71 S72:V77 S78:U80">
    <cfRule type="timePeriod" dxfId="0" priority="40" timePeriod="tomorrow">
      <formula>FLOOR(S66,1)=TODAY()+1</formula>
    </cfRule>
  </conditionalFormatting>
  <conditionalFormatting sqref="T81:T85 T90:T95">
    <cfRule type="timePeriod" dxfId="0" priority="46" timePeriod="tomorrow">
      <formula>FLOOR(T81,1)=TODAY()+1</formula>
    </cfRule>
  </conditionalFormatting>
  <conditionalFormatting sqref="U81:U117 U119:U120">
    <cfRule type="timePeriod" dxfId="0" priority="49" timePeriod="tomorrow">
      <formula>FLOOR(U81,1)=TODAY()+1</formula>
    </cfRule>
    <cfRule type="timePeriod" dxfId="0" priority="50" timePeriod="tomorrow">
      <formula>FLOOR(U81,1)=TODAY()+1</formula>
    </cfRule>
  </conditionalFormatting>
  <conditionalFormatting sqref="V81:V85 V90:V94 V96:V100 V104 V108:V115 V117">
    <cfRule type="timePeriod" dxfId="0" priority="47" timePeriod="tomorrow">
      <formula>FLOOR(V81,1)=TODAY()+1</formula>
    </cfRule>
  </conditionalFormatting>
  <conditionalFormatting sqref="W83:W85 W90:W115 W117 W119:W121">
    <cfRule type="timePeriod" dxfId="0" priority="52" timePeriod="tomorrow">
      <formula>FLOOR(W83,1)=TODAY()+1</formula>
    </cfRule>
  </conditionalFormatting>
  <conditionalFormatting sqref="T96:T105 T108:T112 T115 T117">
    <cfRule type="timePeriod" dxfId="0" priority="27" timePeriod="tomorrow">
      <formula>FLOOR(T96,1)=TODAY()+1</formula>
    </cfRule>
  </conditionalFormatting>
  <conditionalFormatting sqref="S106:T107">
    <cfRule type="timePeriod" dxfId="0" priority="24" timePeriod="tomorrow">
      <formula>FLOOR(S106,1)=TODAY()+1</formula>
    </cfRule>
  </conditionalFormatting>
  <printOptions horizontalCentered="1"/>
  <pageMargins left="0.751388888888889" right="0.751388888888889" top="0.802777777777778" bottom="0.802777777777778" header="0.511805555555556" footer="0.511805555555556"/>
  <pageSetup paperSize="9" scale="33"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行政检查</vt:lpstr>
      <vt:lpstr>行政处罚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Administrator</cp:lastModifiedBy>
  <dcterms:created xsi:type="dcterms:W3CDTF">2021-05-17T06:10:00Z</dcterms:created>
  <dcterms:modified xsi:type="dcterms:W3CDTF">2023-03-01T06:15:22Z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