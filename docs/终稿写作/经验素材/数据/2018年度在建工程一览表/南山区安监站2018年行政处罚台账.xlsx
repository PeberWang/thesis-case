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行政处罚" sheetId="1" r:id="rId1"/>
  </sheets>
  <definedNames>
    <definedName name="_xlnm._FilterDatabase" localSheetId="0" hidden="1">行政处罚!$A$2:$M$35</definedName>
    <definedName name="_xlnm.Print_Area" localSheetId="0">行政处罚!$A$1:$M$35</definedName>
  </definedNames>
  <calcPr calcId="144525"/>
</workbook>
</file>

<file path=xl/sharedStrings.xml><?xml version="1.0" encoding="utf-8"?>
<sst xmlns="http://schemas.openxmlformats.org/spreadsheetml/2006/main" count="182" uniqueCount="141">
  <si>
    <t>南山区安监站2018年行政处罚</t>
  </si>
  <si>
    <t>序号</t>
  </si>
  <si>
    <t>案名</t>
  </si>
  <si>
    <t>涉案工程</t>
  </si>
  <si>
    <t>处罚企业名称（人员名称）</t>
  </si>
  <si>
    <t>企业（人员）角色</t>
  </si>
  <si>
    <t>案由</t>
  </si>
  <si>
    <t>处罚原因</t>
  </si>
  <si>
    <t>行政处罚决定书文号</t>
  </si>
  <si>
    <t>立案时间</t>
  </si>
  <si>
    <t>处罚时间</t>
  </si>
  <si>
    <t>处罚金额
（万元）</t>
  </si>
  <si>
    <t>结案时间</t>
  </si>
  <si>
    <t>监督组</t>
  </si>
  <si>
    <t>大疆天空之城大厦、大疆天空之城大厦（二期)</t>
  </si>
  <si>
    <t>深圳市兆鹏机电设备有限公司</t>
  </si>
  <si>
    <t>安装单位</t>
  </si>
  <si>
    <t>塔吊安装未办理安装告知手续</t>
  </si>
  <si>
    <t>经查，大疆天空之城大厦、大疆天空之城大厦（二期）项目工程现场有4台塔式起重机，塔式起重机的安装单位为深圳市兆鹏机电设备有限公司。该工程塔式起重机安装施工作业前安装单位未按规定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</si>
  <si>
    <t>深南住建安罚[2018]304号</t>
  </si>
  <si>
    <t>2018.1.31</t>
  </si>
  <si>
    <t>中国建筑第四工程局有限公司</t>
  </si>
  <si>
    <t>施工单位</t>
  </si>
  <si>
    <t>塔吊安装未审核相关单位资质和预案</t>
  </si>
  <si>
    <t>经查，大疆天空之城大厦、大疆天空之城大厦（二期）项目工程现场有4台塔式起重机，该工程施工总承包单位为中国建筑第四工程局有限公司。该工程塔式起重机安装施工作业前，施工总承包单位未按规定审核安装单位的资质证书、安全生产许可证和特种作业人员的特种作业操作资格证书，未审核安装单位制定的建筑起重机械安全专项施工方案和生产安全事故应急救援预案，未审核使用单位制定的建筑起重机械生产安全事故应急救援预案，涉嫌违反《建筑起重机械安全监督管理规定》第二十一条第三、四、五项的规定。</t>
  </si>
  <si>
    <t>深南住建安罚[2018]305号</t>
  </si>
  <si>
    <t>深圳市大兴工程管理有限公司</t>
  </si>
  <si>
    <t>监理单位</t>
  </si>
  <si>
    <t>塔吊安装未审核相关单位资质和证明资料</t>
  </si>
  <si>
    <t>经查，大疆天空之城大厦、大疆天空之城大厦（二期）项目工程现场有4台塔式起重机，该工程的监理单位为深圳市大兴工程管理有限公司。该工程的建筑起重机械特种设备制造许可证、产品合格证、制造监督检验证明、备案证明等文件及建筑起重机械安装单位的资质证书、安全生产许可证和特种作业人员的特种作业操作资格证书等虽然合乎要求，但是监理单位未按规定审核，涉嫌违反《建筑起重机械安全监督管理规定》第二十二条“监理单位应当履行下列安全职责：（一）审核建筑起重机械特种设备制造许可证、产品合格证、制造监督检验证明、备案证明等文件；（二）审核建筑起重机械安装单位、使用单位的资质证书、安全生产许可证和特种作业人员的特种作业操作资格证书”的规定。</t>
  </si>
  <si>
    <t>深南住建安罚[2018]306号</t>
  </si>
  <si>
    <r>
      <rPr>
        <b/>
        <sz val="14"/>
        <rFont val="楷体_GB2312"/>
        <charset val="134"/>
      </rPr>
      <t>长源京基御景</t>
    </r>
    <r>
      <rPr>
        <b/>
        <sz val="14"/>
        <rFont val="宋体"/>
        <charset val="134"/>
      </rPr>
      <t>峯</t>
    </r>
    <r>
      <rPr>
        <b/>
        <sz val="14"/>
        <rFont val="楷体_GB2312"/>
        <charset val="134"/>
      </rPr>
      <t>公馆工程</t>
    </r>
  </si>
  <si>
    <t>江苏省华建建设股份有限公司</t>
  </si>
  <si>
    <t>建筑起重机械违规安装</t>
  </si>
  <si>
    <t>经查，长源京基御景峯公馆施工总承包工程现场有4台塔式起重机和7台施工升降机，这11台建筑起重机械的安装单位为江苏省华建建设股份有限公司。该工程建筑起重机械安装前未按规定书面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</si>
  <si>
    <t>深南住建安罚[2018]301号</t>
  </si>
  <si>
    <t>2018.1.29</t>
  </si>
  <si>
    <t>深圳市九州建设技术股份有限公司</t>
  </si>
  <si>
    <t>监理单位未监督检查建筑起重机械的使用情况</t>
  </si>
  <si>
    <t>经查，长源京基御景峯公馆施工总承包工程的监理单位为深圳市九州建设技术股份有限公司。该工程现场有11台建筑起重机械，监理单位未按要求监督检查建筑起重机械的使用情况。涉嫌违反《建筑起重机械安全监督管理规定》第二十二条“监理单位应当履行下列安全职责：（五）监督检查建筑起重机械的使用情况”的规定。</t>
  </si>
  <si>
    <t>深南住建安罚[2018]302号</t>
  </si>
  <si>
    <t>深圳市京基房地产股份有限公司</t>
  </si>
  <si>
    <t>建设单位</t>
  </si>
  <si>
    <t>建设单位未按照规定协调组织制定安全措施</t>
  </si>
  <si>
    <t>经查，长源京基御景峯公馆施工总承包工程的建设单位为深圳市京基房地产股份有限公司，该工程现场有4台塔式起重机和7台施工升降机。建设单位未按规定协调组织制定防止4台塔式起重机相互碰撞的安全措施。涉嫌违反《建筑起重机械安全监督管理规定》第三十三条“违反本规定，建设单位有下列行为之一的，由县级以上地方人民政府建设主管部门责令限期改正，予以警告，并处以5000元以上3万元以下罚款；逾期未改的，责令停止施工：（一）未按照规定协调组织制定防止多台塔式起重机相互碰撞的安全措施的”规定。</t>
  </si>
  <si>
    <t>深南住建安罚[2018]303号</t>
  </si>
  <si>
    <t>关于常州达丰兆茂机械工程有限工程未办理安装告知手续擅自安装塔式起重机械案</t>
  </si>
  <si>
    <t>光启未来中心（基坑支护、边坡、土方）工程</t>
  </si>
  <si>
    <t>常州达丰兆茂机械工程有限工程</t>
  </si>
  <si>
    <t>经查，光启未来中心（基坑支护、边坡、土方）工程现场有一台塔式起重机，塔式起重机的安装单位为常州达丰兆茂机械工程有限公司。该工程台式起重机安装施工作业未经监理审核、未书面告知所在地县级以上地方人民政府建设主管部门办理安装告知手续，涉嫌违反《建筑起重机械安全监督管理规定》第十二条第五项的规定。</t>
  </si>
  <si>
    <t>深南住建安罚〔2018〕101号</t>
  </si>
  <si>
    <t>关于深圳市银建安工程项目管理有限公司未履行建筑起重机械安全监督管理职责案</t>
  </si>
  <si>
    <t>深圳市银建安工程项目管理有限公司</t>
  </si>
  <si>
    <t>经查，光启未来中心（基坑支护、边坡、土方）工程的监理单位为深圳市银建安工程项目管理有限公司，该工程现场有一台塔式起重机，监理单位未按要求审核建筑起重进行安装工专项施工方案和生产安全事故应急救援预案。涉嫌违反《建筑起重机械安全监督管理规定》第二十二条第二项的规定。</t>
  </si>
  <si>
    <t>深南住建安罚〔2018〕102号</t>
  </si>
  <si>
    <t>关于中国十九冶集团有限公司未履行建筑起重机械安全监督管理职责案</t>
  </si>
  <si>
    <t>中国十九冶集团有限公司</t>
  </si>
  <si>
    <t>经查，光启未来中心（基坑支护、边坡、土方）工程的施工单位为中国十九冶集团有限公司，该工程现场有一台塔式起重机，施工单位未按要求审核安装单位制定的建筑起重机械安装工程专项施工方案和生产安全事故应急救援预案。涉嫌违反《建筑起重机械安全监督管理规定》第二十一条第四项的规定。</t>
  </si>
  <si>
    <t>深南住建安罚〔2018〕103号</t>
  </si>
  <si>
    <t>关于浙江省一建建设集团有限公司未采取相应的施工安全防护措施案</t>
  </si>
  <si>
    <t>望海学校工程</t>
  </si>
  <si>
    <t>浙江省一建建设集团有限公司</t>
  </si>
  <si>
    <t>经查，望海学校工程的施工单位为浙江省一建建设集团有限公司，该项目综合馆钢筋绑扎高出作业人员为采取相应的施工安全防护措施（无可靠立足点、未系挂安全带），我站签发了《责令整改通知书》（深南住建安改【2018】0028号）要求施工单位限期整改。在2018年3月20日整改复查时，抽查现场发现综合馆宿舍区二层梁板高出作业人员仍未采取相应的安全防护措施（未佩戴安全带），涉嫌违反《深圳经济特区建设工程施工安全条例》第二十七条的规定。</t>
  </si>
  <si>
    <t>深南住建安罚〔2018〕104号</t>
  </si>
  <si>
    <t>关于中国十九冶集团有限公司未重新审核和论证专项施工方案案</t>
  </si>
  <si>
    <t>光启未来中心</t>
  </si>
  <si>
    <t>经查，光启未来中心项目的施工单位为中国十九冶集团有限公司，该工程现场首层高大模板已搭设，抽查发现超过一定规模的危险性较大的分部分项工程（抽查部位④轴950×1000的梁、④-⑤15m梁板）未编制专项施工方案并组织专家论证。经现场核查后发现，该工程高大模板专项施工方案组织专家论证后，设计发生了变更，但专项施工方案未按规定重新审核和论证。涉嫌违反《危险性较大的分部分项工程安全管理规定》（住建部令第37号）第十六条的规定。</t>
  </si>
  <si>
    <t>深南住建安罚〔2018〕105号</t>
  </si>
  <si>
    <t>关于潘实沛未重新审核和论证专项施工方案案</t>
  </si>
  <si>
    <t>潘实沛</t>
  </si>
  <si>
    <t>项目经理</t>
  </si>
  <si>
    <t>深南住建安罚〔2018〕106号</t>
  </si>
  <si>
    <t>关于刘平未重新审核和论证专项施工方案案</t>
  </si>
  <si>
    <t>刘平</t>
  </si>
  <si>
    <t>项目技术负责人</t>
  </si>
  <si>
    <t>深南住建安罚〔2018〕107号</t>
  </si>
  <si>
    <t>关于深圳市中唐建筑工程有限公司未定期开展事故隐患排查案</t>
  </si>
  <si>
    <t>南山区南山街道兴泰地块城市更新单元项目</t>
  </si>
  <si>
    <t>深圳市中唐建筑工程有限公司</t>
  </si>
  <si>
    <t>经查，南山区南山街道兴泰地块城市更新单元项目的施工单位为深圳市中唐建筑工程有限公司。该施工单位在该工地北侧道路上搭设双排落地式钢管架，架设高度约5.5米左右。施工单位未按照规定对该双排钢管架开展隐患排查并记录隐患排查情况，涉嫌违反《深圳市生产经营单位安全生产主体责任规定》（深圳市人民政府令第308号）第三十三条第一款“生产经营单位应当定期开展事故隐患排查，发现隐患应当立即整改；不能立即整改的，生产经营单位应当设置警戒标识，采取应急措施，公示事故隐患的危害程度、影响范围，并落实整改措施、责任、资金、时限和事故应急预案。事故隐患消除后，生产经营单位应当组织验收，并做好事故预防工作”的规定。</t>
  </si>
  <si>
    <t>深南住建罚〔2018〕7号</t>
  </si>
  <si>
    <t>关于中建钢构有限公司擅自允许未密闭化车辆出场案</t>
  </si>
  <si>
    <t>南山区档案服务大厦</t>
  </si>
  <si>
    <t>中建钢构有限公司</t>
  </si>
  <si>
    <t>经查，南山区档案服务大厦工程的施工单位为中建钢构有限公司，该工程在2018年8月23日下午的土石方等建筑废弃物运输过程中，现场存在两台未密封化的车辆出入场的情况，车辆号牌分别为：粤BQ4507和粤BJ8789。施工单位允许这两台未密闭化的车辆进场，涉嫌违反《深圳市建筑废弃物运输和处置管理办法》（深圳市人民政府令第260号）第十六条第一款“建设单位、监理单位、施工单位不得允许有超载、未密闭化、车体不洁、车轮带泥、车厢外挂泥等情况的车辆出场，不得将建筑废弃物交给个人、未取得道路货物运输营运资质的运输单位或者未取得本办法第十九条规定的车辆检测合格证明的车辆运输”的规定。</t>
  </si>
  <si>
    <t>深南住建罚〔2018〕18号</t>
  </si>
  <si>
    <t>关于中建二局第一建筑工程有限公司未办理安装告知手续擅自安装塔式起重机械案</t>
  </si>
  <si>
    <r>
      <rPr>
        <b/>
        <sz val="14"/>
        <rFont val="楷体_GB2312"/>
        <charset val="134"/>
      </rPr>
      <t>长源御景</t>
    </r>
    <r>
      <rPr>
        <b/>
        <sz val="14"/>
        <rFont val="宋体"/>
        <charset val="134"/>
      </rPr>
      <t>峯</t>
    </r>
    <r>
      <rPr>
        <b/>
        <sz val="14"/>
        <rFont val="楷体_GB2312"/>
        <charset val="134"/>
      </rPr>
      <t>大厦</t>
    </r>
  </si>
  <si>
    <t>中建二局第一建筑工程有限公司</t>
  </si>
  <si>
    <r>
      <rPr>
        <sz val="12"/>
        <rFont val="楷体_GB2312"/>
        <charset val="134"/>
      </rPr>
      <t>经查，长源御景</t>
    </r>
    <r>
      <rPr>
        <sz val="12"/>
        <rFont val="宋体"/>
        <charset val="134"/>
      </rPr>
      <t>峯</t>
    </r>
    <r>
      <rPr>
        <sz val="12"/>
        <rFont val="楷体_GB2312"/>
        <charset val="134"/>
      </rPr>
      <t>大厦现场有3台塔式起重机，其中一台编号为3号的塔式起重机安装单位为中建二局第一建筑工程有限公司。该塔式起重机安装前未按规定书面告知工程所在地县级以上地方人民政府建设主管部门，涉嫌违法《建筑起重机械安全监督管理规定》第十二条第五项的规定。</t>
    </r>
  </si>
  <si>
    <t>深南住建罚〔2018〕8号</t>
  </si>
  <si>
    <t>关于中核华兴达丰机械械工程有限公司未办理安装告知手续擅自安装塔式起重机械案</t>
  </si>
  <si>
    <t>中核华兴达丰机械工程有限公司</t>
  </si>
  <si>
    <r>
      <rPr>
        <sz val="12"/>
        <rFont val="楷体_GB2312"/>
        <charset val="134"/>
      </rPr>
      <t>经查，长源御景</t>
    </r>
    <r>
      <rPr>
        <sz val="12"/>
        <rFont val="宋体"/>
        <charset val="134"/>
      </rPr>
      <t>峯</t>
    </r>
    <r>
      <rPr>
        <sz val="12"/>
        <rFont val="楷体_GB2312"/>
        <charset val="134"/>
      </rPr>
      <t>大厦现场有3台塔式起重机，其中两台编号为1号和2号的塔式起重机安装单位为中核华兴达丰机械工程有限公司。两台塔式起重机安装前未按规定书面告知工程所在地县级以上地方人民政府建设主管部门，涉嫌违法《建筑起重机械安全监督管理规定》第十二条第五项的规定。</t>
    </r>
  </si>
  <si>
    <t>深南住建罚〔2018〕9号</t>
  </si>
  <si>
    <t>关于深圳市京基房地产股份有限公司未责令安装单位、使用单位立即停工整改案</t>
  </si>
  <si>
    <t>经查，长源御景峯大厦的建设单位为深圳市京基房地产股份有限公司，该工程现场有3台塔式起重机，塔式起重机在未告知工程所在地县级以上人民政府建设主管部门情况下进行安装作业并投入使用。建设单位接到监理单位报告后，未责令安装单位、使用单位立即停工整改。涉嫌违法《建筑起重机械安全监督管理规定》第三十三第二项的规定。</t>
  </si>
  <si>
    <t>深南住建罚〔2018〕10号</t>
  </si>
  <si>
    <t>关于深圳市九州建设技术股份有限公司未审核塔式起重机械安装单位相关材料案</t>
  </si>
  <si>
    <r>
      <rPr>
        <sz val="12"/>
        <rFont val="楷体_GB2312"/>
        <charset val="134"/>
      </rPr>
      <t>经查，长源御景</t>
    </r>
    <r>
      <rPr>
        <sz val="12"/>
        <rFont val="宋体"/>
        <charset val="134"/>
      </rPr>
      <t>峯</t>
    </r>
    <r>
      <rPr>
        <sz val="12"/>
        <rFont val="楷体_GB2312"/>
        <charset val="134"/>
      </rPr>
      <t>大厦的监理单位为深圳市九州建设技术股份有限公司。该工程现场有3台塔式起重机，建筑起重机械安装单位资质证书、安全生产许可证和特种作业操作资格证书虽然合乎要求，但监理单位未审核。涉嫌违反《建筑起重机械安全监督管理规定》第二十二条第二项的规定。</t>
    </r>
  </si>
  <si>
    <t>深南住建罚〔2018〕11号</t>
  </si>
  <si>
    <t>关于深圳市蛇口招商港湾工程有限公司未采用密闭式防尘网遮盖建筑土方案</t>
  </si>
  <si>
    <t>康佳集团总部厂区城市更新项目基坑支护与土石方工程</t>
  </si>
  <si>
    <t>深圳市蛇口招商港湾工程有限公司</t>
  </si>
  <si>
    <t>场地内堆放的建筑土方未采取遮盖措施。涉嫌违反《中华人民共和国大气污染防治法》第六十九条。</t>
  </si>
  <si>
    <t>深南住建安罚〔2018〕201号</t>
  </si>
  <si>
    <t>长源京基御领公馆</t>
  </si>
  <si>
    <t>经查，长源京基御领公馆现场有2台塔式起重机，这2台建筑起重机械的产权和安装单位为中建二局第一建筑工程有限公司，该工程建筑起重机械安装前未按规定书面告知工程所在地县级以上地方人民政府建设部门并办理安装告知手续，你单位违反了《建筑起重机械安全监督管理规定》第十二条第五项的规定。</t>
  </si>
  <si>
    <t>深南住建安罚〔2018〕第202号</t>
  </si>
  <si>
    <t>关于深圳市九州建设技术股份有限公司未监督检查建筑起重机械使用情况案</t>
  </si>
  <si>
    <t>经查，长源京基御领公馆的监理单位为深圳市九州建设技术股份有限公司，该工程现场有5台建筑起重机械，监理单位未按要求监督检查建筑起重机械的使用情况，你单位违反了《建筑起重机械安全监督管理规定》第十二条第五项的规定。</t>
  </si>
  <si>
    <t>深南住建安罚〔2018〕第203号</t>
  </si>
  <si>
    <t>经查，长源京基御领公馆的建设单位为深圳市京基房地产股份有限公司，该工程现场有2台塔式起重机和3台施工升降机，该工程塔式起重机、施工升降机未告知工程所在地县级以上地方人民政府建设部门下进行安装作业并投入使用，监理对其发的安全隐患整改报告，建设单位未责令安装单位、使用单位立即停工整改。你单位违反了《建筑起重机械安全监督管理规定》第三十三条第二项的规定。</t>
  </si>
  <si>
    <t>深南住建安罚〔2018〕第204号</t>
  </si>
  <si>
    <r>
      <rPr>
        <sz val="14"/>
        <rFont val="楷体_GB2312"/>
        <charset val="134"/>
      </rPr>
      <t>关于广东省肇庆市</t>
    </r>
    <r>
      <rPr>
        <sz val="14"/>
        <rFont val="宋体"/>
        <charset val="134"/>
      </rPr>
      <t>燊</t>
    </r>
    <r>
      <rPr>
        <sz val="14"/>
        <rFont val="楷体_GB2312"/>
        <charset val="134"/>
      </rPr>
      <t>荣建筑安装装饰工程有限公司未办理安装告知手续擅自安装建筑起重机械案</t>
    </r>
  </si>
  <si>
    <r>
      <rPr>
        <sz val="14"/>
        <rFont val="楷体_GB2312"/>
        <charset val="134"/>
      </rPr>
      <t>广东省肇庆市</t>
    </r>
    <r>
      <rPr>
        <sz val="14"/>
        <rFont val="宋体"/>
        <charset val="134"/>
      </rPr>
      <t>燊</t>
    </r>
    <r>
      <rPr>
        <sz val="14"/>
        <rFont val="楷体_GB2312"/>
        <charset val="134"/>
      </rPr>
      <t>荣建筑安装装饰工程有限公司</t>
    </r>
  </si>
  <si>
    <t>经查，长源京基御领公馆现场有3台施工升降机，这3台建筑起重机械安装单位为广东省肇庆市燊荣建筑安装装饰工程有限公司，该工程建筑起重机械安装前未按规定书面告知工程所在地县级以上地方人民政府建设部门并办理安装告知手续，你单位违反了《建筑起重机械安全监督管理规定》第十二条第五项的规定。</t>
  </si>
  <si>
    <t>深南住建安罚〔2018〕第205号</t>
  </si>
  <si>
    <t>关于河南六建租赁有限公司未办理安装告知手续擅自安装塔式起重机械案</t>
  </si>
  <si>
    <t>临海揽山御园</t>
  </si>
  <si>
    <t>河南六建租赁有限公司</t>
  </si>
  <si>
    <t>经查，你单位作为临海揽山御园项目塔式起重机械的安装单位，在该工程安装的1台塔式起重机械安装前未书面告知工程所在地县级以上地方人民政府建设主管部门，你单位的上述行为违反了《建筑起重机械安全监督管理规定》第十二条第五款的规定。</t>
  </si>
  <si>
    <t>深南住建罚〔2018〕31号</t>
  </si>
  <si>
    <t>关于深圳市宏丰机械设备有限公司未办理安装告知手续擅自安装塔式起重机械案</t>
  </si>
  <si>
    <t>深圳市宏丰机械设备有限公司</t>
  </si>
  <si>
    <t>经查，临海揽山御园项目现场有6台塔式起重机，其中5台编号1、2、3、4、5号的塔式起重机安装单位为深圳市宏丰达机械设备有限公司。该塔式起重机安装前未书面告知工程所在地县级以上地方人民政府建设主管部门，涉嫌违反《建筑起重机械安全监督管理规定》第十二条第五项的规定。</t>
  </si>
  <si>
    <t>深南住建罚〔2018〕32号</t>
  </si>
  <si>
    <t>经查，临海揽山御园项目的监理单位为深圳市九州建设技术股份有限公司。该工程现场有6台塔式起重机，建筑起重机械安装单位资质证书、安全生产许可证和特种作业操作资格证书虽然合乎要求，但监理单位未审核。涉嫌违反《建筑起重机械安全监督管理规定》第二十二条第二项的规定。</t>
  </si>
  <si>
    <t>深南住建罚〔2018〕33号</t>
  </si>
  <si>
    <t>关于深圳市富诺房地产开发有限公司未责令停止安装、使用塔式起重机械案</t>
  </si>
  <si>
    <t>深圳市富诺房地产开发有限公司</t>
  </si>
  <si>
    <t>经查，临海揽山御园项目的建设单位为深圳市富诺房地产开发有限公司，该工程现场有6台塔式起重机。该塔式起重机安装前未书面告知工程所在地县级以上地方人民政府建设主管部门情况下进行安装作业并投入使用，建设单位接到监理单位报告后，未责令安装单位、使用单位立即停工整改。涉嫌违反《建筑起重机械安全监督管理规定》第三十三条第二项的规定。</t>
  </si>
  <si>
    <t>深南住建罚〔2018〕34号</t>
  </si>
  <si>
    <t>关于湖南省第四工程有限公司未制定实施塔式起重机械安全措施案</t>
  </si>
  <si>
    <t>湖南省第四工程有限公司</t>
  </si>
  <si>
    <t>经查，临海揽山御园项目的施工总承包单位为湖南省第四工程有限公司，该工程现场有6台塔式起重机，施工总承包未组织制定并实施防止塔式起重机相互碰撞的安全措施。涉嫌违反《建筑起重机械安全监督管理规定》第二十一条第七项的规定。</t>
  </si>
  <si>
    <t>深南住建罚〔2018〕35号</t>
  </si>
  <si>
    <t>17年立案结转</t>
  </si>
  <si>
    <t>处罚金额</t>
  </si>
  <si>
    <t>18年立案</t>
  </si>
  <si>
    <t>合计</t>
  </si>
</sst>
</file>

<file path=xl/styles.xml><?xml version="1.0" encoding="utf-8"?>
<styleSheet xmlns="http://schemas.openxmlformats.org/spreadsheetml/2006/main">
  <numFmts count="5">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 numFmtId="176" formatCode="#,##0.0000_);[Red]\(#,##0.0000\)"/>
  </numFmts>
  <fonts count="29">
    <font>
      <sz val="12"/>
      <name val="宋体"/>
      <charset val="134"/>
    </font>
    <font>
      <b/>
      <sz val="12"/>
      <name val="宋体"/>
      <charset val="134"/>
    </font>
    <font>
      <b/>
      <sz val="24"/>
      <name val="宋体"/>
      <charset val="134"/>
    </font>
    <font>
      <sz val="12"/>
      <name val="楷体_GB2312"/>
      <charset val="134"/>
    </font>
    <font>
      <b/>
      <sz val="14"/>
      <name val="楷体_GB2312"/>
      <charset val="134"/>
    </font>
    <font>
      <sz val="14"/>
      <name val="楷体_GB2312"/>
      <charset val="134"/>
    </font>
    <font>
      <b/>
      <sz val="12"/>
      <name val="楷体_GB2312"/>
      <charset val="134"/>
    </font>
    <font>
      <sz val="11"/>
      <color theme="1"/>
      <name val="宋体"/>
      <charset val="134"/>
      <scheme val="minor"/>
    </font>
    <font>
      <sz val="11"/>
      <color theme="1"/>
      <name val="宋体"/>
      <charset val="0"/>
      <scheme val="minor"/>
    </font>
    <font>
      <b/>
      <sz val="11"/>
      <color theme="3"/>
      <name val="宋体"/>
      <charset val="134"/>
      <scheme val="minor"/>
    </font>
    <font>
      <sz val="11"/>
      <color rgb="FF9C0006"/>
      <name val="宋体"/>
      <charset val="0"/>
      <scheme val="minor"/>
    </font>
    <font>
      <sz val="11"/>
      <color rgb="FF3F3F7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sz val="11"/>
      <color rgb="FF9C650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sz val="11"/>
      <color rgb="FFFA7D00"/>
      <name val="宋体"/>
      <charset val="0"/>
      <scheme val="minor"/>
    </font>
    <font>
      <b/>
      <sz val="15"/>
      <color theme="3"/>
      <name val="宋体"/>
      <charset val="134"/>
      <scheme val="minor"/>
    </font>
    <font>
      <b/>
      <sz val="11"/>
      <color theme="1"/>
      <name val="宋体"/>
      <charset val="0"/>
      <scheme val="minor"/>
    </font>
    <font>
      <b/>
      <sz val="13"/>
      <color theme="3"/>
      <name val="宋体"/>
      <charset val="134"/>
      <scheme val="minor"/>
    </font>
    <font>
      <sz val="11"/>
      <color rgb="FF006100"/>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b/>
      <sz val="14"/>
      <name val="宋体"/>
      <charset val="134"/>
    </font>
    <font>
      <sz val="14"/>
      <name val="宋体"/>
      <charset val="134"/>
    </font>
  </fonts>
  <fills count="34">
    <fill>
      <patternFill patternType="none"/>
    </fill>
    <fill>
      <patternFill patternType="gray125"/>
    </fill>
    <fill>
      <patternFill patternType="solid">
        <fgColor rgb="FFFFFF00"/>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rgb="FFFFCC99"/>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theme="9"/>
        <bgColor indexed="64"/>
      </patternFill>
    </fill>
    <fill>
      <patternFill patternType="solid">
        <fgColor theme="7"/>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rgb="FFFFFFCC"/>
        <bgColor indexed="64"/>
      </patternFill>
    </fill>
    <fill>
      <patternFill patternType="solid">
        <fgColor rgb="FFFFEB9C"/>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theme="5"/>
        <bgColor indexed="64"/>
      </patternFill>
    </fill>
    <fill>
      <patternFill patternType="solid">
        <fgColor theme="8" tint="0.799981688894314"/>
        <bgColor indexed="64"/>
      </patternFill>
    </fill>
    <fill>
      <patternFill patternType="solid">
        <fgColor theme="6"/>
        <bgColor indexed="64"/>
      </patternFill>
    </fill>
    <fill>
      <patternFill patternType="solid">
        <fgColor theme="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8" tint="0.599993896298105"/>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7" fillId="0" borderId="0" applyFont="0" applyFill="0" applyBorder="0" applyAlignment="0" applyProtection="0">
      <alignment vertical="center"/>
    </xf>
    <xf numFmtId="0" fontId="8" fillId="6" borderId="0" applyNumberFormat="0" applyBorder="0" applyAlignment="0" applyProtection="0">
      <alignment vertical="center"/>
    </xf>
    <xf numFmtId="0" fontId="11" fillId="8" borderId="5" applyNumberFormat="0" applyAlignment="0" applyProtection="0">
      <alignment vertical="center"/>
    </xf>
    <xf numFmtId="44" fontId="7" fillId="0" borderId="0" applyFont="0" applyFill="0" applyBorder="0" applyAlignment="0" applyProtection="0">
      <alignment vertical="center"/>
    </xf>
    <xf numFmtId="41" fontId="7" fillId="0" borderId="0" applyFont="0" applyFill="0" applyBorder="0" applyAlignment="0" applyProtection="0">
      <alignment vertical="center"/>
    </xf>
    <xf numFmtId="0" fontId="8" fillId="4" borderId="0" applyNumberFormat="0" applyBorder="0" applyAlignment="0" applyProtection="0">
      <alignment vertical="center"/>
    </xf>
    <xf numFmtId="0" fontId="10" fillId="7" borderId="0" applyNumberFormat="0" applyBorder="0" applyAlignment="0" applyProtection="0">
      <alignment vertical="center"/>
    </xf>
    <xf numFmtId="43" fontId="7" fillId="0" borderId="0" applyFont="0" applyFill="0" applyBorder="0" applyAlignment="0" applyProtection="0">
      <alignment vertical="center"/>
    </xf>
    <xf numFmtId="0" fontId="12" fillId="10" borderId="0" applyNumberFormat="0" applyBorder="0" applyAlignment="0" applyProtection="0">
      <alignment vertical="center"/>
    </xf>
    <xf numFmtId="0" fontId="13" fillId="0" borderId="0" applyNumberFormat="0" applyFill="0" applyBorder="0" applyAlignment="0" applyProtection="0">
      <alignment vertical="center"/>
    </xf>
    <xf numFmtId="9" fontId="7" fillId="0" borderId="0" applyFont="0" applyFill="0" applyBorder="0" applyAlignment="0" applyProtection="0">
      <alignment vertical="center"/>
    </xf>
    <xf numFmtId="0" fontId="14" fillId="0" borderId="0" applyNumberFormat="0" applyFill="0" applyBorder="0" applyAlignment="0" applyProtection="0">
      <alignment vertical="center"/>
    </xf>
    <xf numFmtId="0" fontId="7" fillId="15" borderId="6" applyNumberFormat="0" applyFont="0" applyAlignment="0" applyProtection="0">
      <alignment vertical="center"/>
    </xf>
    <xf numFmtId="0" fontId="12" fillId="17" borderId="0" applyNumberFormat="0" applyBorder="0" applyAlignment="0" applyProtection="0">
      <alignment vertical="center"/>
    </xf>
    <xf numFmtId="0" fontId="9"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0" fillId="0" borderId="8" applyNumberFormat="0" applyFill="0" applyAlignment="0" applyProtection="0">
      <alignment vertical="center"/>
    </xf>
    <xf numFmtId="0" fontId="22" fillId="0" borderId="8" applyNumberFormat="0" applyFill="0" applyAlignment="0" applyProtection="0">
      <alignment vertical="center"/>
    </xf>
    <xf numFmtId="0" fontId="12" fillId="22" borderId="0" applyNumberFormat="0" applyBorder="0" applyAlignment="0" applyProtection="0">
      <alignment vertical="center"/>
    </xf>
    <xf numFmtId="0" fontId="9" fillId="0" borderId="10" applyNumberFormat="0" applyFill="0" applyAlignment="0" applyProtection="0">
      <alignment vertical="center"/>
    </xf>
    <xf numFmtId="0" fontId="12" fillId="20" borderId="0" applyNumberFormat="0" applyBorder="0" applyAlignment="0" applyProtection="0">
      <alignment vertical="center"/>
    </xf>
    <xf numFmtId="0" fontId="24" fillId="25" borderId="11" applyNumberFormat="0" applyAlignment="0" applyProtection="0">
      <alignment vertical="center"/>
    </xf>
    <xf numFmtId="0" fontId="25" fillId="25" borderId="5" applyNumberFormat="0" applyAlignment="0" applyProtection="0">
      <alignment vertical="center"/>
    </xf>
    <xf numFmtId="0" fontId="26" fillId="26" borderId="12" applyNumberFormat="0" applyAlignment="0" applyProtection="0">
      <alignment vertical="center"/>
    </xf>
    <xf numFmtId="0" fontId="8" fillId="14" borderId="0" applyNumberFormat="0" applyBorder="0" applyAlignment="0" applyProtection="0">
      <alignment vertical="center"/>
    </xf>
    <xf numFmtId="0" fontId="12" fillId="27" borderId="0" applyNumberFormat="0" applyBorder="0" applyAlignment="0" applyProtection="0">
      <alignment vertical="center"/>
    </xf>
    <xf numFmtId="0" fontId="19" fillId="0" borderId="7" applyNumberFormat="0" applyFill="0" applyAlignment="0" applyProtection="0">
      <alignment vertical="center"/>
    </xf>
    <xf numFmtId="0" fontId="21" fillId="0" borderId="9" applyNumberFormat="0" applyFill="0" applyAlignment="0" applyProtection="0">
      <alignment vertical="center"/>
    </xf>
    <xf numFmtId="0" fontId="23" fillId="24" borderId="0" applyNumberFormat="0" applyBorder="0" applyAlignment="0" applyProtection="0">
      <alignment vertical="center"/>
    </xf>
    <xf numFmtId="0" fontId="15" fillId="16" borderId="0" applyNumberFormat="0" applyBorder="0" applyAlignment="0" applyProtection="0">
      <alignment vertical="center"/>
    </xf>
    <xf numFmtId="0" fontId="8" fillId="28" borderId="0" applyNumberFormat="0" applyBorder="0" applyAlignment="0" applyProtection="0">
      <alignment vertical="center"/>
    </xf>
    <xf numFmtId="0" fontId="12" fillId="30" borderId="0" applyNumberFormat="0" applyBorder="0" applyAlignment="0" applyProtection="0">
      <alignment vertical="center"/>
    </xf>
    <xf numFmtId="0" fontId="8" fillId="5" borderId="0" applyNumberFormat="0" applyBorder="0" applyAlignment="0" applyProtection="0">
      <alignment vertical="center"/>
    </xf>
    <xf numFmtId="0" fontId="8" fillId="3"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12" fillId="29" borderId="0" applyNumberFormat="0" applyBorder="0" applyAlignment="0" applyProtection="0">
      <alignment vertical="center"/>
    </xf>
    <xf numFmtId="0" fontId="12" fillId="12" borderId="0" applyNumberFormat="0" applyBorder="0" applyAlignment="0" applyProtection="0">
      <alignment vertical="center"/>
    </xf>
    <xf numFmtId="0" fontId="8" fillId="13" borderId="0" applyNumberFormat="0" applyBorder="0" applyAlignment="0" applyProtection="0">
      <alignment vertical="center"/>
    </xf>
    <xf numFmtId="0" fontId="8" fillId="19" borderId="0" applyNumberFormat="0" applyBorder="0" applyAlignment="0" applyProtection="0">
      <alignment vertical="center"/>
    </xf>
    <xf numFmtId="0" fontId="12" fillId="21" borderId="0" applyNumberFormat="0" applyBorder="0" applyAlignment="0" applyProtection="0">
      <alignment vertical="center"/>
    </xf>
    <xf numFmtId="0" fontId="8" fillId="33" borderId="0" applyNumberFormat="0" applyBorder="0" applyAlignment="0" applyProtection="0">
      <alignment vertical="center"/>
    </xf>
    <xf numFmtId="0" fontId="12" fillId="9" borderId="0" applyNumberFormat="0" applyBorder="0" applyAlignment="0" applyProtection="0">
      <alignment vertical="center"/>
    </xf>
    <xf numFmtId="0" fontId="12" fillId="11" borderId="0" applyNumberFormat="0" applyBorder="0" applyAlignment="0" applyProtection="0">
      <alignment vertical="center"/>
    </xf>
    <xf numFmtId="0" fontId="8" fillId="18" borderId="0" applyNumberFormat="0" applyBorder="0" applyAlignment="0" applyProtection="0">
      <alignment vertical="center"/>
    </xf>
    <xf numFmtId="0" fontId="12" fillId="23" borderId="0" applyNumberFormat="0" applyBorder="0" applyAlignment="0" applyProtection="0">
      <alignment vertical="center"/>
    </xf>
  </cellStyleXfs>
  <cellXfs count="50">
    <xf numFmtId="0" fontId="0" fillId="0" borderId="0" xfId="0"/>
    <xf numFmtId="0" fontId="1" fillId="0" borderId="0" xfId="0" applyFont="1" applyAlignment="1">
      <alignment horizontal="center" vertical="center" wrapText="1"/>
    </xf>
    <xf numFmtId="0" fontId="0" fillId="0" borderId="0" xfId="0" applyFill="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left" vertical="center" wrapText="1"/>
    </xf>
    <xf numFmtId="14" fontId="1" fillId="0" borderId="1" xfId="0" applyNumberFormat="1" applyFont="1" applyBorder="1" applyAlignment="1">
      <alignment horizontal="center" vertical="center"/>
    </xf>
    <xf numFmtId="4" fontId="1" fillId="0" borderId="1" xfId="0" applyNumberFormat="1" applyFont="1" applyBorder="1" applyAlignment="1">
      <alignment horizontal="center" vertical="center"/>
    </xf>
    <xf numFmtId="176" fontId="1" fillId="0" borderId="1" xfId="0" applyNumberFormat="1" applyFont="1" applyBorder="1" applyAlignment="1">
      <alignment horizontal="center" vertical="center"/>
    </xf>
    <xf numFmtId="0" fontId="0" fillId="0" borderId="0" xfId="0"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xf>
    <xf numFmtId="0" fontId="1"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4" fillId="0" borderId="2"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center" vertical="center"/>
    </xf>
    <xf numFmtId="0" fontId="3"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49" fontId="4" fillId="0" borderId="2" xfId="0" applyNumberFormat="1" applyFont="1" applyFill="1" applyBorder="1" applyAlignment="1">
      <alignment horizontal="center" vertical="center" wrapText="1"/>
    </xf>
    <xf numFmtId="49" fontId="4" fillId="0" borderId="3" xfId="0" applyNumberFormat="1" applyFon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14" fontId="3" fillId="0" borderId="1"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6" fillId="2" borderId="1" xfId="0" applyFont="1" applyFill="1" applyBorder="1" applyAlignment="1">
      <alignment horizontal="center" vertical="center" wrapText="1"/>
    </xf>
    <xf numFmtId="14" fontId="1" fillId="0" borderId="1" xfId="0" applyNumberFormat="1" applyFont="1" applyFill="1" applyBorder="1" applyAlignment="1">
      <alignment horizontal="center" vertical="center" wrapText="1"/>
    </xf>
    <xf numFmtId="176" fontId="1" fillId="0" borderId="1" xfId="0" applyNumberFormat="1" applyFont="1" applyFill="1" applyBorder="1" applyAlignment="1">
      <alignment horizontal="center" vertical="center" wrapText="1"/>
    </xf>
    <xf numFmtId="14" fontId="6" fillId="0" borderId="1" xfId="0" applyNumberFormat="1" applyFont="1" applyFill="1" applyBorder="1" applyAlignment="1">
      <alignment horizontal="center" vertical="center"/>
    </xf>
    <xf numFmtId="176" fontId="6" fillId="0" borderId="1" xfId="0" applyNumberFormat="1" applyFont="1" applyFill="1" applyBorder="1" applyAlignment="1">
      <alignment horizontal="center" vertical="center"/>
    </xf>
    <xf numFmtId="14" fontId="3" fillId="0" borderId="1" xfId="0" applyNumberFormat="1" applyFont="1" applyFill="1" applyBorder="1" applyAlignment="1">
      <alignment horizontal="center" vertical="center"/>
    </xf>
    <xf numFmtId="14" fontId="6" fillId="0" borderId="1" xfId="0" applyNumberFormat="1" applyFont="1" applyFill="1" applyBorder="1" applyAlignment="1">
      <alignment horizontal="center" vertical="center" wrapText="1"/>
    </xf>
    <xf numFmtId="14" fontId="6" fillId="0" borderId="1" xfId="0" applyNumberFormat="1" applyFont="1" applyBorder="1" applyAlignment="1">
      <alignment horizontal="center" vertical="center"/>
    </xf>
    <xf numFmtId="4" fontId="6" fillId="0" borderId="1" xfId="0" applyNumberFormat="1" applyFont="1" applyBorder="1" applyAlignment="1">
      <alignment horizontal="center" vertical="center"/>
    </xf>
    <xf numFmtId="176" fontId="6" fillId="0" borderId="1" xfId="0" applyNumberFormat="1" applyFont="1" applyBorder="1" applyAlignment="1">
      <alignment horizontal="center" vertical="center"/>
    </xf>
    <xf numFmtId="0" fontId="6" fillId="2" borderId="1" xfId="0" applyNumberFormat="1" applyFont="1" applyFill="1" applyBorder="1" applyAlignment="1">
      <alignment horizontal="center" vertical="center"/>
    </xf>
    <xf numFmtId="4" fontId="1" fillId="2" borderId="1" xfId="0" applyNumberFormat="1" applyFont="1" applyFill="1" applyBorder="1" applyAlignment="1">
      <alignment horizontal="center" vertical="center"/>
    </xf>
    <xf numFmtId="176" fontId="1" fillId="2" borderId="1" xfId="0" applyNumberFormat="1" applyFont="1" applyFill="1" applyBorder="1" applyAlignment="1">
      <alignment horizontal="center" vertical="center"/>
    </xf>
    <xf numFmtId="176" fontId="6" fillId="2" borderId="1" xfId="0" applyNumberFormat="1" applyFont="1" applyFill="1" applyBorder="1" applyAlignment="1">
      <alignment horizontal="center" vertical="center"/>
    </xf>
    <xf numFmtId="4" fontId="6" fillId="2" borderId="1" xfId="0" applyNumberFormat="1" applyFont="1" applyFill="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CCE8CC"/>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36"/>
  <sheetViews>
    <sheetView tabSelected="1" zoomScale="85" zoomScaleNormal="85" workbookViewId="0">
      <pane ySplit="2" topLeftCell="A3" activePane="bottomLeft" state="frozen"/>
      <selection/>
      <selection pane="bottomLeft" activeCell="E3" sqref="E3"/>
    </sheetView>
  </sheetViews>
  <sheetFormatPr defaultColWidth="8.7" defaultRowHeight="14.25"/>
  <cols>
    <col min="1" max="1" width="6.9" style="3" customWidth="1"/>
    <col min="2" max="2" width="32" style="4" customWidth="1"/>
    <col min="3" max="3" width="16" style="5" customWidth="1"/>
    <col min="4" max="4" width="24.7" style="4" customWidth="1"/>
    <col min="5" max="5" width="19.2" style="3" customWidth="1"/>
    <col min="6" max="6" width="19.2" style="4" customWidth="1"/>
    <col min="7" max="7" width="54.6666666666667" style="6" customWidth="1"/>
    <col min="8" max="8" width="15.7" style="4" customWidth="1"/>
    <col min="9" max="9" width="15.7" style="7" customWidth="1"/>
    <col min="10" max="10" width="15.7" style="8" customWidth="1"/>
    <col min="11" max="11" width="15.7" style="9" customWidth="1"/>
    <col min="12" max="12" width="15.7" style="7" customWidth="1"/>
    <col min="13" max="13" width="9" style="3"/>
    <col min="14" max="32" width="9" style="10"/>
    <col min="33" max="255" width="8.7" style="10"/>
  </cols>
  <sheetData>
    <row r="1" ht="39.9" customHeight="1" spans="1:12">
      <c r="A1" s="11" t="s">
        <v>0</v>
      </c>
      <c r="B1" s="12"/>
      <c r="C1" s="11"/>
      <c r="D1" s="11"/>
      <c r="E1" s="11"/>
      <c r="F1" s="12"/>
      <c r="G1" s="13"/>
      <c r="H1" s="11"/>
      <c r="I1" s="11"/>
      <c r="J1" s="11"/>
      <c r="K1" s="11"/>
      <c r="L1" s="11"/>
    </row>
    <row r="2" s="1" customFormat="1" ht="39.6" customHeight="1" spans="1:13">
      <c r="A2" s="14" t="s">
        <v>1</v>
      </c>
      <c r="B2" s="14" t="s">
        <v>2</v>
      </c>
      <c r="C2" s="14" t="s">
        <v>3</v>
      </c>
      <c r="D2" s="14" t="s">
        <v>4</v>
      </c>
      <c r="E2" s="14" t="s">
        <v>5</v>
      </c>
      <c r="F2" s="14" t="s">
        <v>6</v>
      </c>
      <c r="G2" s="14" t="s">
        <v>7</v>
      </c>
      <c r="H2" s="14" t="s">
        <v>8</v>
      </c>
      <c r="I2" s="36" t="s">
        <v>9</v>
      </c>
      <c r="J2" s="36" t="s">
        <v>10</v>
      </c>
      <c r="K2" s="37" t="s">
        <v>11</v>
      </c>
      <c r="L2" s="36" t="s">
        <v>12</v>
      </c>
      <c r="M2" s="14" t="s">
        <v>13</v>
      </c>
    </row>
    <row r="3" ht="142.5" spans="1:13">
      <c r="A3" s="15">
        <v>1</v>
      </c>
      <c r="B3" s="15"/>
      <c r="C3" s="16" t="s">
        <v>14</v>
      </c>
      <c r="D3" s="17" t="s">
        <v>15</v>
      </c>
      <c r="E3" s="18" t="s">
        <v>16</v>
      </c>
      <c r="F3" s="17" t="s">
        <v>17</v>
      </c>
      <c r="G3" s="19" t="s">
        <v>18</v>
      </c>
      <c r="H3" s="20" t="s">
        <v>19</v>
      </c>
      <c r="I3" s="38">
        <v>43088</v>
      </c>
      <c r="J3" s="38">
        <v>43124</v>
      </c>
      <c r="K3" s="39">
        <v>3</v>
      </c>
      <c r="L3" s="40" t="s">
        <v>20</v>
      </c>
      <c r="M3" s="15">
        <v>3</v>
      </c>
    </row>
    <row r="4" ht="128.25" spans="1:13">
      <c r="A4" s="15">
        <v>2</v>
      </c>
      <c r="B4" s="15"/>
      <c r="C4" s="21"/>
      <c r="D4" s="17" t="s">
        <v>21</v>
      </c>
      <c r="E4" s="18" t="s">
        <v>22</v>
      </c>
      <c r="F4" s="17" t="s">
        <v>23</v>
      </c>
      <c r="G4" s="19" t="s">
        <v>24</v>
      </c>
      <c r="H4" s="20" t="s">
        <v>25</v>
      </c>
      <c r="I4" s="38">
        <v>43088</v>
      </c>
      <c r="J4" s="38">
        <v>43124</v>
      </c>
      <c r="K4" s="39">
        <v>3</v>
      </c>
      <c r="L4" s="40" t="s">
        <v>20</v>
      </c>
      <c r="M4" s="15">
        <v>3</v>
      </c>
    </row>
    <row r="5" ht="171" spans="1:13">
      <c r="A5" s="15">
        <v>3</v>
      </c>
      <c r="B5" s="15"/>
      <c r="C5" s="22"/>
      <c r="D5" s="17" t="s">
        <v>26</v>
      </c>
      <c r="E5" s="18" t="s">
        <v>27</v>
      </c>
      <c r="F5" s="17" t="s">
        <v>28</v>
      </c>
      <c r="G5" s="19" t="s">
        <v>29</v>
      </c>
      <c r="H5" s="20" t="s">
        <v>30</v>
      </c>
      <c r="I5" s="38">
        <v>43088</v>
      </c>
      <c r="J5" s="38">
        <v>43124</v>
      </c>
      <c r="K5" s="39">
        <v>1</v>
      </c>
      <c r="L5" s="40" t="s">
        <v>20</v>
      </c>
      <c r="M5" s="15">
        <v>3</v>
      </c>
    </row>
    <row r="6" ht="142.5" spans="1:13">
      <c r="A6" s="15">
        <v>4</v>
      </c>
      <c r="B6" s="15"/>
      <c r="C6" s="23" t="s">
        <v>31</v>
      </c>
      <c r="D6" s="17" t="s">
        <v>32</v>
      </c>
      <c r="E6" s="18" t="s">
        <v>16</v>
      </c>
      <c r="F6" s="17" t="s">
        <v>33</v>
      </c>
      <c r="G6" s="19" t="s">
        <v>34</v>
      </c>
      <c r="H6" s="20" t="s">
        <v>35</v>
      </c>
      <c r="I6" s="41">
        <v>43095</v>
      </c>
      <c r="J6" s="38">
        <v>43118</v>
      </c>
      <c r="K6" s="39">
        <v>3</v>
      </c>
      <c r="L6" s="40" t="s">
        <v>36</v>
      </c>
      <c r="M6" s="15">
        <v>3</v>
      </c>
    </row>
    <row r="7" ht="85.5" spans="1:13">
      <c r="A7" s="15">
        <v>5</v>
      </c>
      <c r="B7" s="15"/>
      <c r="C7" s="24"/>
      <c r="D7" s="17" t="s">
        <v>37</v>
      </c>
      <c r="E7" s="18" t="s">
        <v>27</v>
      </c>
      <c r="F7" s="17" t="s">
        <v>38</v>
      </c>
      <c r="G7" s="19" t="s">
        <v>39</v>
      </c>
      <c r="H7" s="20" t="s">
        <v>40</v>
      </c>
      <c r="I7" s="41">
        <v>43095</v>
      </c>
      <c r="J7" s="38">
        <v>43118</v>
      </c>
      <c r="K7" s="39">
        <v>1</v>
      </c>
      <c r="L7" s="40" t="s">
        <v>36</v>
      </c>
      <c r="M7" s="15">
        <v>3</v>
      </c>
    </row>
    <row r="8" ht="128.25" spans="1:13">
      <c r="A8" s="15">
        <v>6</v>
      </c>
      <c r="B8" s="15"/>
      <c r="C8" s="25"/>
      <c r="D8" s="17" t="s">
        <v>41</v>
      </c>
      <c r="E8" s="18" t="s">
        <v>42</v>
      </c>
      <c r="F8" s="17" t="s">
        <v>43</v>
      </c>
      <c r="G8" s="19" t="s">
        <v>44</v>
      </c>
      <c r="H8" s="20" t="s">
        <v>45</v>
      </c>
      <c r="I8" s="41">
        <v>43095</v>
      </c>
      <c r="J8" s="38">
        <v>43118</v>
      </c>
      <c r="K8" s="39">
        <v>3</v>
      </c>
      <c r="L8" s="40" t="s">
        <v>36</v>
      </c>
      <c r="M8" s="15">
        <v>3</v>
      </c>
    </row>
    <row r="9" ht="85.5" spans="1:13">
      <c r="A9" s="15">
        <v>7</v>
      </c>
      <c r="B9" s="17" t="s">
        <v>46</v>
      </c>
      <c r="C9" s="23" t="s">
        <v>47</v>
      </c>
      <c r="D9" s="17" t="s">
        <v>48</v>
      </c>
      <c r="E9" s="18" t="s">
        <v>16</v>
      </c>
      <c r="F9" s="17"/>
      <c r="G9" s="19" t="s">
        <v>49</v>
      </c>
      <c r="H9" s="20" t="s">
        <v>50</v>
      </c>
      <c r="I9" s="38">
        <v>43132</v>
      </c>
      <c r="J9" s="38">
        <v>43175</v>
      </c>
      <c r="K9" s="39">
        <v>1</v>
      </c>
      <c r="L9" s="40">
        <v>43182</v>
      </c>
      <c r="M9" s="15">
        <v>1</v>
      </c>
    </row>
    <row r="10" ht="71.25" spans="1:13">
      <c r="A10" s="15">
        <v>8</v>
      </c>
      <c r="B10" s="17" t="s">
        <v>51</v>
      </c>
      <c r="C10" s="24"/>
      <c r="D10" s="26" t="s">
        <v>52</v>
      </c>
      <c r="E10" s="18" t="s">
        <v>27</v>
      </c>
      <c r="F10" s="17"/>
      <c r="G10" s="19" t="s">
        <v>53</v>
      </c>
      <c r="H10" s="20" t="s">
        <v>54</v>
      </c>
      <c r="I10" s="38">
        <v>43132</v>
      </c>
      <c r="J10" s="38">
        <v>43167</v>
      </c>
      <c r="K10" s="39">
        <v>1</v>
      </c>
      <c r="L10" s="40">
        <v>43182</v>
      </c>
      <c r="M10" s="15">
        <v>1</v>
      </c>
    </row>
    <row r="11" ht="71.25" spans="1:13">
      <c r="A11" s="15">
        <v>9</v>
      </c>
      <c r="B11" s="17" t="s">
        <v>55</v>
      </c>
      <c r="C11" s="25"/>
      <c r="D11" s="17" t="s">
        <v>56</v>
      </c>
      <c r="E11" s="18" t="s">
        <v>22</v>
      </c>
      <c r="F11" s="17"/>
      <c r="G11" s="19" t="s">
        <v>57</v>
      </c>
      <c r="H11" s="20" t="s">
        <v>58</v>
      </c>
      <c r="I11" s="38">
        <v>43132</v>
      </c>
      <c r="J11" s="38">
        <v>43167</v>
      </c>
      <c r="K11" s="39">
        <v>1</v>
      </c>
      <c r="L11" s="40">
        <v>43182</v>
      </c>
      <c r="M11" s="15">
        <v>1</v>
      </c>
    </row>
    <row r="12" ht="114" spans="1:13">
      <c r="A12" s="15">
        <v>10</v>
      </c>
      <c r="B12" s="17" t="s">
        <v>59</v>
      </c>
      <c r="C12" s="27" t="s">
        <v>60</v>
      </c>
      <c r="D12" s="17" t="s">
        <v>61</v>
      </c>
      <c r="E12" s="18" t="s">
        <v>22</v>
      </c>
      <c r="F12" s="17"/>
      <c r="G12" s="19" t="s">
        <v>62</v>
      </c>
      <c r="H12" s="20" t="s">
        <v>63</v>
      </c>
      <c r="I12" s="38">
        <v>43179</v>
      </c>
      <c r="J12" s="38">
        <v>43202</v>
      </c>
      <c r="K12" s="39">
        <v>5</v>
      </c>
      <c r="L12" s="40">
        <v>43214</v>
      </c>
      <c r="M12" s="15">
        <v>1</v>
      </c>
    </row>
    <row r="13" ht="114" spans="1:13">
      <c r="A13" s="15">
        <v>11</v>
      </c>
      <c r="B13" s="17" t="s">
        <v>64</v>
      </c>
      <c r="C13" s="23" t="s">
        <v>65</v>
      </c>
      <c r="D13" s="17" t="s">
        <v>56</v>
      </c>
      <c r="E13" s="18" t="s">
        <v>22</v>
      </c>
      <c r="F13" s="17"/>
      <c r="G13" s="19" t="s">
        <v>66</v>
      </c>
      <c r="H13" s="20" t="s">
        <v>67</v>
      </c>
      <c r="I13" s="38">
        <v>43273</v>
      </c>
      <c r="J13" s="38">
        <v>43293</v>
      </c>
      <c r="K13" s="39">
        <v>3</v>
      </c>
      <c r="L13" s="40">
        <v>43314</v>
      </c>
      <c r="M13" s="15">
        <v>1</v>
      </c>
    </row>
    <row r="14" ht="114" spans="1:13">
      <c r="A14" s="15">
        <v>12</v>
      </c>
      <c r="B14" s="17" t="s">
        <v>68</v>
      </c>
      <c r="C14" s="24"/>
      <c r="D14" s="17" t="s">
        <v>69</v>
      </c>
      <c r="E14" s="18" t="s">
        <v>70</v>
      </c>
      <c r="F14" s="17"/>
      <c r="G14" s="19" t="s">
        <v>66</v>
      </c>
      <c r="H14" s="20" t="s">
        <v>71</v>
      </c>
      <c r="I14" s="38">
        <v>43273</v>
      </c>
      <c r="J14" s="38">
        <v>43293</v>
      </c>
      <c r="K14" s="39">
        <v>0.5</v>
      </c>
      <c r="L14" s="40">
        <v>43314</v>
      </c>
      <c r="M14" s="15">
        <v>1</v>
      </c>
    </row>
    <row r="15" ht="114" spans="1:13">
      <c r="A15" s="15">
        <v>13</v>
      </c>
      <c r="B15" s="17" t="s">
        <v>72</v>
      </c>
      <c r="C15" s="25"/>
      <c r="D15" s="17" t="s">
        <v>73</v>
      </c>
      <c r="E15" s="18" t="s">
        <v>74</v>
      </c>
      <c r="F15" s="17"/>
      <c r="G15" s="19" t="s">
        <v>66</v>
      </c>
      <c r="H15" s="20" t="s">
        <v>75</v>
      </c>
      <c r="I15" s="38">
        <v>43273</v>
      </c>
      <c r="J15" s="38">
        <v>43293</v>
      </c>
      <c r="K15" s="39">
        <v>0.5</v>
      </c>
      <c r="L15" s="40">
        <v>43314</v>
      </c>
      <c r="M15" s="15">
        <v>1</v>
      </c>
    </row>
    <row r="16" ht="156.75" spans="1:13">
      <c r="A16" s="15">
        <v>14</v>
      </c>
      <c r="B16" s="17" t="s">
        <v>76</v>
      </c>
      <c r="C16" s="28" t="s">
        <v>77</v>
      </c>
      <c r="D16" s="17" t="s">
        <v>78</v>
      </c>
      <c r="E16" s="18" t="s">
        <v>22</v>
      </c>
      <c r="F16" s="17"/>
      <c r="G16" s="19" t="s">
        <v>79</v>
      </c>
      <c r="H16" s="20" t="s">
        <v>80</v>
      </c>
      <c r="I16" s="38">
        <v>43322</v>
      </c>
      <c r="J16" s="38">
        <v>43335</v>
      </c>
      <c r="K16" s="39">
        <v>2.9999</v>
      </c>
      <c r="L16" s="40">
        <v>43360</v>
      </c>
      <c r="M16" s="15">
        <v>3</v>
      </c>
    </row>
    <row r="17" ht="156.75" spans="1:13">
      <c r="A17" s="15">
        <v>15</v>
      </c>
      <c r="B17" s="17" t="s">
        <v>81</v>
      </c>
      <c r="C17" s="28" t="s">
        <v>82</v>
      </c>
      <c r="D17" s="26" t="s">
        <v>83</v>
      </c>
      <c r="E17" s="18" t="s">
        <v>22</v>
      </c>
      <c r="F17" s="17"/>
      <c r="G17" s="19" t="s">
        <v>84</v>
      </c>
      <c r="H17" s="20" t="s">
        <v>85</v>
      </c>
      <c r="I17" s="38">
        <v>43335</v>
      </c>
      <c r="J17" s="38">
        <v>43355</v>
      </c>
      <c r="K17" s="39">
        <v>1</v>
      </c>
      <c r="L17" s="40">
        <v>43373</v>
      </c>
      <c r="M17" s="15">
        <v>3</v>
      </c>
    </row>
    <row r="18" ht="71.25" spans="1:13">
      <c r="A18" s="15">
        <v>16</v>
      </c>
      <c r="B18" s="17" t="s">
        <v>86</v>
      </c>
      <c r="C18" s="16" t="s">
        <v>87</v>
      </c>
      <c r="D18" s="17" t="s">
        <v>88</v>
      </c>
      <c r="E18" s="18" t="s">
        <v>16</v>
      </c>
      <c r="F18" s="17"/>
      <c r="G18" s="19" t="s">
        <v>89</v>
      </c>
      <c r="H18" s="29" t="s">
        <v>90</v>
      </c>
      <c r="I18" s="38">
        <v>43321</v>
      </c>
      <c r="J18" s="38">
        <v>43348</v>
      </c>
      <c r="K18" s="39">
        <v>1</v>
      </c>
      <c r="L18" s="40">
        <v>43370</v>
      </c>
      <c r="M18" s="15">
        <v>1</v>
      </c>
    </row>
    <row r="19" ht="75" spans="1:13">
      <c r="A19" s="15">
        <v>17</v>
      </c>
      <c r="B19" s="17" t="s">
        <v>91</v>
      </c>
      <c r="C19" s="21"/>
      <c r="D19" s="26" t="s">
        <v>92</v>
      </c>
      <c r="E19" s="18" t="s">
        <v>16</v>
      </c>
      <c r="F19" s="17"/>
      <c r="G19" s="19" t="s">
        <v>93</v>
      </c>
      <c r="H19" s="29" t="s">
        <v>94</v>
      </c>
      <c r="I19" s="38">
        <v>43321</v>
      </c>
      <c r="J19" s="38">
        <v>43348</v>
      </c>
      <c r="K19" s="39">
        <v>2</v>
      </c>
      <c r="L19" s="40">
        <v>43370</v>
      </c>
      <c r="M19" s="15">
        <v>1</v>
      </c>
    </row>
    <row r="20" ht="85.5" spans="1:13">
      <c r="A20" s="15">
        <v>18</v>
      </c>
      <c r="B20" s="17" t="s">
        <v>95</v>
      </c>
      <c r="C20" s="21"/>
      <c r="D20" s="26" t="s">
        <v>41</v>
      </c>
      <c r="E20" s="18" t="s">
        <v>42</v>
      </c>
      <c r="F20" s="17"/>
      <c r="G20" s="19" t="s">
        <v>96</v>
      </c>
      <c r="H20" s="29" t="s">
        <v>97</v>
      </c>
      <c r="I20" s="38">
        <v>43321</v>
      </c>
      <c r="J20" s="38">
        <v>43348</v>
      </c>
      <c r="K20" s="39">
        <v>1</v>
      </c>
      <c r="L20" s="40">
        <v>43370</v>
      </c>
      <c r="M20" s="15">
        <v>1</v>
      </c>
    </row>
    <row r="21" ht="71.25" spans="1:13">
      <c r="A21" s="15">
        <v>19</v>
      </c>
      <c r="B21" s="17" t="s">
        <v>98</v>
      </c>
      <c r="C21" s="22"/>
      <c r="D21" s="26" t="s">
        <v>37</v>
      </c>
      <c r="E21" s="18" t="s">
        <v>27</v>
      </c>
      <c r="F21" s="17"/>
      <c r="G21" s="19" t="s">
        <v>99</v>
      </c>
      <c r="H21" s="29" t="s">
        <v>100</v>
      </c>
      <c r="I21" s="38">
        <v>43321</v>
      </c>
      <c r="J21" s="38">
        <v>43348</v>
      </c>
      <c r="K21" s="39">
        <v>1</v>
      </c>
      <c r="L21" s="40">
        <v>43370</v>
      </c>
      <c r="M21" s="15">
        <v>1</v>
      </c>
    </row>
    <row r="22" ht="93.75" spans="1:13">
      <c r="A22" s="15">
        <v>20</v>
      </c>
      <c r="B22" s="17" t="s">
        <v>101</v>
      </c>
      <c r="C22" s="28" t="s">
        <v>102</v>
      </c>
      <c r="D22" s="17" t="s">
        <v>103</v>
      </c>
      <c r="E22" s="18" t="s">
        <v>22</v>
      </c>
      <c r="F22" s="17"/>
      <c r="G22" s="19" t="s">
        <v>104</v>
      </c>
      <c r="H22" s="29" t="s">
        <v>105</v>
      </c>
      <c r="I22" s="38">
        <v>43273</v>
      </c>
      <c r="J22" s="38">
        <v>43304</v>
      </c>
      <c r="K22" s="39">
        <v>10</v>
      </c>
      <c r="L22" s="40">
        <v>43306</v>
      </c>
      <c r="M22" s="15">
        <v>2</v>
      </c>
    </row>
    <row r="23" s="2" customFormat="1" ht="85.5" spans="1:13">
      <c r="A23" s="15">
        <v>21</v>
      </c>
      <c r="B23" s="17" t="s">
        <v>86</v>
      </c>
      <c r="C23" s="23" t="s">
        <v>106</v>
      </c>
      <c r="D23" s="17" t="s">
        <v>88</v>
      </c>
      <c r="E23" s="18" t="s">
        <v>16</v>
      </c>
      <c r="F23" s="17"/>
      <c r="G23" s="19" t="s">
        <v>107</v>
      </c>
      <c r="H23" s="20" t="s">
        <v>108</v>
      </c>
      <c r="I23" s="38">
        <v>43311</v>
      </c>
      <c r="J23" s="38">
        <v>43332</v>
      </c>
      <c r="K23" s="39">
        <v>2</v>
      </c>
      <c r="L23" s="40">
        <v>43360</v>
      </c>
      <c r="M23" s="15">
        <v>2</v>
      </c>
    </row>
    <row r="24" s="2" customFormat="1" ht="57" spans="1:13">
      <c r="A24" s="15">
        <v>22</v>
      </c>
      <c r="B24" s="17" t="s">
        <v>109</v>
      </c>
      <c r="C24" s="24"/>
      <c r="D24" s="17" t="s">
        <v>37</v>
      </c>
      <c r="E24" s="18" t="s">
        <v>27</v>
      </c>
      <c r="F24" s="17"/>
      <c r="G24" s="19" t="s">
        <v>110</v>
      </c>
      <c r="H24" s="20" t="s">
        <v>111</v>
      </c>
      <c r="I24" s="38">
        <v>43311</v>
      </c>
      <c r="J24" s="38">
        <v>43332</v>
      </c>
      <c r="K24" s="39">
        <v>1</v>
      </c>
      <c r="L24" s="40">
        <v>43360</v>
      </c>
      <c r="M24" s="15">
        <v>2</v>
      </c>
    </row>
    <row r="25" s="2" customFormat="1" ht="99.75" spans="1:13">
      <c r="A25" s="15">
        <v>23</v>
      </c>
      <c r="B25" s="17" t="s">
        <v>95</v>
      </c>
      <c r="C25" s="24"/>
      <c r="D25" s="17" t="s">
        <v>41</v>
      </c>
      <c r="E25" s="18" t="s">
        <v>42</v>
      </c>
      <c r="F25" s="17"/>
      <c r="G25" s="19" t="s">
        <v>112</v>
      </c>
      <c r="H25" s="20" t="s">
        <v>113</v>
      </c>
      <c r="I25" s="38">
        <v>43313</v>
      </c>
      <c r="J25" s="38">
        <v>43332</v>
      </c>
      <c r="K25" s="39">
        <v>1</v>
      </c>
      <c r="L25" s="40">
        <v>43360</v>
      </c>
      <c r="M25" s="15">
        <v>2</v>
      </c>
    </row>
    <row r="26" s="2" customFormat="1" ht="85.5" spans="1:13">
      <c r="A26" s="15">
        <v>24</v>
      </c>
      <c r="B26" s="17" t="s">
        <v>114</v>
      </c>
      <c r="C26" s="25"/>
      <c r="D26" s="17" t="s">
        <v>115</v>
      </c>
      <c r="E26" s="18" t="s">
        <v>16</v>
      </c>
      <c r="F26" s="17"/>
      <c r="G26" s="19" t="s">
        <v>116</v>
      </c>
      <c r="H26" s="20" t="s">
        <v>117</v>
      </c>
      <c r="I26" s="38">
        <v>43313</v>
      </c>
      <c r="J26" s="38">
        <v>43332</v>
      </c>
      <c r="K26" s="39">
        <v>3</v>
      </c>
      <c r="L26" s="40">
        <v>43360</v>
      </c>
      <c r="M26" s="15">
        <v>2</v>
      </c>
    </row>
    <row r="27" s="2" customFormat="1" ht="71.25" spans="1:13">
      <c r="A27" s="15">
        <v>25</v>
      </c>
      <c r="B27" s="17" t="s">
        <v>118</v>
      </c>
      <c r="C27" s="21" t="s">
        <v>119</v>
      </c>
      <c r="D27" s="17" t="s">
        <v>120</v>
      </c>
      <c r="E27" s="18" t="s">
        <v>16</v>
      </c>
      <c r="F27" s="17"/>
      <c r="G27" s="19" t="s">
        <v>121</v>
      </c>
      <c r="H27" s="20" t="s">
        <v>122</v>
      </c>
      <c r="I27" s="38">
        <v>43368</v>
      </c>
      <c r="J27" s="38">
        <v>43399</v>
      </c>
      <c r="K27" s="39">
        <v>1</v>
      </c>
      <c r="L27" s="40">
        <v>43419</v>
      </c>
      <c r="M27" s="15">
        <v>1</v>
      </c>
    </row>
    <row r="28" s="2" customFormat="1" ht="71.25" spans="1:13">
      <c r="A28" s="15">
        <v>26</v>
      </c>
      <c r="B28" s="17" t="s">
        <v>123</v>
      </c>
      <c r="C28" s="21"/>
      <c r="D28" s="17" t="s">
        <v>124</v>
      </c>
      <c r="E28" s="18" t="s">
        <v>16</v>
      </c>
      <c r="F28" s="17"/>
      <c r="G28" s="19" t="s">
        <v>125</v>
      </c>
      <c r="H28" s="20" t="s">
        <v>126</v>
      </c>
      <c r="I28" s="38">
        <v>43368</v>
      </c>
      <c r="J28" s="38">
        <v>43399</v>
      </c>
      <c r="K28" s="39">
        <v>3</v>
      </c>
      <c r="L28" s="40">
        <v>43419</v>
      </c>
      <c r="M28" s="15">
        <v>1</v>
      </c>
    </row>
    <row r="29" s="2" customFormat="1" ht="71.25" spans="1:13">
      <c r="A29" s="15">
        <v>27</v>
      </c>
      <c r="B29" s="17" t="s">
        <v>98</v>
      </c>
      <c r="C29" s="21"/>
      <c r="D29" s="17" t="s">
        <v>37</v>
      </c>
      <c r="E29" s="18" t="s">
        <v>27</v>
      </c>
      <c r="F29" s="17"/>
      <c r="G29" s="19" t="s">
        <v>127</v>
      </c>
      <c r="H29" s="20" t="s">
        <v>128</v>
      </c>
      <c r="I29" s="38">
        <v>43368</v>
      </c>
      <c r="J29" s="38">
        <v>43399</v>
      </c>
      <c r="K29" s="39">
        <v>1</v>
      </c>
      <c r="L29" s="40">
        <v>43419</v>
      </c>
      <c r="M29" s="15">
        <v>1</v>
      </c>
    </row>
    <row r="30" s="2" customFormat="1" ht="85.5" spans="1:13">
      <c r="A30" s="15">
        <v>28</v>
      </c>
      <c r="B30" s="17" t="s">
        <v>129</v>
      </c>
      <c r="C30" s="21"/>
      <c r="D30" s="17" t="s">
        <v>130</v>
      </c>
      <c r="E30" s="18" t="s">
        <v>42</v>
      </c>
      <c r="F30" s="17"/>
      <c r="G30" s="19" t="s">
        <v>131</v>
      </c>
      <c r="H30" s="20" t="s">
        <v>132</v>
      </c>
      <c r="I30" s="38">
        <v>43368</v>
      </c>
      <c r="J30" s="38">
        <v>43399</v>
      </c>
      <c r="K30" s="39">
        <v>2</v>
      </c>
      <c r="L30" s="40">
        <v>43419</v>
      </c>
      <c r="M30" s="15">
        <v>1</v>
      </c>
    </row>
    <row r="31" s="2" customFormat="1" ht="57" spans="1:13">
      <c r="A31" s="15">
        <v>29</v>
      </c>
      <c r="B31" s="17" t="s">
        <v>133</v>
      </c>
      <c r="C31" s="21"/>
      <c r="D31" s="17" t="s">
        <v>134</v>
      </c>
      <c r="E31" s="18" t="s">
        <v>22</v>
      </c>
      <c r="F31" s="17"/>
      <c r="G31" s="19" t="s">
        <v>135</v>
      </c>
      <c r="H31" s="20" t="s">
        <v>136</v>
      </c>
      <c r="I31" s="38">
        <v>43368</v>
      </c>
      <c r="J31" s="38">
        <v>43399</v>
      </c>
      <c r="K31" s="39">
        <v>3</v>
      </c>
      <c r="L31" s="40">
        <v>43419</v>
      </c>
      <c r="M31" s="15">
        <v>1</v>
      </c>
    </row>
    <row r="32" ht="30" customHeight="1" spans="1:13">
      <c r="A32" s="15"/>
      <c r="B32" s="30"/>
      <c r="C32" s="31"/>
      <c r="D32" s="32"/>
      <c r="E32" s="33"/>
      <c r="F32" s="32"/>
      <c r="G32" s="34"/>
      <c r="H32" s="32"/>
      <c r="I32" s="42"/>
      <c r="J32" s="43"/>
      <c r="K32" s="44"/>
      <c r="L32" s="42"/>
      <c r="M32" s="33"/>
    </row>
    <row r="33" ht="30" customHeight="1" spans="1:13">
      <c r="A33" s="15"/>
      <c r="B33" s="30"/>
      <c r="C33" s="31"/>
      <c r="D33" s="32"/>
      <c r="E33" s="33"/>
      <c r="F33" s="32"/>
      <c r="G33" s="34"/>
      <c r="H33" s="35" t="s">
        <v>137</v>
      </c>
      <c r="I33" s="45">
        <f>COUNTA(I3:I8)</f>
        <v>6</v>
      </c>
      <c r="J33" s="46" t="s">
        <v>138</v>
      </c>
      <c r="K33" s="47">
        <f>SUM(K3:K8)</f>
        <v>14</v>
      </c>
      <c r="L33" s="42"/>
      <c r="M33" s="33"/>
    </row>
    <row r="34" ht="30" customHeight="1" spans="1:13">
      <c r="A34" s="15"/>
      <c r="B34" s="30"/>
      <c r="C34" s="31"/>
      <c r="D34" s="32"/>
      <c r="E34" s="33"/>
      <c r="F34" s="32"/>
      <c r="G34" s="34"/>
      <c r="H34" s="35" t="s">
        <v>139</v>
      </c>
      <c r="I34" s="45">
        <f>COUNTA(I9:I32)</f>
        <v>23</v>
      </c>
      <c r="J34" s="46" t="s">
        <v>138</v>
      </c>
      <c r="K34" s="48">
        <f>SUM(K9:K32)</f>
        <v>47.9999</v>
      </c>
      <c r="L34" s="42"/>
      <c r="M34" s="33"/>
    </row>
    <row r="35" ht="30" customHeight="1" spans="1:13">
      <c r="A35" s="15"/>
      <c r="B35" s="30"/>
      <c r="C35" s="31"/>
      <c r="D35" s="32"/>
      <c r="E35" s="33"/>
      <c r="F35" s="32"/>
      <c r="G35" s="34"/>
      <c r="H35" s="35" t="s">
        <v>140</v>
      </c>
      <c r="I35" s="45">
        <f>COUNTA(I3:I32)</f>
        <v>29</v>
      </c>
      <c r="J35" s="49" t="s">
        <v>138</v>
      </c>
      <c r="K35" s="48">
        <f>SUM(K3:K32)</f>
        <v>61.9999</v>
      </c>
      <c r="L35" s="42"/>
      <c r="M35" s="33"/>
    </row>
    <row r="36" spans="1:13">
      <c r="A36" s="33"/>
      <c r="B36" s="32"/>
      <c r="C36" s="31"/>
      <c r="D36" s="32"/>
      <c r="E36" s="33"/>
      <c r="F36" s="32"/>
      <c r="G36" s="34"/>
      <c r="H36" s="32"/>
      <c r="I36" s="42"/>
      <c r="J36" s="43"/>
      <c r="K36" s="44"/>
      <c r="L36" s="42"/>
      <c r="M36" s="33"/>
    </row>
  </sheetData>
  <autoFilter ref="A2:M35">
    <extLst/>
  </autoFilter>
  <mergeCells count="8">
    <mergeCell ref="A1:L1"/>
    <mergeCell ref="C3:C5"/>
    <mergeCell ref="C6:C8"/>
    <mergeCell ref="C9:C11"/>
    <mergeCell ref="C13:C15"/>
    <mergeCell ref="C18:C21"/>
    <mergeCell ref="C23:C26"/>
    <mergeCell ref="C27:C31"/>
  </mergeCells>
  <pageMargins left="0.554861111111111" right="0.554861111111111" top="0.60625" bottom="0.60625" header="0.511805555555556" footer="0.511805555555556"/>
  <pageSetup paperSize="9" scale="46" fitToHeight="0" orientation="landscape" horizontalDpi="600" vertic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行政处罚</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邱礼聪</dc:creator>
  <cp:lastModifiedBy>邱礼聪</cp:lastModifiedBy>
  <dcterms:created xsi:type="dcterms:W3CDTF">2020-03-27T06:29:00Z</dcterms:created>
  <dcterms:modified xsi:type="dcterms:W3CDTF">2020-04-02T08:13:36Z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2052-11.8.2.8506</vt:lpwstr>
  </property>
</Properties>
</file>