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3065"/>
  </bookViews>
  <sheets>
    <sheet name="行政处罚" sheetId="1" r:id="rId1"/>
  </sheets>
  <definedNames>
    <definedName name="_xlnm._FilterDatabase" localSheetId="0" hidden="1">行政处罚!$A$2:$L$28</definedName>
    <definedName name="_xlnm.Print_Titles" localSheetId="0">行政处罚!$1:$2</definedName>
  </definedNames>
  <calcPr calcId="144525"/>
</workbook>
</file>

<file path=xl/sharedStrings.xml><?xml version="1.0" encoding="utf-8"?>
<sst xmlns="http://schemas.openxmlformats.org/spreadsheetml/2006/main" count="171" uniqueCount="130">
  <si>
    <t>南山区住房和建设局（安监站）2019年行政处罚台账</t>
  </si>
  <si>
    <t>序号</t>
  </si>
  <si>
    <t>案名</t>
  </si>
  <si>
    <t>涉案项目名称</t>
  </si>
  <si>
    <t>处罚企业名称/人员名称</t>
  </si>
  <si>
    <t>企业（人员）角色</t>
  </si>
  <si>
    <t>处罚原因</t>
  </si>
  <si>
    <t>立案时间</t>
  </si>
  <si>
    <t>处罚时间</t>
  </si>
  <si>
    <t>行政处罚
决定书文号</t>
  </si>
  <si>
    <t>处罚措施</t>
  </si>
  <si>
    <t>处罚金额
（万元）</t>
  </si>
  <si>
    <t>结案时间</t>
  </si>
  <si>
    <t>关于中建二局第一建筑工程有限公司未完成实名制安全教育培训案</t>
  </si>
  <si>
    <t>长源御景峯大厦</t>
  </si>
  <si>
    <t>中建二局第一建筑工程有限公司</t>
  </si>
  <si>
    <t>施工单位</t>
  </si>
  <si>
    <t>经查，你单位作为长源御景峯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</si>
  <si>
    <t>深南住建行罚〔2019〕1号</t>
  </si>
  <si>
    <t>罚款</t>
  </si>
  <si>
    <t>关于森帝木业（深圳）有限公司未落实安全监督管理案</t>
  </si>
  <si>
    <t>光大宿舍C栋二次装修工程</t>
  </si>
  <si>
    <t>森帝木业（深圳）有限公司</t>
  </si>
  <si>
    <t>建设单位</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</si>
  <si>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</si>
  <si>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深南住建罚〔2019〕2号</t>
  </si>
  <si>
    <t>警告+罚款</t>
  </si>
  <si>
    <t>关于吕邦武未按规定办理安全生产考核合格证书变更案</t>
  </si>
  <si>
    <t>女娲路（北段）施工总承包工程</t>
  </si>
  <si>
    <t>吕邦武</t>
  </si>
  <si>
    <t>项目经理</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</si>
  <si>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</si>
  <si>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深南住建罚〔2019〕7号</t>
  </si>
  <si>
    <t>关于深圳市设计装饰工程有限公司未按照规定对清洗作业工人进行安全生产教育和培训案</t>
  </si>
  <si>
    <t>龙苑学校施工总承包</t>
  </si>
  <si>
    <t>深圳市设计装饰工程有限公司</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</si>
  <si>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</si>
  <si>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深南住建罚〔2019〕16号</t>
  </si>
  <si>
    <t>关于深圳市深安企业有限公司未按规定建立危大工程安全管理档案案</t>
  </si>
  <si>
    <t>深圳湾中学学生宿舍、食堂扩建工程</t>
  </si>
  <si>
    <t>深圳市深安企业有限公司</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</si>
  <si>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</si>
  <si>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深南住建罚〔2019〕17号</t>
  </si>
  <si>
    <t>关于张驰未按规定建立危大工程安全管理档案案</t>
  </si>
  <si>
    <t>张驰</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</si>
  <si>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</si>
  <si>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深南住建罚〔2019〕18号</t>
  </si>
  <si>
    <t>关于周浩未按规定建立危大工程安全管理档案案</t>
  </si>
  <si>
    <t>周浩</t>
  </si>
  <si>
    <t>现场技术负责人</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</si>
  <si>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</si>
  <si>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深南住建罚〔2019〕19号</t>
  </si>
  <si>
    <t>关于深圳深安建筑工程有限公司未采取覆盖、洒水抑尘等有效防尘降尘措施案</t>
  </si>
  <si>
    <t>时代广场二期项目土石方、基坑支护工程</t>
  </si>
  <si>
    <t>深圳深安建筑工程有限公司</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</si>
  <si>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</si>
  <si>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深南住建罚[2019]26号</t>
  </si>
  <si>
    <t>关于深圳市鹏城建筑集团有限公司未按规定建立危大工程安全管理档案案</t>
  </si>
  <si>
    <t>大沙河截流箱涵改造工程</t>
  </si>
  <si>
    <t>深圳市鹏城建筑集团有限公司</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</si>
  <si>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</si>
  <si>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深南住建罚[2019]27号</t>
  </si>
  <si>
    <t>关于张志钢未按规定建立危大工程安全管理档案案</t>
  </si>
  <si>
    <t>张志钢</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</si>
  <si>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</si>
  <si>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深南住建罚[2019]28号</t>
  </si>
  <si>
    <t>关于唐潇未按规定建立危大工程安全管理档案案</t>
  </si>
  <si>
    <t>唐潇</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</si>
  <si>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</si>
  <si>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深南住建罚[2019]29号</t>
  </si>
  <si>
    <t>中国二冶集团有限公司未按照规定组织危大工程验收行政处罚案</t>
  </si>
  <si>
    <t>留仙小学改扩建施工总承包工程（I期）</t>
  </si>
  <si>
    <t>中国二冶集团有限公司</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</si>
  <si>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</si>
  <si>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深南住建罚[2019]33号</t>
  </si>
  <si>
    <t>翟国光未按照规定组织危大工程验收行政处罚案</t>
  </si>
  <si>
    <t>翟国光</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</si>
  <si>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</si>
  <si>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深南住建罚[2019]34号</t>
  </si>
  <si>
    <t>赵志伟未按照规定组织危大工程验收行政处罚案</t>
  </si>
  <si>
    <t>赵志伟</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</si>
  <si>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</si>
  <si>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深南住建罚[2019]35号</t>
  </si>
  <si>
    <t>深圳市深业泰然建设工程有限公司未按规定建立危大工程安全管理档案行政处罚案</t>
  </si>
  <si>
    <t>绿景美景广场</t>
  </si>
  <si>
    <t>深圳市深业泰然建设工程有限公司</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</si>
  <si>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</si>
  <si>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深南住建罚[2019]30号</t>
  </si>
  <si>
    <t>陈宇嘉未按规定建立危大工程安全管理档案行政处罚案</t>
  </si>
  <si>
    <t>陈宇嘉</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</si>
  <si>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</si>
  <si>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深南住建罚[2019]31号</t>
  </si>
  <si>
    <t>谢培生未按规定建立危大工程安全管理档案行政处罚案</t>
  </si>
  <si>
    <t>谢培生</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</si>
  <si>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</si>
  <si>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深南住建罚[2019]32号</t>
  </si>
  <si>
    <t>深圳市优高雅建筑装饰有限公司未为从业人员提供劳动防护用品行政处罚案</t>
  </si>
  <si>
    <t>华润城润府三期总承包</t>
  </si>
  <si>
    <t>深圳市优高雅建筑装饰有限公司</t>
  </si>
  <si>
    <t>专业分包</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</si>
  <si>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</si>
  <si>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深南住建罚[2019]51号</t>
  </si>
  <si>
    <t>中铁十六局集团有限公司未按照规定对从业人员进行安全生产教育和培训行政处罚案</t>
  </si>
  <si>
    <t>前海08-01-01地块公共开放空间-冷站、公交场站等工程</t>
  </si>
  <si>
    <t>中铁十六局集团有限公司</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</si>
  <si>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</si>
  <si>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深南住建罚[2019]49号</t>
  </si>
  <si>
    <t>中铁十六局集团有限公司电焊工未按照规定持证上岗行政处罚案</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</si>
  <si>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</si>
  <si>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深南住建罚[2019]48号</t>
  </si>
  <si>
    <t>广东省工业设备安装有限公司未按照规定对从业人员进行安全生产教育和培训行政处罚案</t>
  </si>
  <si>
    <t>南海救助局深圳基地陆域工程</t>
  </si>
  <si>
    <t>广东省工业设备安装有限公司</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</si>
  <si>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</si>
  <si>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深南住建罚[2019]50号</t>
  </si>
  <si>
    <t>甘明彦未按规定办理安全生产考核合格证书变更行政处罚案</t>
  </si>
  <si>
    <t>大疆天空之城大厦</t>
  </si>
  <si>
    <t>甘明彦</t>
  </si>
  <si>
    <t>钢结构专业施工单位项目经理</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</si>
  <si>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涉嫌违反《建筑施工企业主要负责人、项目负责人和专职安全生产管理人员安全生产管理规定》第十一条的规定。</t>
  </si>
  <si>
    <t>深南住建罚[2020]3号</t>
  </si>
  <si>
    <t>深圳市鼎基建设工程有限公司电焊工未按照规定持证上岗行政处罚案</t>
  </si>
  <si>
    <t>侨城北文体中心项目土石方、基坑支护工程</t>
  </si>
  <si>
    <t>深圳市鼎基建设工程有限公司</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</si>
  <si>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涉嫌违反《中华人民共和国安全生产法》第二十七条第一款的规定。</t>
  </si>
  <si>
    <t>深南住建罚[2020]4号</t>
  </si>
  <si>
    <t>处罚金额</t>
  </si>
  <si>
    <t>18年立案结转</t>
  </si>
  <si>
    <t>19年立案</t>
  </si>
  <si>
    <t>合计</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</si>
</sst>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0000_);[Red]\(#,##0.0000\)"/>
  </numFmts>
  <fonts count="27">
    <font>
      <sz val="12"/>
      <name val="宋体"/>
      <charset val="134"/>
    </font>
    <font>
      <sz val="12"/>
      <name val="黑体"/>
      <charset val="134"/>
    </font>
    <font>
      <b/>
      <sz val="12"/>
      <name val="宋体"/>
      <charset val="134"/>
    </font>
    <font>
      <b/>
      <sz val="22"/>
      <name val="黑体"/>
      <charset val="134"/>
    </font>
    <font>
      <sz val="12"/>
      <name val="楷体_GB2312"/>
      <charset val="134"/>
    </font>
    <font>
      <b/>
      <sz val="12"/>
      <name val="楷体_GB2312"/>
      <charset val="134"/>
    </font>
    <font>
      <sz val="22"/>
      <name val="黑体"/>
      <charset val="134"/>
    </font>
    <font>
      <sz val="11"/>
      <color rgb="FFFF0000"/>
      <name val="宋体"/>
      <charset val="0"/>
      <scheme val="minor"/>
    </font>
    <font>
      <sz val="11"/>
      <color theme="1"/>
      <name val="宋体"/>
      <charset val="134"/>
      <scheme val="minor"/>
    </font>
    <font>
      <b/>
      <sz val="15"/>
      <color theme="3"/>
      <name val="宋体"/>
      <charset val="134"/>
      <scheme val="minor"/>
    </font>
    <font>
      <b/>
      <sz val="18"/>
      <color theme="3"/>
      <name val="宋体"/>
      <charset val="134"/>
      <scheme val="minor"/>
    </font>
    <font>
      <b/>
      <sz val="13"/>
      <color theme="3"/>
      <name val="宋体"/>
      <charset val="134"/>
      <scheme val="minor"/>
    </font>
    <font>
      <sz val="11"/>
      <color theme="1"/>
      <name val="宋体"/>
      <charset val="0"/>
      <scheme val="minor"/>
    </font>
    <font>
      <b/>
      <sz val="11"/>
      <color theme="3"/>
      <name val="宋体"/>
      <charset val="134"/>
      <scheme val="minor"/>
    </font>
    <font>
      <sz val="11"/>
      <color rgb="FF9C0006"/>
      <name val="宋体"/>
      <charset val="0"/>
      <scheme val="minor"/>
    </font>
    <font>
      <sz val="11"/>
      <color rgb="FF9C6500"/>
      <name val="宋体"/>
      <charset val="0"/>
      <scheme val="minor"/>
    </font>
    <font>
      <sz val="11"/>
      <color rgb="FF3F3F76"/>
      <name val="宋体"/>
      <charset val="0"/>
      <scheme val="minor"/>
    </font>
    <font>
      <sz val="11"/>
      <color theme="0"/>
      <name val="宋体"/>
      <charset val="0"/>
      <scheme val="minor"/>
    </font>
    <font>
      <u/>
      <sz val="11"/>
      <color rgb="FF0000FF"/>
      <name val="宋体"/>
      <charset val="0"/>
      <scheme val="minor"/>
    </font>
    <font>
      <i/>
      <sz val="11"/>
      <color rgb="FF7F7F7F"/>
      <name val="宋体"/>
      <charset val="0"/>
      <scheme val="minor"/>
    </font>
    <font>
      <u/>
      <sz val="11"/>
      <color rgb="FF800080"/>
      <name val="宋体"/>
      <charset val="0"/>
      <scheme val="minor"/>
    </font>
    <font>
      <sz val="11"/>
      <color rgb="FF0061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bgColor indexed="64"/>
      </patternFill>
    </fill>
    <fill>
      <patternFill patternType="solid">
        <fgColor rgb="FFF2F2F2"/>
        <bgColor indexed="64"/>
      </patternFill>
    </fill>
    <fill>
      <patternFill patternType="solid">
        <fgColor rgb="FFA5A5A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8" fillId="0" borderId="0" applyFont="0" applyFill="0" applyBorder="0" applyAlignment="0" applyProtection="0">
      <alignment vertical="center"/>
    </xf>
    <xf numFmtId="0" fontId="12" fillId="5" borderId="0" applyNumberFormat="0" applyBorder="0" applyAlignment="0" applyProtection="0">
      <alignment vertical="center"/>
    </xf>
    <xf numFmtId="0" fontId="16" fillId="8" borderId="7"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12" fillId="4" borderId="0" applyNumberFormat="0" applyBorder="0" applyAlignment="0" applyProtection="0">
      <alignment vertical="center"/>
    </xf>
    <xf numFmtId="0" fontId="14" fillId="6" borderId="0" applyNumberFormat="0" applyBorder="0" applyAlignment="0" applyProtection="0">
      <alignment vertical="center"/>
    </xf>
    <xf numFmtId="43" fontId="8" fillId="0" borderId="0" applyFont="0" applyFill="0" applyBorder="0" applyAlignment="0" applyProtection="0">
      <alignment vertical="center"/>
    </xf>
    <xf numFmtId="0" fontId="17" fillId="9" borderId="0" applyNumberFormat="0" applyBorder="0" applyAlignment="0" applyProtection="0">
      <alignment vertical="center"/>
    </xf>
    <xf numFmtId="0" fontId="18" fillId="0" borderId="0" applyNumberFormat="0" applyFill="0" applyBorder="0" applyAlignment="0" applyProtection="0">
      <alignment vertical="center"/>
    </xf>
    <xf numFmtId="9" fontId="8" fillId="0" borderId="0" applyFont="0" applyFill="0" applyBorder="0" applyAlignment="0" applyProtection="0">
      <alignment vertical="center"/>
    </xf>
    <xf numFmtId="0" fontId="20" fillId="0" borderId="0" applyNumberFormat="0" applyFill="0" applyBorder="0" applyAlignment="0" applyProtection="0">
      <alignment vertical="center"/>
    </xf>
    <xf numFmtId="0" fontId="8" fillId="3" borderId="6" applyNumberFormat="0" applyFont="0" applyAlignment="0" applyProtection="0">
      <alignment vertical="center"/>
    </xf>
    <xf numFmtId="0" fontId="17" fillId="10" borderId="0" applyNumberFormat="0" applyBorder="0" applyAlignment="0" applyProtection="0">
      <alignment vertical="center"/>
    </xf>
    <xf numFmtId="0" fontId="13"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9" fillId="0" borderId="5" applyNumberFormat="0" applyFill="0" applyAlignment="0" applyProtection="0">
      <alignment vertical="center"/>
    </xf>
    <xf numFmtId="0" fontId="11" fillId="0" borderId="5" applyNumberFormat="0" applyFill="0" applyAlignment="0" applyProtection="0">
      <alignment vertical="center"/>
    </xf>
    <xf numFmtId="0" fontId="17" fillId="11" borderId="0" applyNumberFormat="0" applyBorder="0" applyAlignment="0" applyProtection="0">
      <alignment vertical="center"/>
    </xf>
    <xf numFmtId="0" fontId="13" fillId="0" borderId="8" applyNumberFormat="0" applyFill="0" applyAlignment="0" applyProtection="0">
      <alignment vertical="center"/>
    </xf>
    <xf numFmtId="0" fontId="17" fillId="14" borderId="0" applyNumberFormat="0" applyBorder="0" applyAlignment="0" applyProtection="0">
      <alignment vertical="center"/>
    </xf>
    <xf numFmtId="0" fontId="22" fillId="16" borderId="9" applyNumberFormat="0" applyAlignment="0" applyProtection="0">
      <alignment vertical="center"/>
    </xf>
    <xf numFmtId="0" fontId="23" fillId="16" borderId="7" applyNumberFormat="0" applyAlignment="0" applyProtection="0">
      <alignment vertical="center"/>
    </xf>
    <xf numFmtId="0" fontId="24" fillId="17" borderId="10" applyNumberFormat="0" applyAlignment="0" applyProtection="0">
      <alignment vertical="center"/>
    </xf>
    <xf numFmtId="0" fontId="12" fillId="19" borderId="0" applyNumberFormat="0" applyBorder="0" applyAlignment="0" applyProtection="0">
      <alignment vertical="center"/>
    </xf>
    <xf numFmtId="0" fontId="17" fillId="20" borderId="0" applyNumberFormat="0" applyBorder="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1" fillId="12" borderId="0" applyNumberFormat="0" applyBorder="0" applyAlignment="0" applyProtection="0">
      <alignment vertical="center"/>
    </xf>
    <xf numFmtId="0" fontId="15" fillId="7" borderId="0" applyNumberFormat="0" applyBorder="0" applyAlignment="0" applyProtection="0">
      <alignment vertical="center"/>
    </xf>
    <xf numFmtId="0" fontId="12" fillId="21" borderId="0" applyNumberFormat="0" applyBorder="0" applyAlignment="0" applyProtection="0">
      <alignment vertical="center"/>
    </xf>
    <xf numFmtId="0" fontId="17" fillId="15" borderId="0" applyNumberFormat="0" applyBorder="0" applyAlignment="0" applyProtection="0">
      <alignment vertical="center"/>
    </xf>
    <xf numFmtId="0" fontId="12"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7" fillId="26" borderId="0" applyNumberFormat="0" applyBorder="0" applyAlignment="0" applyProtection="0">
      <alignment vertical="center"/>
    </xf>
    <xf numFmtId="0" fontId="17" fillId="27" borderId="0" applyNumberFormat="0" applyBorder="0" applyAlignment="0" applyProtection="0">
      <alignment vertical="center"/>
    </xf>
    <xf numFmtId="0" fontId="12" fillId="18" borderId="0" applyNumberFormat="0" applyBorder="0" applyAlignment="0" applyProtection="0">
      <alignment vertical="center"/>
    </xf>
    <xf numFmtId="0" fontId="12" fillId="29" borderId="0" applyNumberFormat="0" applyBorder="0" applyAlignment="0" applyProtection="0">
      <alignment vertical="center"/>
    </xf>
    <xf numFmtId="0" fontId="17" fillId="30" borderId="0" applyNumberFormat="0" applyBorder="0" applyAlignment="0" applyProtection="0">
      <alignment vertical="center"/>
    </xf>
    <xf numFmtId="0" fontId="12" fillId="31"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12" fillId="28" borderId="0" applyNumberFormat="0" applyBorder="0" applyAlignment="0" applyProtection="0">
      <alignment vertical="center"/>
    </xf>
    <xf numFmtId="0" fontId="17" fillId="13" borderId="0" applyNumberFormat="0" applyBorder="0" applyAlignment="0" applyProtection="0">
      <alignment vertical="center"/>
    </xf>
  </cellStyleXfs>
  <cellXfs count="47">
    <xf numFmtId="0" fontId="0" fillId="0" borderId="0" xfId="0"/>
    <xf numFmtId="0" fontId="1" fillId="0" borderId="0" xfId="0" applyFont="1" applyBorder="1" applyAlignment="1">
      <alignment horizontal="center" vertical="center" wrapText="1"/>
    </xf>
    <xf numFmtId="0" fontId="0" fillId="0" borderId="0" xfId="0" applyBorder="1" applyAlignment="1">
      <alignment horizontal="center" vertical="center"/>
    </xf>
    <xf numFmtId="0" fontId="2" fillId="0" borderId="0"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4" fontId="2" fillId="0" borderId="0" xfId="0" applyNumberFormat="1" applyFont="1" applyBorder="1" applyAlignment="1">
      <alignment horizontal="center" vertical="center"/>
    </xf>
    <xf numFmtId="4" fontId="2" fillId="0" borderId="0" xfId="0" applyNumberFormat="1" applyFont="1" applyBorder="1" applyAlignment="1">
      <alignment horizontal="center" vertical="center"/>
    </xf>
    <xf numFmtId="4" fontId="0" fillId="0" borderId="0" xfId="0" applyNumberFormat="1" applyFont="1" applyBorder="1" applyAlignment="1">
      <alignment horizontal="center" vertical="center"/>
    </xf>
    <xf numFmtId="176" fontId="2" fillId="0" borderId="0" xfId="0" applyNumberFormat="1" applyFont="1" applyBorder="1" applyAlignment="1">
      <alignment horizontal="center" vertical="center"/>
    </xf>
    <xf numFmtId="0" fontId="3" fillId="0" borderId="0" xfId="0" applyFont="1" applyBorder="1" applyAlignment="1">
      <alignment horizontal="center" vertical="center"/>
    </xf>
    <xf numFmtId="0" fontId="3" fillId="0" borderId="0" xfId="0" applyFont="1" applyBorder="1" applyAlignment="1">
      <alignment horizontal="left" vertical="center"/>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49" fontId="4" fillId="0"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14" fontId="5"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horizontal="left" vertical="center" wrapText="1"/>
    </xf>
    <xf numFmtId="49" fontId="4" fillId="0" borderId="2"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14" fontId="5" fillId="0" borderId="1" xfId="0" applyNumberFormat="1" applyFont="1" applyFill="1" applyBorder="1" applyAlignment="1">
      <alignment horizontal="center" vertical="center"/>
    </xf>
    <xf numFmtId="49" fontId="4" fillId="0" borderId="3"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0" fontId="4" fillId="0" borderId="0" xfId="0" applyFont="1" applyBorder="1" applyAlignment="1">
      <alignment horizontal="center" vertical="center"/>
    </xf>
    <xf numFmtId="0" fontId="5" fillId="0" borderId="0" xfId="0" applyFont="1" applyBorder="1" applyAlignment="1">
      <alignment horizontal="center" vertical="center" wrapText="1"/>
    </xf>
    <xf numFmtId="0" fontId="4" fillId="0" borderId="0" xfId="0" applyFont="1" applyBorder="1" applyAlignment="1">
      <alignment horizontal="center" vertical="center" wrapText="1"/>
    </xf>
    <xf numFmtId="0" fontId="4" fillId="0" borderId="0" xfId="0" applyFont="1" applyBorder="1" applyAlignment="1">
      <alignment horizontal="left" vertical="center" wrapText="1"/>
    </xf>
    <xf numFmtId="0" fontId="5" fillId="2" borderId="0" xfId="0" applyNumberFormat="1" applyFont="1" applyFill="1" applyBorder="1" applyAlignment="1">
      <alignment horizontal="center" vertical="center"/>
    </xf>
    <xf numFmtId="4" fontId="5" fillId="2" borderId="0" xfId="0" applyNumberFormat="1" applyFont="1" applyFill="1" applyBorder="1" applyAlignment="1">
      <alignment horizontal="center" vertical="center"/>
    </xf>
    <xf numFmtId="0" fontId="6" fillId="0" borderId="0" xfId="0" applyFont="1" applyBorder="1" applyAlignment="1">
      <alignment horizontal="center" vertical="center"/>
    </xf>
    <xf numFmtId="176" fontId="1"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xf>
    <xf numFmtId="176" fontId="5" fillId="0" borderId="1" xfId="0" applyNumberFormat="1" applyFont="1" applyBorder="1" applyAlignment="1">
      <alignment horizontal="center" vertical="center"/>
    </xf>
    <xf numFmtId="14" fontId="4" fillId="0" borderId="1" xfId="0" applyNumberFormat="1" applyFont="1" applyFill="1" applyBorder="1" applyAlignment="1">
      <alignment horizontal="center" vertical="center"/>
    </xf>
    <xf numFmtId="0" fontId="5" fillId="2" borderId="0" xfId="0" applyFont="1" applyFill="1" applyBorder="1" applyAlignment="1">
      <alignment horizontal="center" vertical="center" wrapText="1"/>
    </xf>
    <xf numFmtId="4" fontId="4" fillId="2" borderId="0" xfId="0" applyNumberFormat="1" applyFont="1" applyFill="1" applyBorder="1" applyAlignment="1">
      <alignment horizontal="center" vertical="center"/>
    </xf>
    <xf numFmtId="176" fontId="5" fillId="2" borderId="0" xfId="0" applyNumberFormat="1" applyFont="1" applyFill="1" applyBorder="1" applyAlignment="1">
      <alignment horizontal="center" vertical="center"/>
    </xf>
    <xf numFmtId="14" fontId="5" fillId="0" borderId="0" xfId="0" applyNumberFormat="1" applyFon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8"/>
  <sheetViews>
    <sheetView tabSelected="1" zoomScale="85" zoomScaleNormal="85" workbookViewId="0">
      <pane ySplit="2" topLeftCell="A21" activePane="bottomLeft" state="frozen"/>
      <selection/>
      <selection pane="bottomLeft" activeCell="L23" sqref="L23"/>
    </sheetView>
  </sheetViews>
  <sheetFormatPr defaultColWidth="8.7" defaultRowHeight="14.25"/>
  <cols>
    <col min="1" max="1" width="6.9" style="2" customWidth="1"/>
    <col min="2" max="2" width="19" style="3" customWidth="1"/>
    <col min="3" max="3" width="15.25" style="3" customWidth="1"/>
    <col min="4" max="4" width="15.25" style="4" customWidth="1"/>
    <col min="5" max="5" width="15.25" style="2" customWidth="1"/>
    <col min="6" max="6" width="90.7" style="5" customWidth="1"/>
    <col min="7" max="7" width="13.7" style="6" customWidth="1"/>
    <col min="8" max="8" width="13.7" style="7" customWidth="1"/>
    <col min="9" max="9" width="15.7" style="4" customWidth="1"/>
    <col min="10" max="10" width="13.7" style="8" customWidth="1"/>
    <col min="11" max="11" width="13.7" style="9" customWidth="1"/>
    <col min="12" max="12" width="13.7" style="6" customWidth="1"/>
    <col min="13" max="32" width="9" style="2"/>
    <col min="33" max="16379" width="8.7" style="2"/>
  </cols>
  <sheetData>
    <row r="1" ht="39.9" customHeight="1" spans="1:12">
      <c r="A1" s="10" t="s">
        <v>0</v>
      </c>
      <c r="B1" s="10"/>
      <c r="C1" s="10"/>
      <c r="D1" s="10"/>
      <c r="E1" s="10"/>
      <c r="F1" s="11"/>
      <c r="G1" s="10"/>
      <c r="H1" s="10"/>
      <c r="I1" s="10"/>
      <c r="J1" s="38"/>
      <c r="K1" s="10"/>
      <c r="L1" s="10"/>
    </row>
    <row r="2" s="1" customFormat="1" ht="39.6" customHeight="1" spans="1:12">
      <c r="A2" s="12" t="s">
        <v>1</v>
      </c>
      <c r="B2" s="12" t="s">
        <v>2</v>
      </c>
      <c r="C2" s="12" t="s">
        <v>3</v>
      </c>
      <c r="D2" s="12" t="s">
        <v>4</v>
      </c>
      <c r="E2" s="12" t="s">
        <v>5</v>
      </c>
      <c r="F2" s="12" t="s">
        <v>6</v>
      </c>
      <c r="G2" s="13" t="s">
        <v>7</v>
      </c>
      <c r="H2" s="13" t="s">
        <v>8</v>
      </c>
      <c r="I2" s="12" t="s">
        <v>9</v>
      </c>
      <c r="J2" s="13" t="s">
        <v>10</v>
      </c>
      <c r="K2" s="39" t="s">
        <v>11</v>
      </c>
      <c r="L2" s="13" t="s">
        <v>12</v>
      </c>
    </row>
    <row r="3" ht="57" spans="1:12">
      <c r="A3" s="14">
        <v>1</v>
      </c>
      <c r="B3" s="15" t="s">
        <v>13</v>
      </c>
      <c r="C3" s="15" t="s">
        <v>14</v>
      </c>
      <c r="D3" s="15" t="s">
        <v>15</v>
      </c>
      <c r="E3" s="14" t="s">
        <v>16</v>
      </c>
      <c r="F3" s="16" t="s">
        <v>17</v>
      </c>
      <c r="G3" s="17">
        <v>43483</v>
      </c>
      <c r="H3" s="17">
        <v>43490</v>
      </c>
      <c r="I3" s="18" t="s">
        <v>18</v>
      </c>
      <c r="J3" s="40" t="s">
        <v>19</v>
      </c>
      <c r="K3" s="41">
        <v>1</v>
      </c>
      <c r="L3" s="40">
        <v>43510</v>
      </c>
    </row>
    <row r="4" ht="42.75" spans="1:12">
      <c r="A4" s="14">
        <v>2</v>
      </c>
      <c r="B4" s="18" t="s">
        <v>20</v>
      </c>
      <c r="C4" s="15" t="s">
        <v>21</v>
      </c>
      <c r="D4" s="18" t="s">
        <v>22</v>
      </c>
      <c r="E4" s="14" t="s">
        <v>23</v>
      </c>
      <c r="F4" s="16" t="s">
        <v>24</v>
      </c>
      <c r="G4" s="17">
        <v>43553</v>
      </c>
      <c r="H4" s="17">
        <v>43563</v>
      </c>
      <c r="I4" s="18" t="s">
        <v>25</v>
      </c>
      <c r="J4" s="40" t="s">
        <v>26</v>
      </c>
      <c r="K4" s="41">
        <v>1</v>
      </c>
      <c r="L4" s="40">
        <v>43614</v>
      </c>
    </row>
    <row r="5" ht="57" spans="1:12">
      <c r="A5" s="14">
        <v>3</v>
      </c>
      <c r="B5" s="18" t="s">
        <v>27</v>
      </c>
      <c r="C5" s="15" t="s">
        <v>28</v>
      </c>
      <c r="D5" s="18" t="s">
        <v>29</v>
      </c>
      <c r="E5" s="14" t="s">
        <v>30</v>
      </c>
      <c r="F5" s="16" t="s">
        <v>31</v>
      </c>
      <c r="G5" s="17">
        <v>43595</v>
      </c>
      <c r="H5" s="17">
        <v>43616</v>
      </c>
      <c r="I5" s="18" t="s">
        <v>32</v>
      </c>
      <c r="J5" s="40" t="s">
        <v>19</v>
      </c>
      <c r="K5" s="41">
        <v>0.5</v>
      </c>
      <c r="L5" s="40">
        <v>43627</v>
      </c>
    </row>
    <row r="6" ht="71.25" spans="1:12">
      <c r="A6" s="14">
        <v>4</v>
      </c>
      <c r="B6" s="18" t="s">
        <v>33</v>
      </c>
      <c r="C6" s="18" t="s">
        <v>34</v>
      </c>
      <c r="D6" s="18" t="s">
        <v>35</v>
      </c>
      <c r="E6" s="14" t="s">
        <v>16</v>
      </c>
      <c r="F6" s="16" t="s">
        <v>36</v>
      </c>
      <c r="G6" s="17">
        <v>43640</v>
      </c>
      <c r="H6" s="17">
        <v>43677</v>
      </c>
      <c r="I6" s="18" t="s">
        <v>37</v>
      </c>
      <c r="J6" s="40" t="s">
        <v>19</v>
      </c>
      <c r="K6" s="41">
        <v>2.5</v>
      </c>
      <c r="L6" s="40">
        <v>43699</v>
      </c>
    </row>
    <row r="7" ht="57" spans="1:12">
      <c r="A7" s="14">
        <v>5</v>
      </c>
      <c r="B7" s="18" t="s">
        <v>38</v>
      </c>
      <c r="C7" s="19" t="s">
        <v>39</v>
      </c>
      <c r="D7" s="15" t="s">
        <v>40</v>
      </c>
      <c r="E7" s="14" t="s">
        <v>16</v>
      </c>
      <c r="F7" s="16" t="s">
        <v>41</v>
      </c>
      <c r="G7" s="20">
        <v>43647</v>
      </c>
      <c r="H7" s="17">
        <v>43676</v>
      </c>
      <c r="I7" s="18" t="s">
        <v>42</v>
      </c>
      <c r="J7" s="40" t="s">
        <v>19</v>
      </c>
      <c r="K7" s="41">
        <v>3</v>
      </c>
      <c r="L7" s="40">
        <v>43685</v>
      </c>
    </row>
    <row r="8" ht="57" spans="1:12">
      <c r="A8" s="14">
        <v>6</v>
      </c>
      <c r="B8" s="18" t="s">
        <v>43</v>
      </c>
      <c r="C8" s="21"/>
      <c r="D8" s="18" t="s">
        <v>44</v>
      </c>
      <c r="E8" s="14" t="s">
        <v>30</v>
      </c>
      <c r="F8" s="16" t="s">
        <v>45</v>
      </c>
      <c r="G8" s="20">
        <v>43647</v>
      </c>
      <c r="H8" s="17">
        <v>43676</v>
      </c>
      <c r="I8" s="18" t="s">
        <v>46</v>
      </c>
      <c r="J8" s="40" t="s">
        <v>19</v>
      </c>
      <c r="K8" s="41">
        <v>0.5</v>
      </c>
      <c r="L8" s="40">
        <v>43685</v>
      </c>
    </row>
    <row r="9" ht="71.25" spans="1:12">
      <c r="A9" s="14">
        <v>7</v>
      </c>
      <c r="B9" s="18" t="s">
        <v>47</v>
      </c>
      <c r="C9" s="22"/>
      <c r="D9" s="18" t="s">
        <v>48</v>
      </c>
      <c r="E9" s="14" t="s">
        <v>49</v>
      </c>
      <c r="F9" s="16" t="s">
        <v>50</v>
      </c>
      <c r="G9" s="20">
        <v>43647</v>
      </c>
      <c r="H9" s="17">
        <v>43676</v>
      </c>
      <c r="I9" s="18" t="s">
        <v>51</v>
      </c>
      <c r="J9" s="40" t="s">
        <v>19</v>
      </c>
      <c r="K9" s="41">
        <v>0.5</v>
      </c>
      <c r="L9" s="40">
        <v>43685</v>
      </c>
    </row>
    <row r="10" ht="57" spans="1:12">
      <c r="A10" s="14">
        <v>8</v>
      </c>
      <c r="B10" s="15" t="s">
        <v>52</v>
      </c>
      <c r="C10" s="15" t="s">
        <v>53</v>
      </c>
      <c r="D10" s="15" t="s">
        <v>54</v>
      </c>
      <c r="E10" s="14" t="s">
        <v>16</v>
      </c>
      <c r="F10" s="16" t="s">
        <v>55</v>
      </c>
      <c r="G10" s="17">
        <v>43685</v>
      </c>
      <c r="H10" s="17">
        <v>43717</v>
      </c>
      <c r="I10" s="18" t="s">
        <v>56</v>
      </c>
      <c r="J10" s="40" t="s">
        <v>19</v>
      </c>
      <c r="K10" s="41">
        <v>10</v>
      </c>
      <c r="L10" s="40">
        <v>43735</v>
      </c>
    </row>
    <row r="11" ht="57" spans="1:12">
      <c r="A11" s="14">
        <v>9</v>
      </c>
      <c r="B11" s="18" t="s">
        <v>57</v>
      </c>
      <c r="C11" s="18" t="s">
        <v>58</v>
      </c>
      <c r="D11" s="18" t="s">
        <v>59</v>
      </c>
      <c r="E11" s="14" t="s">
        <v>16</v>
      </c>
      <c r="F11" s="16" t="s">
        <v>60</v>
      </c>
      <c r="G11" s="17">
        <v>43692</v>
      </c>
      <c r="H11" s="17">
        <v>43717</v>
      </c>
      <c r="I11" s="18" t="s">
        <v>61</v>
      </c>
      <c r="J11" s="40" t="s">
        <v>19</v>
      </c>
      <c r="K11" s="41">
        <v>3</v>
      </c>
      <c r="L11" s="40">
        <v>43735</v>
      </c>
    </row>
    <row r="12" ht="57" spans="1:12">
      <c r="A12" s="14">
        <v>10</v>
      </c>
      <c r="B12" s="22" t="s">
        <v>62</v>
      </c>
      <c r="C12" s="21"/>
      <c r="D12" s="22" t="s">
        <v>63</v>
      </c>
      <c r="E12" s="23" t="s">
        <v>30</v>
      </c>
      <c r="F12" s="24" t="s">
        <v>64</v>
      </c>
      <c r="G12" s="17">
        <v>43692</v>
      </c>
      <c r="H12" s="17">
        <v>43717</v>
      </c>
      <c r="I12" s="18" t="s">
        <v>65</v>
      </c>
      <c r="J12" s="40" t="s">
        <v>19</v>
      </c>
      <c r="K12" s="41">
        <v>0.5</v>
      </c>
      <c r="L12" s="40">
        <v>43735</v>
      </c>
    </row>
    <row r="13" ht="57" spans="1:12">
      <c r="A13" s="14">
        <v>11</v>
      </c>
      <c r="B13" s="18" t="s">
        <v>66</v>
      </c>
      <c r="C13" s="22"/>
      <c r="D13" s="18" t="s">
        <v>67</v>
      </c>
      <c r="E13" s="14" t="s">
        <v>49</v>
      </c>
      <c r="F13" s="16" t="s">
        <v>68</v>
      </c>
      <c r="G13" s="17">
        <v>43692</v>
      </c>
      <c r="H13" s="17">
        <v>43717</v>
      </c>
      <c r="I13" s="18" t="s">
        <v>69</v>
      </c>
      <c r="J13" s="40" t="s">
        <v>19</v>
      </c>
      <c r="K13" s="41">
        <v>0.5</v>
      </c>
      <c r="L13" s="40">
        <v>43735</v>
      </c>
    </row>
    <row r="14" ht="85.5" spans="1:12">
      <c r="A14" s="14">
        <v>12</v>
      </c>
      <c r="B14" s="18" t="s">
        <v>70</v>
      </c>
      <c r="C14" s="19" t="s">
        <v>71</v>
      </c>
      <c r="D14" s="18" t="s">
        <v>72</v>
      </c>
      <c r="E14" s="14" t="s">
        <v>16</v>
      </c>
      <c r="F14" s="16" t="s">
        <v>73</v>
      </c>
      <c r="G14" s="17">
        <v>43707</v>
      </c>
      <c r="H14" s="17">
        <v>43731</v>
      </c>
      <c r="I14" s="18" t="s">
        <v>74</v>
      </c>
      <c r="J14" s="40" t="s">
        <v>19</v>
      </c>
      <c r="K14" s="41">
        <v>3</v>
      </c>
      <c r="L14" s="40">
        <v>43752</v>
      </c>
    </row>
    <row r="15" ht="85.5" spans="1:12">
      <c r="A15" s="14">
        <v>13</v>
      </c>
      <c r="B15" s="22" t="s">
        <v>75</v>
      </c>
      <c r="C15" s="21"/>
      <c r="D15" s="18" t="s">
        <v>76</v>
      </c>
      <c r="E15" s="23" t="s">
        <v>30</v>
      </c>
      <c r="F15" s="16" t="s">
        <v>77</v>
      </c>
      <c r="G15" s="17">
        <v>43707</v>
      </c>
      <c r="H15" s="17">
        <v>43731</v>
      </c>
      <c r="I15" s="18" t="s">
        <v>78</v>
      </c>
      <c r="J15" s="40" t="s">
        <v>19</v>
      </c>
      <c r="K15" s="41">
        <v>0.5</v>
      </c>
      <c r="L15" s="40">
        <v>43752</v>
      </c>
    </row>
    <row r="16" ht="85.5" spans="1:12">
      <c r="A16" s="14">
        <v>14</v>
      </c>
      <c r="B16" s="18" t="s">
        <v>79</v>
      </c>
      <c r="C16" s="22"/>
      <c r="D16" s="18" t="s">
        <v>80</v>
      </c>
      <c r="E16" s="14" t="s">
        <v>49</v>
      </c>
      <c r="F16" s="16" t="s">
        <v>81</v>
      </c>
      <c r="G16" s="17">
        <v>43707</v>
      </c>
      <c r="H16" s="17">
        <v>43731</v>
      </c>
      <c r="I16" s="18" t="s">
        <v>82</v>
      </c>
      <c r="J16" s="40" t="s">
        <v>19</v>
      </c>
      <c r="K16" s="41">
        <v>0.5</v>
      </c>
      <c r="L16" s="40">
        <v>43752</v>
      </c>
    </row>
    <row r="17" ht="57" spans="1:12">
      <c r="A17" s="14">
        <v>15</v>
      </c>
      <c r="B17" s="18" t="s">
        <v>83</v>
      </c>
      <c r="C17" s="25" t="s">
        <v>84</v>
      </c>
      <c r="D17" s="15" t="s">
        <v>85</v>
      </c>
      <c r="E17" s="26" t="s">
        <v>16</v>
      </c>
      <c r="F17" s="27" t="s">
        <v>86</v>
      </c>
      <c r="G17" s="28">
        <v>43713</v>
      </c>
      <c r="H17" s="28">
        <v>43747</v>
      </c>
      <c r="I17" s="18" t="s">
        <v>87</v>
      </c>
      <c r="J17" s="40" t="s">
        <v>19</v>
      </c>
      <c r="K17" s="41">
        <v>3</v>
      </c>
      <c r="L17" s="42">
        <v>43732</v>
      </c>
    </row>
    <row r="18" ht="57" spans="1:12">
      <c r="A18" s="14">
        <v>16</v>
      </c>
      <c r="B18" s="22" t="s">
        <v>88</v>
      </c>
      <c r="C18" s="29"/>
      <c r="D18" s="30" t="s">
        <v>89</v>
      </c>
      <c r="E18" s="23" t="s">
        <v>30</v>
      </c>
      <c r="F18" s="27" t="s">
        <v>90</v>
      </c>
      <c r="G18" s="28">
        <v>43713</v>
      </c>
      <c r="H18" s="28">
        <v>43747</v>
      </c>
      <c r="I18" s="18" t="s">
        <v>91</v>
      </c>
      <c r="J18" s="40" t="s">
        <v>19</v>
      </c>
      <c r="K18" s="41">
        <v>0.5</v>
      </c>
      <c r="L18" s="42">
        <v>43732</v>
      </c>
    </row>
    <row r="19" ht="57" spans="1:12">
      <c r="A19" s="14">
        <v>17</v>
      </c>
      <c r="B19" s="18" t="s">
        <v>92</v>
      </c>
      <c r="C19" s="31"/>
      <c r="D19" s="15" t="s">
        <v>93</v>
      </c>
      <c r="E19" s="14" t="s">
        <v>49</v>
      </c>
      <c r="F19" s="27" t="s">
        <v>94</v>
      </c>
      <c r="G19" s="28">
        <v>43713</v>
      </c>
      <c r="H19" s="28">
        <v>43747</v>
      </c>
      <c r="I19" s="18" t="s">
        <v>95</v>
      </c>
      <c r="J19" s="40" t="s">
        <v>19</v>
      </c>
      <c r="K19" s="41">
        <v>0.5</v>
      </c>
      <c r="L19" s="42">
        <v>43732</v>
      </c>
    </row>
    <row r="20" ht="57" spans="1:12">
      <c r="A20" s="14">
        <v>18</v>
      </c>
      <c r="B20" s="15" t="s">
        <v>96</v>
      </c>
      <c r="C20" s="15" t="s">
        <v>97</v>
      </c>
      <c r="D20" s="15" t="s">
        <v>98</v>
      </c>
      <c r="E20" s="26" t="s">
        <v>99</v>
      </c>
      <c r="F20" s="27" t="s">
        <v>100</v>
      </c>
      <c r="G20" s="28">
        <v>43763</v>
      </c>
      <c r="H20" s="28">
        <v>43801</v>
      </c>
      <c r="I20" s="30" t="s">
        <v>101</v>
      </c>
      <c r="J20" s="40" t="s">
        <v>19</v>
      </c>
      <c r="K20" s="41">
        <v>2</v>
      </c>
      <c r="L20" s="42">
        <v>43809</v>
      </c>
    </row>
    <row r="21" ht="71.25" spans="1:12">
      <c r="A21" s="14">
        <v>19</v>
      </c>
      <c r="B21" s="15" t="s">
        <v>102</v>
      </c>
      <c r="C21" s="25" t="s">
        <v>103</v>
      </c>
      <c r="D21" s="15" t="s">
        <v>104</v>
      </c>
      <c r="E21" s="26" t="s">
        <v>16</v>
      </c>
      <c r="F21" s="27" t="s">
        <v>105</v>
      </c>
      <c r="G21" s="28">
        <v>43763</v>
      </c>
      <c r="H21" s="28">
        <v>43781</v>
      </c>
      <c r="I21" s="30" t="s">
        <v>106</v>
      </c>
      <c r="J21" s="40" t="s">
        <v>19</v>
      </c>
      <c r="K21" s="41">
        <v>1</v>
      </c>
      <c r="L21" s="42">
        <v>43804</v>
      </c>
    </row>
    <row r="22" ht="57" spans="1:12">
      <c r="A22" s="14">
        <v>20</v>
      </c>
      <c r="B22" s="15" t="s">
        <v>107</v>
      </c>
      <c r="C22" s="31"/>
      <c r="D22" s="15" t="s">
        <v>104</v>
      </c>
      <c r="E22" s="26" t="s">
        <v>16</v>
      </c>
      <c r="F22" s="27" t="s">
        <v>108</v>
      </c>
      <c r="G22" s="28">
        <v>43763</v>
      </c>
      <c r="H22" s="28">
        <v>43781</v>
      </c>
      <c r="I22" s="30" t="s">
        <v>109</v>
      </c>
      <c r="J22" s="40" t="s">
        <v>19</v>
      </c>
      <c r="K22" s="41">
        <v>2</v>
      </c>
      <c r="L22" s="42">
        <v>43804</v>
      </c>
    </row>
    <row r="23" ht="61" customHeight="1" spans="1:12">
      <c r="A23" s="14">
        <v>21</v>
      </c>
      <c r="B23" s="15" t="s">
        <v>110</v>
      </c>
      <c r="C23" s="15" t="s">
        <v>111</v>
      </c>
      <c r="D23" s="15" t="s">
        <v>112</v>
      </c>
      <c r="E23" s="26" t="s">
        <v>16</v>
      </c>
      <c r="F23" s="15" t="s">
        <v>113</v>
      </c>
      <c r="G23" s="28">
        <v>43763</v>
      </c>
      <c r="H23" s="28">
        <v>43789</v>
      </c>
      <c r="I23" s="30" t="s">
        <v>114</v>
      </c>
      <c r="J23" s="40" t="s">
        <v>19</v>
      </c>
      <c r="K23" s="41">
        <v>0.5</v>
      </c>
      <c r="L23" s="42"/>
    </row>
    <row r="24" ht="61" customHeight="1" spans="1:12">
      <c r="A24" s="14">
        <v>22</v>
      </c>
      <c r="B24" s="18" t="s">
        <v>115</v>
      </c>
      <c r="C24" s="15" t="s">
        <v>116</v>
      </c>
      <c r="D24" s="15" t="s">
        <v>117</v>
      </c>
      <c r="E24" s="30" t="s">
        <v>118</v>
      </c>
      <c r="F24" s="27" t="s">
        <v>119</v>
      </c>
      <c r="G24" s="28">
        <v>43796</v>
      </c>
      <c r="H24" s="28"/>
      <c r="I24" s="30" t="s">
        <v>120</v>
      </c>
      <c r="J24" s="40" t="s">
        <v>19</v>
      </c>
      <c r="K24" s="41">
        <v>0.5</v>
      </c>
      <c r="L24" s="42"/>
    </row>
    <row r="25" ht="61" customHeight="1" spans="1:12">
      <c r="A25" s="14">
        <v>23</v>
      </c>
      <c r="B25" s="15" t="s">
        <v>121</v>
      </c>
      <c r="C25" s="15" t="s">
        <v>122</v>
      </c>
      <c r="D25" s="15" t="s">
        <v>123</v>
      </c>
      <c r="E25" s="26" t="s">
        <v>99</v>
      </c>
      <c r="F25" s="27" t="s">
        <v>124</v>
      </c>
      <c r="G25" s="28">
        <v>43813</v>
      </c>
      <c r="H25" s="28"/>
      <c r="I25" s="30" t="s">
        <v>125</v>
      </c>
      <c r="J25" s="40" t="s">
        <v>19</v>
      </c>
      <c r="K25" s="41">
        <v>2</v>
      </c>
      <c r="L25" s="42"/>
    </row>
    <row r="26" ht="30" customHeight="1" spans="1:12">
      <c r="A26" s="32"/>
      <c r="B26" s="33"/>
      <c r="C26" s="33"/>
      <c r="D26" s="34"/>
      <c r="E26" s="32"/>
      <c r="F26" s="35"/>
      <c r="G26" s="36">
        <v>0</v>
      </c>
      <c r="H26" s="37" t="s">
        <v>126</v>
      </c>
      <c r="I26" s="43" t="s">
        <v>127</v>
      </c>
      <c r="J26" s="44"/>
      <c r="K26" s="45">
        <v>0</v>
      </c>
      <c r="L26" s="46"/>
    </row>
    <row r="27" ht="30" customHeight="1" spans="1:12">
      <c r="A27" s="32"/>
      <c r="B27" s="33"/>
      <c r="C27" s="33"/>
      <c r="D27" s="34"/>
      <c r="E27" s="32"/>
      <c r="F27" s="35"/>
      <c r="G27" s="36">
        <f>COUNTA(G3:G23)</f>
        <v>21</v>
      </c>
      <c r="H27" s="37" t="s">
        <v>126</v>
      </c>
      <c r="I27" s="43" t="s">
        <v>128</v>
      </c>
      <c r="J27" s="44"/>
      <c r="K27" s="45">
        <f>SUM(K3:K25)</f>
        <v>39</v>
      </c>
      <c r="L27" s="46"/>
    </row>
    <row r="28" ht="30" customHeight="1" spans="1:12">
      <c r="A28" s="32"/>
      <c r="B28" s="33"/>
      <c r="C28" s="33"/>
      <c r="D28" s="34"/>
      <c r="E28" s="32"/>
      <c r="F28" s="35"/>
      <c r="G28" s="36">
        <f>SUM(G26:G27)</f>
        <v>21</v>
      </c>
      <c r="H28" s="37" t="s">
        <v>126</v>
      </c>
      <c r="I28" s="43" t="s">
        <v>129</v>
      </c>
      <c r="J28" s="44"/>
      <c r="K28" s="45">
        <f>SUM(K26:K27)</f>
        <v>39</v>
      </c>
      <c r="L28" s="46"/>
    </row>
  </sheetData>
  <autoFilter ref="A2:L28">
    <extLst/>
  </autoFilter>
  <mergeCells count="6">
    <mergeCell ref="A1:L1"/>
    <mergeCell ref="C7:C9"/>
    <mergeCell ref="C11:C13"/>
    <mergeCell ref="C14:C16"/>
    <mergeCell ref="C17:C19"/>
    <mergeCell ref="C21:C22"/>
  </mergeCells>
  <printOptions horizontalCentered="1"/>
  <pageMargins left="0.751388888888889" right="0.751388888888889" top="0.802777777777778" bottom="0.802777777777778" header="0.511805555555556" footer="0.511805555555556"/>
  <pageSetup paperSize="9" scale="49" fitToHeight="0" orientation="landscape" horizontalDpi="600" vertic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行政处罚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张秋敏</dc:creator>
  <cp:lastModifiedBy>邱礼聪</cp:lastModifiedBy>
  <dcterms:created xsi:type="dcterms:W3CDTF">2019-11-08T09:45:00Z</dcterms:created>
  <dcterms:modified xsi:type="dcterms:W3CDTF">2020-01-03T09:18:23Z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2052-10.8.2.7027</vt:lpwstr>
  </property>
</Properties>
</file>